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keerthiajanthakuchipudi/Documents/"/>
    </mc:Choice>
  </mc:AlternateContent>
  <xr:revisionPtr revIDLastSave="0" documentId="13_ncr:1_{8C789D96-FFEC-9940-8717-91BFA21943B1}" xr6:coauthVersionLast="47" xr6:coauthVersionMax="47" xr10:uidLastSave="{00000000-0000-0000-0000-000000000000}"/>
  <bookViews>
    <workbookView xWindow="0" yWindow="740" windowWidth="29400" windowHeight="18380" xr2:uid="{EE81A9EB-6220-9C43-9ECD-420AE7144BC7}"/>
  </bookViews>
  <sheets>
    <sheet name="Source_Register" sheetId="1" r:id="rId1"/>
    <sheet name="Combined_Corporate" sheetId="12" r:id="rId2"/>
    <sheet name="Registered corporation 2024-25" sheetId="11" r:id="rId3"/>
    <sheet name="Registered corporation 2023-24" sheetId="10" r:id="rId4"/>
    <sheet name="Registered corporation 2022-23" sheetId="9" r:id="rId5"/>
    <sheet name="Data_QA" sheetId="3" r:id="rId6"/>
    <sheet name="Reconciliation_Log" sheetId="4" r:id="rId7"/>
    <sheet name="Company_Trends" sheetId="5" r:id="rId8"/>
    <sheet name="Facilities" sheetId="15" r:id="rId9"/>
    <sheet name="Table1" sheetId="14" r:id="rId10"/>
    <sheet name="Data_Greenhouse_and_energy_info" sheetId="13" r:id="rId11"/>
    <sheet name="SA_Generation_Intensity" sheetId="6" r:id="rId12"/>
    <sheet name="Limitations" sheetId="7" r:id="rId13"/>
    <sheet name="Board_Report" sheetId="8" r:id="rId14"/>
  </sheets>
  <definedNames>
    <definedName name="ExternalData_1" localSheetId="10" hidden="1">Data_Greenhouse_and_energy_info!$A$1:$H$776</definedName>
    <definedName name="ExternalData_1" localSheetId="4" hidden="1">'Registered corporation 2022-23'!$A$1:$G$415</definedName>
    <definedName name="ExternalData_2" localSheetId="3" hidden="1">'Registered corporation 2023-24'!$A$1:$G$415</definedName>
    <definedName name="ExternalData_2" localSheetId="9" hidden="1">Table1!$A$1:$H$812</definedName>
    <definedName name="ExternalData_3" localSheetId="8" hidden="1">Facilities!$A$1:$H$1587</definedName>
    <definedName name="ExternalData_3" localSheetId="2" hidden="1">'Registered corporation 2024-25'!$A$1:$G$415</definedName>
    <definedName name="ExternalData_4" localSheetId="1" hidden="1">'Combined_Corporate'!$A$1:$G$1193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4" i="6" l="1"/>
  <c r="D14" i="6"/>
  <c r="E14" i="6" s="1"/>
  <c r="B15" i="6"/>
  <c r="D15" i="6"/>
  <c r="E15" i="6" s="1"/>
  <c r="B16" i="6"/>
  <c r="D16" i="6"/>
  <c r="E16" i="6" s="1"/>
  <c r="B17" i="6"/>
  <c r="D17" i="6"/>
  <c r="B18" i="6"/>
  <c r="D18" i="6"/>
  <c r="D13" i="6"/>
  <c r="E13" i="6" s="1"/>
  <c r="B13" i="6"/>
  <c r="B3" i="6"/>
  <c r="C3" i="6"/>
  <c r="E3" i="6"/>
  <c r="F3" i="6"/>
  <c r="G3" i="6" s="1"/>
  <c r="B4" i="6"/>
  <c r="C4" i="6"/>
  <c r="E4" i="6"/>
  <c r="F4" i="6"/>
  <c r="B5" i="6"/>
  <c r="C5" i="6"/>
  <c r="D5" i="6" s="1"/>
  <c r="E5" i="6"/>
  <c r="F5" i="6"/>
  <c r="B6" i="6"/>
  <c r="C6" i="6"/>
  <c r="E6" i="6"/>
  <c r="F6" i="6"/>
  <c r="B7" i="6"/>
  <c r="C7" i="6"/>
  <c r="E7" i="6"/>
  <c r="F7" i="6"/>
  <c r="B8" i="6"/>
  <c r="C8" i="6"/>
  <c r="D8" i="6" s="1"/>
  <c r="E8" i="6"/>
  <c r="F8" i="6"/>
  <c r="G8" i="6" s="1"/>
  <c r="H8" i="6" s="1"/>
  <c r="B9" i="6"/>
  <c r="C9" i="6"/>
  <c r="D9" i="6" s="1"/>
  <c r="E9" i="6"/>
  <c r="F9" i="6"/>
  <c r="F2" i="6"/>
  <c r="E2" i="6"/>
  <c r="C2" i="6"/>
  <c r="D2" i="6" s="1"/>
  <c r="B2" i="6"/>
  <c r="H3" i="5"/>
  <c r="E3" i="5"/>
  <c r="F3" i="5"/>
  <c r="G3" i="5"/>
  <c r="E4" i="5"/>
  <c r="F4" i="5"/>
  <c r="H4" i="5" s="1"/>
  <c r="G4" i="5"/>
  <c r="E5" i="5"/>
  <c r="F5" i="5"/>
  <c r="H5" i="5" s="1"/>
  <c r="G5" i="5"/>
  <c r="E6" i="5"/>
  <c r="F6" i="5"/>
  <c r="H6" i="5" s="1"/>
  <c r="G6" i="5"/>
  <c r="E7" i="5"/>
  <c r="F7" i="5"/>
  <c r="H7" i="5" s="1"/>
  <c r="G7" i="5"/>
  <c r="E8" i="5"/>
  <c r="F8" i="5"/>
  <c r="H8" i="5" s="1"/>
  <c r="G8" i="5"/>
  <c r="E9" i="5"/>
  <c r="F9" i="5"/>
  <c r="H9" i="5" s="1"/>
  <c r="G9" i="5"/>
  <c r="E10" i="5"/>
  <c r="F10" i="5"/>
  <c r="H10" i="5" s="1"/>
  <c r="G10" i="5"/>
  <c r="E11" i="5"/>
  <c r="F11" i="5"/>
  <c r="H11" i="5" s="1"/>
  <c r="G11" i="5"/>
  <c r="E12" i="5"/>
  <c r="F12" i="5"/>
  <c r="H12" i="5" s="1"/>
  <c r="G12" i="5"/>
  <c r="E13" i="5"/>
  <c r="F13" i="5"/>
  <c r="H13" i="5" s="1"/>
  <c r="G13" i="5"/>
  <c r="F2" i="5"/>
  <c r="H2" i="5" s="1"/>
  <c r="G2" i="5"/>
  <c r="E2" i="5"/>
  <c r="D9" i="3"/>
  <c r="B12" i="3"/>
  <c r="D12" i="3" s="1"/>
  <c r="B11" i="3"/>
  <c r="D11" i="3" s="1"/>
  <c r="B10" i="3"/>
  <c r="D10" i="3" s="1"/>
  <c r="B9" i="3"/>
  <c r="B8" i="3" a="1"/>
  <c r="B8" i="3" s="1"/>
  <c r="D8" i="3" s="1"/>
  <c r="B7" i="3" a="1"/>
  <c r="B7" i="3" s="1"/>
  <c r="D7" i="3" s="1"/>
  <c r="B6" i="3"/>
  <c r="D6" i="3" s="1"/>
  <c r="B5" i="3"/>
  <c r="D5" i="3" s="1"/>
  <c r="B4" i="3"/>
  <c r="D4" i="3" s="1"/>
  <c r="B3" i="3"/>
  <c r="D3" i="3" s="1"/>
  <c r="B2" i="3"/>
  <c r="D2" i="3" s="1"/>
  <c r="E8" i="8" s="1"/>
  <c r="C14" i="6" l="1"/>
  <c r="C15" i="6"/>
  <c r="D4" i="6"/>
  <c r="D7" i="6"/>
  <c r="G2" i="6"/>
  <c r="E17" i="6"/>
  <c r="G7" i="6"/>
  <c r="H7" i="6" s="1"/>
  <c r="I3" i="5"/>
  <c r="J3" i="5"/>
  <c r="A8" i="8"/>
  <c r="I4" i="5"/>
  <c r="J4" i="5"/>
  <c r="B8" i="8" s="1"/>
  <c r="J5" i="5"/>
  <c r="I5" i="5"/>
  <c r="J6" i="5"/>
  <c r="I6" i="5"/>
  <c r="I7" i="5"/>
  <c r="J7" i="5"/>
  <c r="I8" i="5"/>
  <c r="J8" i="5"/>
  <c r="I9" i="5"/>
  <c r="J9" i="5"/>
  <c r="I10" i="5"/>
  <c r="J10" i="5"/>
  <c r="J11" i="5"/>
  <c r="I11" i="5"/>
  <c r="I12" i="5"/>
  <c r="J12" i="5"/>
  <c r="J13" i="5"/>
  <c r="I13" i="5"/>
  <c r="J2" i="5"/>
  <c r="C8" i="8" s="1"/>
  <c r="I2" i="5"/>
  <c r="G5" i="6"/>
  <c r="H5" i="6" s="1"/>
  <c r="G4" i="6"/>
  <c r="G9" i="6"/>
  <c r="H9" i="6" s="1"/>
  <c r="G6" i="6"/>
  <c r="D3" i="6"/>
  <c r="H3" i="6" s="1"/>
  <c r="D6" i="6"/>
  <c r="C16" i="6"/>
  <c r="C13" i="6"/>
  <c r="C17" i="6"/>
  <c r="C18" i="6"/>
  <c r="E18" i="6"/>
  <c r="H4" i="6" l="1"/>
  <c r="H2" i="6"/>
  <c r="D8" i="8"/>
  <c r="H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B8FBAF-483C-A642-A187-D927CE18325B}" keepAlive="1" name="Query - Combined_Corporate" description="Connection to the 'Combined_Corporate' query in the workbook." type="5" refreshedVersion="8" background="1" saveData="1">
    <dbPr connection="Provider=Microsoft.Mashup.OleDb.1;Data Source=$Workbook$;Location=Combined_Corporate;Extended Properties=&quot;&quot;" command="SELECT * FROM [Combined_Corporate]"/>
  </connection>
  <connection id="2" xr16:uid="{4C550693-4349-5549-B771-3256E7E44BE4}" keepAlive="1" name="Query - Data_Greenhouse_and_energy_information" description="Connection to the 'Data_Greenhouse_and_energy_information' query in the workbook." type="5" refreshedVersion="8" background="1" saveData="1">
    <dbPr connection="Provider=Microsoft.Mashup.OleDb.1;Data Source=$Workbook$;Location=Data_Greenhouse_and_energy_information;Extended Properties=&quot;&quot;" command="SELECT * FROM [Data_Greenhouse_and_energy_information]"/>
  </connection>
  <connection id="3" xr16:uid="{61031B9F-4BE8-434F-80D8-A99B612EAA05}" keepAlive="1" name="Query - Facilities" description="Connection to the 'Facilities' query in the workbook." type="5" refreshedVersion="8" background="1" saveData="1">
    <dbPr connection="Provider=Microsoft.Mashup.OleDb.1;Data Source=$Workbook$;Location=Facilities;Extended Properties=&quot;&quot;" command="SELECT * FROM [Facilities]"/>
  </connection>
  <connection id="4" xr16:uid="{E07C070D-98C4-254D-A594-F2C35E8454EF}" keepAlive="1" name="Query - Registered corporation 2022-23" description="Connection to the 'Registered corporation 2022-23' query in the workbook." type="5" refreshedVersion="8" background="1" saveData="1">
    <dbPr connection="Provider=Microsoft.Mashup.OleDb.1;Data Source=$Workbook$;Location=&quot;Registered corporation 2022-23&quot;;Extended Properties=&quot;&quot;" command="SELECT * FROM [Registered corporation 2022-23]"/>
  </connection>
  <connection id="5" xr16:uid="{D2AFDA31-7B01-2044-BC4D-426D11A26D3B}" keepAlive="1" name="Query - Registered corporation 2023-24" description="Connection to the 'Registered corporation 2023-24' query in the workbook." type="5" refreshedVersion="8" background="1" saveData="1">
    <dbPr connection="Provider=Microsoft.Mashup.OleDb.1;Data Source=$Workbook$;Location=&quot;Registered corporation 2023-24&quot;;Extended Properties=&quot;&quot;" command="SELECT * FROM [Registered corporation 2023-24]"/>
  </connection>
  <connection id="6" xr16:uid="{F644329A-B1DA-0248-A5BB-83ABFF4AD221}" keepAlive="1" name="Query - Registered corporation 2024-25" description="Connection to the 'Registered corporation 2024-25' query in the workbook." type="5" refreshedVersion="8" background="1" saveData="1">
    <dbPr connection="Provider=Microsoft.Mashup.OleDb.1;Data Source=$Workbook$;Location=&quot;Registered corporation 2024-25&quot;;Extended Properties=&quot;&quot;" command="SELECT * FROM [Registered corporation 2024-25]"/>
  </connection>
  <connection id="7" xr16:uid="{F295A8F9-A7FB-4241-83CB-8114C7A86E7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<sst xmlns="http://schemas.openxmlformats.org/spreadsheetml/2006/main" count="28928" uniqueCount="1990">
  <si>
    <t>Source ID</t>
  </si>
  <si>
    <t>Dataset</t>
  </si>
  <si>
    <t>Reporting year</t>
  </si>
  <si>
    <t>Publisher</t>
  </si>
  <si>
    <t>Data as at</t>
  </si>
  <si>
    <t>Download date</t>
  </si>
  <si>
    <t>File name</t>
  </si>
  <si>
    <t>Used for</t>
  </si>
  <si>
    <t>S1</t>
  </si>
  <si>
    <t>Greenhouse and energy information by registered corporation</t>
  </si>
  <si>
    <t>2022-23</t>
  </si>
  <si>
    <t>Clean Energy Regulator</t>
  </si>
  <si>
    <t>greenhouse-and-energy-information-registered-corporation-2022-23.xlsx</t>
  </si>
  <si>
    <t>Company emissions trends</t>
  </si>
  <si>
    <t>S2</t>
  </si>
  <si>
    <t>2023-24</t>
  </si>
  <si>
    <t>greenhouse-and-energy-information-registered-corporation-2023-24.xlsx</t>
  </si>
  <si>
    <t>S3</t>
  </si>
  <si>
    <t>2024-25</t>
  </si>
  <si>
    <t>greenhouse-and-energy-information-registered-corporation-2024-25.xlsx</t>
  </si>
  <si>
    <t>S4</t>
  </si>
  <si>
    <t>Greenhouse and energy information by designated generation facility</t>
  </si>
  <si>
    <t>greenhouse-and-energy-information-designated-generation-facility-2023-24.xlsx</t>
  </si>
  <si>
    <t>SA generation intensity</t>
  </si>
  <si>
    <t>S5</t>
  </si>
  <si>
    <t>greenhouse-and-energy-information-designated-generation-facility-2024-25.xlsx</t>
  </si>
  <si>
    <t>Organisation name</t>
  </si>
  <si>
    <t>Identifying details</t>
  </si>
  <si>
    <t>Total scope 1 emissions (t CO2-e)</t>
  </si>
  <si>
    <t>Total scope 2 emissions (t CO2-e)</t>
  </si>
  <si>
    <t>Net energy consumed (GJ)</t>
  </si>
  <si>
    <t>Important notes</t>
  </si>
  <si>
    <t>Year</t>
  </si>
  <si>
    <t>AGL ENERGY LIMITED</t>
  </si>
  <si>
    <t>74 115 061 375</t>
  </si>
  <si>
    <t>-</t>
  </si>
  <si>
    <t>STANWELL CORPORATION LIMITED</t>
  </si>
  <si>
    <t>37 078 848 674</t>
  </si>
  <si>
    <t>ENERGYAUSTRALIA HOLDINGS LIMITED</t>
  </si>
  <si>
    <t>57 101 876 135</t>
  </si>
  <si>
    <t>ORIGIN ENERGY LIMITED</t>
  </si>
  <si>
    <t>30 000 051 696</t>
  </si>
  <si>
    <t>CHEVRON AUSTRALIA HOLDINGS PTY LTD</t>
  </si>
  <si>
    <t>60 098 079 344</t>
  </si>
  <si>
    <t>PIONEER SAIL HOLDINGS PTY LIMITED</t>
  </si>
  <si>
    <t>45 617 844 569</t>
  </si>
  <si>
    <t>WOODSIDE ENERGY GROUP LTD</t>
  </si>
  <si>
    <t>55 004 898 962</t>
  </si>
  <si>
    <t>C S ENERGY LIMITED</t>
  </si>
  <si>
    <t>54 078 848 745</t>
  </si>
  <si>
    <t>Please note that where more than one person has operational control over a facility at the same time and no nomination of operational control has been made, data for the facility for the entire period must be reported by the controlling corporation of each entity with operational control. This results in the same facility being reported multiple times.
C S ENERGY LIMITED and GENUITY PTY LTD, have each included the same data for the Callide C Power Station in their NGER reports. For further information refer to the 2022–23 Greenhouse and energy information for designated generation facilities.</t>
  </si>
  <si>
    <t>RIO TINTO LIMITED</t>
  </si>
  <si>
    <t>96 004 458 404</t>
  </si>
  <si>
    <t>SEV.EN GLOBAL INVESTMENTS PTY LTD</t>
  </si>
  <si>
    <t>52 661 272 233</t>
  </si>
  <si>
    <t>SOUTH32 LIMITED</t>
  </si>
  <si>
    <t>84 093 732 597</t>
  </si>
  <si>
    <t>SANTOS LIMITED</t>
  </si>
  <si>
    <t>80 007 550 923</t>
  </si>
  <si>
    <t>NRG VICTORIA I PTY LTD</t>
  </si>
  <si>
    <t>26 076 286 578</t>
  </si>
  <si>
    <t>BLUESCOPE STEEL LIMITED</t>
  </si>
  <si>
    <t>16 000 011 058</t>
  </si>
  <si>
    <t>GENUITY PTY LTD</t>
  </si>
  <si>
    <t>34 128 655 096</t>
  </si>
  <si>
    <t>ALCOA AUSTRALIAN HOLDINGS PTY LTD</t>
  </si>
  <si>
    <t>33 096 987 370</t>
  </si>
  <si>
    <t>INPEX HOLDINGS AUSTRALIA PTY LTD</t>
  </si>
  <si>
    <t>61 150 217 315</t>
  </si>
  <si>
    <t>GLENCORE HOLDINGS PTY LIMITED</t>
  </si>
  <si>
    <t>41 104 160 689</t>
  </si>
  <si>
    <t>ELECTRICITY GENERATION AND RETAIL CORPORATION</t>
  </si>
  <si>
    <t>58 673 830 106</t>
  </si>
  <si>
    <t>ANGLO AMERICAN AUSTRALIA LIMITED</t>
  </si>
  <si>
    <t>47 004 892 371</t>
  </si>
  <si>
    <t>QANTAS AIRWAYS LIMITED</t>
  </si>
  <si>
    <t>16 009 661 901</t>
  </si>
  <si>
    <t>BHP GROUP LIMITED</t>
  </si>
  <si>
    <t>49 004 028 077</t>
  </si>
  <si>
    <t>BM ALLIANCE COAL OPERATIONS PTY LIMITED</t>
  </si>
  <si>
    <t>67 096 412 752</t>
  </si>
  <si>
    <t>LIBERTY PRIMARY METALS AUSTRALIA PTY LTD</t>
  </si>
  <si>
    <t>29 631 112 573</t>
  </si>
  <si>
    <t>RTA HOLDCO AUSTRALIA 5 PTY LTD</t>
  </si>
  <si>
    <t>38 128 785 599</t>
  </si>
  <si>
    <t>CEMENT AUSTRALIA HOLDINGS PTY LTD</t>
  </si>
  <si>
    <t>99 001 085 561</t>
  </si>
  <si>
    <t>SHELL ENERGY HOLDINGS AUSTRALIA LIMITED</t>
  </si>
  <si>
    <t>69 054 260 776</t>
  </si>
  <si>
    <t>YANCOAL AUSTRALIA LTD</t>
  </si>
  <si>
    <t>82 111 859 119</t>
  </si>
  <si>
    <t>CONOCOPHILLIPS AUSTRALIA OPERATIONS PTY LTD</t>
  </si>
  <si>
    <t>28 141 253 787</t>
  </si>
  <si>
    <t>VIRGIN AUSTRALIA HOLDINGS LIMITED</t>
  </si>
  <si>
    <t>54 100 686 226</t>
  </si>
  <si>
    <t>FORTESCUE METALS GROUP LTD</t>
  </si>
  <si>
    <t>57 002 594 872</t>
  </si>
  <si>
    <t>ADBRI LIMITED</t>
  </si>
  <si>
    <t>15 007 596 018</t>
  </si>
  <si>
    <t>EXXONMOBIL AUSTRALIA PTY LTD</t>
  </si>
  <si>
    <t>48 091 561 198</t>
  </si>
  <si>
    <t>PEABODY AUSTRALIA HOLDCO PTY LTD</t>
  </si>
  <si>
    <t>61 154 820 130</t>
  </si>
  <si>
    <t>QGC MIDSTREAM INVESTMENTS PTY LTD</t>
  </si>
  <si>
    <t>77 130 857 215</t>
  </si>
  <si>
    <t>CK WILLIAM AUSTRALIA HOLDINGS PTY LTD</t>
  </si>
  <si>
    <t>14 613 690 243</t>
  </si>
  <si>
    <t>YARA AUSTRALIA PTY LTD</t>
  </si>
  <si>
    <t>77 076 301 221</t>
  </si>
  <si>
    <t>KESTREL COAL GROUP PTY LTD</t>
  </si>
  <si>
    <t>70 624 655 518</t>
  </si>
  <si>
    <t>ORICA LIMITED</t>
  </si>
  <si>
    <t>24 004 145 868</t>
  </si>
  <si>
    <t>APA INFRASTRUCTURE LIMITED</t>
  </si>
  <si>
    <t>89 009 666 700</t>
  </si>
  <si>
    <t>BANPU AUSTRALIA CO. PTY LTD</t>
  </si>
  <si>
    <t>56 136 468 007</t>
  </si>
  <si>
    <t>INCITEC PIVOT LIMITED</t>
  </si>
  <si>
    <t>42 004 080 264</t>
  </si>
  <si>
    <t>SEVEN GROUP HOLDINGS LIMITED</t>
  </si>
  <si>
    <t>46 142 003 469</t>
  </si>
  <si>
    <t>CITIC PACIFIC MINING MANAGEMENT PTY LTD</t>
  </si>
  <si>
    <t>64 119 578 371</t>
  </si>
  <si>
    <t>PECHINEY CONSOLIDATED AUSTRALIA PTY LIMITED</t>
  </si>
  <si>
    <t>39 076 569 769</t>
  </si>
  <si>
    <t>WHITEHAVEN COAL LIMITED</t>
  </si>
  <si>
    <t>68 124 425 396</t>
  </si>
  <si>
    <t>CORONADO AUSTRALIA HOLDINGS PTY LTD</t>
  </si>
  <si>
    <t>23 623 524 989</t>
  </si>
  <si>
    <t>CLEANAWAY WASTE MANAGEMENT LIMITED</t>
  </si>
  <si>
    <t>74 101 155 220</t>
  </si>
  <si>
    <t>FITZROY (CQ) PTY LTD</t>
  </si>
  <si>
    <t>61 103 902 389</t>
  </si>
  <si>
    <t>VIVA ENERGY GROUP LIMITED</t>
  </si>
  <si>
    <t>74 626 661 032</t>
  </si>
  <si>
    <t>BLUEWATERS POWER 2 PTY LTD</t>
  </si>
  <si>
    <t>57 122 896 968</t>
  </si>
  <si>
    <t>QGC UPSTREAM INVESTMENTS PTY LTD</t>
  </si>
  <si>
    <t>86 131 104 651</t>
  </si>
  <si>
    <t>POWER GENERATION CORPORATION</t>
  </si>
  <si>
    <t>72 687 980 755</t>
  </si>
  <si>
    <t>TRANSALTA ENERGY (AUSTRALIA) PTY LTD</t>
  </si>
  <si>
    <t>40 062 135 844</t>
  </si>
  <si>
    <t>WESFARMERS LIMITED</t>
  </si>
  <si>
    <t>28 008 984 049</t>
  </si>
  <si>
    <t>MACH AUSTRALIA HOLDINGS PTY LTD</t>
  </si>
  <si>
    <t>66 608 494 828</t>
  </si>
  <si>
    <t>AUSTRALIAN LOGISTICS ACQUISITION HOLDINGS PTY LIMITED</t>
  </si>
  <si>
    <t>28 611 628 909</t>
  </si>
  <si>
    <t>STANMORE RESOURCES LIMITED</t>
  </si>
  <si>
    <t>27 131 920 968</t>
  </si>
  <si>
    <t>INTERNATIONAL POWER (AUSTRALIA) HOLDINGS PTY LIMITED</t>
  </si>
  <si>
    <t>70 105 041 209</t>
  </si>
  <si>
    <t>NORTHERN STAR RESOURCES LTD</t>
  </si>
  <si>
    <t>43 092 832 892</t>
  </si>
  <si>
    <t>HANCOCK PROSPECTING PTY LIMITED</t>
  </si>
  <si>
    <t>69 008 676 417</t>
  </si>
  <si>
    <t>QCOAL PTY LTD</t>
  </si>
  <si>
    <t>99 010 911 234</t>
  </si>
  <si>
    <t>BLUEWATERS POWER 1 PTY LTD</t>
  </si>
  <si>
    <t>93 106 034 879</t>
  </si>
  <si>
    <t>PRATT CONSOLIDATED HOLDINGS PTY. LTD.</t>
  </si>
  <si>
    <t>43 104 958 581</t>
  </si>
  <si>
    <t>AMPOL LIMITED</t>
  </si>
  <si>
    <t>40 004 201 307</t>
  </si>
  <si>
    <t>SGSP (AUSTRALIA) ASSETS PTY LTD</t>
  </si>
  <si>
    <t>60 126 327 624</t>
  </si>
  <si>
    <t>TRONOX LIMITED</t>
  </si>
  <si>
    <t>91 153 348 111</t>
  </si>
  <si>
    <t>AURIZON HOLDINGS LIMITED</t>
  </si>
  <si>
    <t>14 146 335 622</t>
  </si>
  <si>
    <t>NEWGEN KWINANA HOLDINGS PTY LTD</t>
  </si>
  <si>
    <t>68 116 576 955</t>
  </si>
  <si>
    <t>COMGEN AUSTRALIA PTY. LTD.</t>
  </si>
  <si>
    <t>17 050 242 441</t>
  </si>
  <si>
    <t>WASHINGTON H. SOUL PATTINSON AND COMPANY LIMITED</t>
  </si>
  <si>
    <t>49 000 002 728</t>
  </si>
  <si>
    <t>QENOS HOLDINGS PTY LTD</t>
  </si>
  <si>
    <t>62 086 026 968</t>
  </si>
  <si>
    <t>ARROW ENERGY HOLDINGS PTY LTD</t>
  </si>
  <si>
    <t>94 141 385 293</t>
  </si>
  <si>
    <t>RATCH - AUSTRALIA CORPORATION PTY LTD</t>
  </si>
  <si>
    <t>31 106 617 332</t>
  </si>
  <si>
    <t>NEWCREST MINING LIMITED</t>
  </si>
  <si>
    <t>20 005 683 625</t>
  </si>
  <si>
    <t>ILUKA RESOURCES LIMITED</t>
  </si>
  <si>
    <t>34 008 675 018</t>
  </si>
  <si>
    <t>ANGLOGOLD INVESTMENTS AUSTRALIA PTY LTD</t>
  </si>
  <si>
    <t>48 090 112 459</t>
  </si>
  <si>
    <t>VEOLIA RECYCLING &amp; RECOVERY HOLDINGS ANZ PTY LTD</t>
  </si>
  <si>
    <t>30 070 452 890</t>
  </si>
  <si>
    <t>GOLD FIELDS AUSTRALIA PTY LIMITED</t>
  </si>
  <si>
    <t>91 098 385 285</t>
  </si>
  <si>
    <t>IDEMITSU AUSTRALIA PTY LTD</t>
  </si>
  <si>
    <t>45 010 236 272</t>
  </si>
  <si>
    <t>BEACH ENERGY LIMITED</t>
  </si>
  <si>
    <t>20 007 617 969</t>
  </si>
  <si>
    <t>QUBE HOLDINGS LIMITED</t>
  </si>
  <si>
    <t>14 149 723 053</t>
  </si>
  <si>
    <t>ADANI MINING PTY LTD</t>
  </si>
  <si>
    <t>27 145 455 205</t>
  </si>
  <si>
    <t>PAPER AUSTRALIA PTY LTD</t>
  </si>
  <si>
    <t>63 061 583 533</t>
  </si>
  <si>
    <t>NEWMONT AUSTRALIA PTY LTD</t>
  </si>
  <si>
    <t>95 099 040 507</t>
  </si>
  <si>
    <t>WOOLWORTHS GROUP LIMITED</t>
  </si>
  <si>
    <t>88 000 014 675</t>
  </si>
  <si>
    <t>HANSON AUSTRALIA (HOLDINGS) PROPRIETARY LIMITED</t>
  </si>
  <si>
    <t>48 090 994 657</t>
  </si>
  <si>
    <t>NYRSTAR AUSTRALIA PTY LTD</t>
  </si>
  <si>
    <t>46 124 535 468</t>
  </si>
  <si>
    <t>MINERAL RESOURCES LIMITED</t>
  </si>
  <si>
    <t>33 118 549 910</t>
  </si>
  <si>
    <t>CAJOSA PTY LTD</t>
  </si>
  <si>
    <t>73 002 724 021</t>
  </si>
  <si>
    <t>CLEANCO QUEENSLAND LIMITED</t>
  </si>
  <si>
    <t>85 628 008 159</t>
  </si>
  <si>
    <t>LIBERTY BELL BAY PTY LTD</t>
  </si>
  <si>
    <t>23 004 456 035</t>
  </si>
  <si>
    <t>AUSTRALIAN GAS NETWORKS HOLDINGS PTY LIMITED</t>
  </si>
  <si>
    <t>24 169 818 026</t>
  </si>
  <si>
    <t>BAYBRICK PTY. LTD.</t>
  </si>
  <si>
    <t>97 067 220 017</t>
  </si>
  <si>
    <t>A.C.N. 630 698 716 PTY LTD</t>
  </si>
  <si>
    <t>18 630 698 716</t>
  </si>
  <si>
    <t>WOLLONGONG COAL LIMITED</t>
  </si>
  <si>
    <t>28 111 244 896</t>
  </si>
  <si>
    <t>REMONDIS AUSTRALIA PTY LTD</t>
  </si>
  <si>
    <t>95 002 429 781</t>
  </si>
  <si>
    <t>REGIONAL EXPRESS HOLDINGS LIMITED</t>
  </si>
  <si>
    <t>18 099 547 270</t>
  </si>
  <si>
    <t>CSR LIMITED</t>
  </si>
  <si>
    <t>90 000 001 276</t>
  </si>
  <si>
    <t>LIBERTY HOLDINGS AUSTRALIA LTD</t>
  </si>
  <si>
    <t>16 627 011 938</t>
  </si>
  <si>
    <t>COLES GROUP LIMITED</t>
  </si>
  <si>
    <t>11 004 089 936</t>
  </si>
  <si>
    <t>DBNGP (WA) TRANSMISSION PTY LIMITED</t>
  </si>
  <si>
    <t>69 081 609 190</t>
  </si>
  <si>
    <t>QMAG PTY LIMITED</t>
  </si>
  <si>
    <t>68 111 279 906</t>
  </si>
  <si>
    <t>MELBOURNE WATER CORPORATION</t>
  </si>
  <si>
    <t>81 945 386 953</t>
  </si>
  <si>
    <t>ATCO AUSTRALIA PTY LTD</t>
  </si>
  <si>
    <t>74 091 033 546</t>
  </si>
  <si>
    <t>JELLINBAH GROUP PTY LTD</t>
  </si>
  <si>
    <t>54 010 754 793</t>
  </si>
  <si>
    <t>HOLCIM PARTICIPATIONS (AUSTRALIA) PTY LTD</t>
  </si>
  <si>
    <t>46 122 401 405</t>
  </si>
  <si>
    <t>SNOWY HYDRO LIMITED</t>
  </si>
  <si>
    <t>17 090 574 431</t>
  </si>
  <si>
    <t>AUSTRALIAN PARCELS GROUP PTY LTD</t>
  </si>
  <si>
    <t>21 649 001 409</t>
  </si>
  <si>
    <t>GRANGE RESOURCES LIMITED</t>
  </si>
  <si>
    <t>80 009 132 405</t>
  </si>
  <si>
    <t>FQM AUSTRALIA HOLDINGS PTY LTD</t>
  </si>
  <si>
    <t>77 136 613 075</t>
  </si>
  <si>
    <t>REGIS RESOURCES LIMITED</t>
  </si>
  <si>
    <t>28 009 174 761</t>
  </si>
  <si>
    <t>QMETCO LIMITED</t>
  </si>
  <si>
    <t>98 008 124 025</t>
  </si>
  <si>
    <t>ALLIANCE AVIATION SERVICES LIMITED</t>
  </si>
  <si>
    <t>96 153 361 525</t>
  </si>
  <si>
    <t>KELSIAN GROUP LIMITED</t>
  </si>
  <si>
    <t>49 109 078 257</t>
  </si>
  <si>
    <t>ORORA LIMITED</t>
  </si>
  <si>
    <t>55 004 275 165</t>
  </si>
  <si>
    <t>AUSTRALIAN ENERGY HOLDINGS NO 1 PTY LTD</t>
  </si>
  <si>
    <t>18 654 672 670</t>
  </si>
  <si>
    <t>DOWNER EDI LIMITED</t>
  </si>
  <si>
    <t>97 003 872 848</t>
  </si>
  <si>
    <t>BATCHFIRE RESOURCES PTY LTD</t>
  </si>
  <si>
    <t>84 607 340 189</t>
  </si>
  <si>
    <t>LEPGF PTY LTD</t>
  </si>
  <si>
    <t>82 640 391 868</t>
  </si>
  <si>
    <t>BRICKWORKS LTD</t>
  </si>
  <si>
    <t>17 000 028 526</t>
  </si>
  <si>
    <t>TOLL HOLDINGS PTY LIMITED</t>
  </si>
  <si>
    <t>25 006 592 089</t>
  </si>
  <si>
    <t>EVOLUTION MINING LIMITED</t>
  </si>
  <si>
    <t>74 084 669 036</t>
  </si>
  <si>
    <t>NORSKE SKOG INDUSTRIES AUSTRALIA LIMITED</t>
  </si>
  <si>
    <t>50 003 902 985</t>
  </si>
  <si>
    <t>WESTGOLD RESOURCES LIMITED</t>
  </si>
  <si>
    <t>60 009 260 306</t>
  </si>
  <si>
    <t>SOJITZ DEVELOPMENT PTY LTD</t>
  </si>
  <si>
    <t>34 063 050 680</t>
  </si>
  <si>
    <t>WILMAR AUSTRALIA HOLDINGS PTY LIMITED</t>
  </si>
  <si>
    <t>79 144 972 743</t>
  </si>
  <si>
    <t>BGC (AUSTRALIA) PTY LTD</t>
  </si>
  <si>
    <t>62 005 736 005</t>
  </si>
  <si>
    <t>TT-LINE COMPANY PTY. LTD.</t>
  </si>
  <si>
    <t>39 061 996 174</t>
  </si>
  <si>
    <t>WILPINJONG COAL PTY LTD</t>
  </si>
  <si>
    <t>87 104 594 694</t>
  </si>
  <si>
    <t>QUEENSLAND NITRATES PTY LTD</t>
  </si>
  <si>
    <t>63 079 889 268</t>
  </si>
  <si>
    <t>PILBARA MINERALS LIMITED</t>
  </si>
  <si>
    <t>95 112 425 788</t>
  </si>
  <si>
    <t>WASTE ASSETS MANAGEMENT CORPORATION</t>
  </si>
  <si>
    <t>56 784 733 957</t>
  </si>
  <si>
    <t>ENERGY QUEENSLAND LIMITED</t>
  </si>
  <si>
    <t>96 612 535 583</t>
  </si>
  <si>
    <t>SCT GROUP HOLDINGS PTY LTD</t>
  </si>
  <si>
    <t>39 651 271 920</t>
  </si>
  <si>
    <t>LEONE FAMILY HOLDINGS PTY LTD</t>
  </si>
  <si>
    <t>69 618 356 586</t>
  </si>
  <si>
    <t>RED 5 LIMITED</t>
  </si>
  <si>
    <t>73 068 647 610</t>
  </si>
  <si>
    <t>A.C.N. 166 119 133 PTY LTD</t>
  </si>
  <si>
    <t>31 166 119 133</t>
  </si>
  <si>
    <t>FULTON HOGAN AUSTRALIA PTY LTD</t>
  </si>
  <si>
    <t>42 135 849 115</t>
  </si>
  <si>
    <t>TEYS AUSTRALIA PTY LTD</t>
  </si>
  <si>
    <t>38 009 872 600</t>
  </si>
  <si>
    <t>ALBEMARLE WODGINA PTY LTD</t>
  </si>
  <si>
    <t>69 630 509 303</t>
  </si>
  <si>
    <t>V/LINE CORPORATION</t>
  </si>
  <si>
    <t>91 273 289 190</t>
  </si>
  <si>
    <t>JADESTONE ENERGY HOLDINGS LTD</t>
  </si>
  <si>
    <t>6TH FLOOR 60 GRACECHURCH STREET, LONDON, UNITED KINGDOM, EC3V 0HR</t>
  </si>
  <si>
    <t>RTA HOLDCO AUSTRALIA 1 PTY LTD</t>
  </si>
  <si>
    <t>17 128 762 318</t>
  </si>
  <si>
    <t>SILICON METAL COMPANY OF AUSTRALIA PTY LTD</t>
  </si>
  <si>
    <t>73 009 401 736</t>
  </si>
  <si>
    <t>RAMELIUS RESOURCES LIMITED</t>
  </si>
  <si>
    <t>51 001 717 540</t>
  </si>
  <si>
    <t>AUSTRALIAN POSTAL CORPORATION</t>
  </si>
  <si>
    <t>28 864 970 579</t>
  </si>
  <si>
    <t>BARALABA COAL COMPANY PTY LTD</t>
  </si>
  <si>
    <t>42 096 909 634</t>
  </si>
  <si>
    <t>TRANSDEV AUSTRALASIA PTY LTD</t>
  </si>
  <si>
    <t>40 079 303 816</t>
  </si>
  <si>
    <t>KINETIC TCO PTY LTD</t>
  </si>
  <si>
    <t>20 601 251 067</t>
  </si>
  <si>
    <t>LINDSAY AUSTRALIA LIMITED</t>
  </si>
  <si>
    <t>81 061 642 733</t>
  </si>
  <si>
    <t>AIRWORK FLIGHT OPERATIONS PTY LTD</t>
  </si>
  <si>
    <t>13 119 011 871</t>
  </si>
  <si>
    <t>CEVA PTY LTD</t>
  </si>
  <si>
    <t>27 122 147 433</t>
  </si>
  <si>
    <t>COMFORTDELGRO CORPORATION AUSTRALIA PTY LTD</t>
  </si>
  <si>
    <t>84 002 072 004</t>
  </si>
  <si>
    <t>RAVENSWOOD GOLD GROUP PTY LTD</t>
  </si>
  <si>
    <t>18 637 523 712</t>
  </si>
  <si>
    <t>SILVER LAKE RESOURCES LIMITED</t>
  </si>
  <si>
    <t>38 108 779 782</t>
  </si>
  <si>
    <t>AUSCAN HOLDINGS PTY LIMITED</t>
  </si>
  <si>
    <t>70 084 400 886</t>
  </si>
  <si>
    <t>RIO TINTO SHIPPING (ASIA) PTE LTD</t>
  </si>
  <si>
    <t>71 242 047 864</t>
  </si>
  <si>
    <t>CCP VI VG HOLDINGS PTY LTD</t>
  </si>
  <si>
    <t>41 630 151 530</t>
  </si>
  <si>
    <t>POWER AND WATER CORPORATION</t>
  </si>
  <si>
    <t>15 947 352 360</t>
  </si>
  <si>
    <t>SRI CORPORATION PTY LTD</t>
  </si>
  <si>
    <t>89 088 736 556</t>
  </si>
  <si>
    <t>BOWEN COKING COAL LIMITED</t>
  </si>
  <si>
    <t>72 064 874 620</t>
  </si>
  <si>
    <t>IGO LIMITED</t>
  </si>
  <si>
    <t>46 092 786 304</t>
  </si>
  <si>
    <t>NEW ZEALAND MILK (AUSTRALASIA) PTY LTD</t>
  </si>
  <si>
    <t>23 003 502 654</t>
  </si>
  <si>
    <t>KIMBERLY-CLARK PACIFIC HOLDINGS PTY LIMITED</t>
  </si>
  <si>
    <t>59 095 905 294</t>
  </si>
  <si>
    <t>A.A. SCOTT PROPRIETARY LIMITED</t>
  </si>
  <si>
    <t>14 007 601 667</t>
  </si>
  <si>
    <t>THE TRUSTEE FOR THE MADDINGLEY MINE TRUST</t>
  </si>
  <si>
    <t>63 604 564 597</t>
  </si>
  <si>
    <t>HOCHTIEF AUSTRALIA HOLDINGS LIMITED</t>
  </si>
  <si>
    <t>17 103 181 675</t>
  </si>
  <si>
    <t>DENISON GAS LIMITED</t>
  </si>
  <si>
    <t>86 625 883 561</t>
  </si>
  <si>
    <t>KEOLIS AUSTRALIA PTY LTD</t>
  </si>
  <si>
    <t>68 132 482 850</t>
  </si>
  <si>
    <t>BINGO INDUSTRIES LIMITED</t>
  </si>
  <si>
    <t>72 617 748 231</t>
  </si>
  <si>
    <t>A.J. BUSH &amp; SONS PTY LTD</t>
  </si>
  <si>
    <t>77 000 134 010</t>
  </si>
  <si>
    <t>MT CUTHBERT RESOURCES PTY LTD</t>
  </si>
  <si>
    <t>56 140 474 693</t>
  </si>
  <si>
    <t>WESTREET INVESTMENTS PTY LTD</t>
  </si>
  <si>
    <t>83 000 799 208</t>
  </si>
  <si>
    <t>MAINFREIGHT DISTRIBUTION PTY LIMITED</t>
  </si>
  <si>
    <t>85 003 840 319</t>
  </si>
  <si>
    <t>RON FINEMORE TRANSPORT PTY. LTD.</t>
  </si>
  <si>
    <t>30 106 495 087</t>
  </si>
  <si>
    <t>ST BARBARA LIMITED</t>
  </si>
  <si>
    <t>36 009 165 066</t>
  </si>
  <si>
    <t>TERRACOM LIMITED</t>
  </si>
  <si>
    <t>35 143 533 537</t>
  </si>
  <si>
    <t>NORTON GOLD FIELDS PTY LTD</t>
  </si>
  <si>
    <t>23 112 287 797</t>
  </si>
  <si>
    <t>MGM GROUP HOLDINGS PTY LTD</t>
  </si>
  <si>
    <t>89 107 407 385</t>
  </si>
  <si>
    <t>BORG MANUFACTURING PTY LIMITED</t>
  </si>
  <si>
    <t>31 003 246 357</t>
  </si>
  <si>
    <t>AUSTRALIAN PACIFIC COAL LIMITED</t>
  </si>
  <si>
    <t>49 089 206 986</t>
  </si>
  <si>
    <t>KARARA MINING LIMITED</t>
  </si>
  <si>
    <t>68 070 871 831</t>
  </si>
  <si>
    <t>MAGNETIC INFRASTRUCTURE GROUP PTY LTD</t>
  </si>
  <si>
    <t>81 663 518 563</t>
  </si>
  <si>
    <t>WESTSIDE ENERGY PTY LTD</t>
  </si>
  <si>
    <t>39 168 060 366</t>
  </si>
  <si>
    <t>WASTE TOP CO PTY LTD</t>
  </si>
  <si>
    <t>651 529 565</t>
  </si>
  <si>
    <t>BAPSH PTY LIMITED</t>
  </si>
  <si>
    <t>54 605 702 618</t>
  </si>
  <si>
    <t>BEGA CHEESE LIMITED</t>
  </si>
  <si>
    <t>81 008 358 503</t>
  </si>
  <si>
    <t>COLLINS TRANSPORT GROUP PTY LTD</t>
  </si>
  <si>
    <t>66 098 659 342</t>
  </si>
  <si>
    <t>ATCO GAS AUSTRALIA GP PTY LTD</t>
  </si>
  <si>
    <t>76 151 245 779</t>
  </si>
  <si>
    <t>GRINDING MEDIA PTY LTD</t>
  </si>
  <si>
    <t>47 615 611 759</t>
  </si>
  <si>
    <t>AVENG AUSTRALIA HOLDINGS PTY LTD</t>
  </si>
  <si>
    <t>33 108 058 331</t>
  </si>
  <si>
    <t>FOOD INVESTMENTS PTY. LIMITED</t>
  </si>
  <si>
    <t>85 008 426 177</t>
  </si>
  <si>
    <t>CAPRICORN METALS LTD</t>
  </si>
  <si>
    <t>84 121 700 105</t>
  </si>
  <si>
    <t>RESOURCECO HOLDINGS PTY LTD</t>
  </si>
  <si>
    <t>64 107 343 288</t>
  </si>
  <si>
    <t>THE TRUSTEE FOR COSTA'S UNIT TRUST</t>
  </si>
  <si>
    <t>72 534 822 931</t>
  </si>
  <si>
    <t>SEAROAD HOLDINGS PTY LTD</t>
  </si>
  <si>
    <t>16 123 749 655</t>
  </si>
  <si>
    <t>NH FOODS AUSTRALIA PTY LTD</t>
  </si>
  <si>
    <t>87 001 548 401</t>
  </si>
  <si>
    <t>STRAIT LINK AUSTRALIA HOLDINGS PTY LTD</t>
  </si>
  <si>
    <t>62 649 025 963</t>
  </si>
  <si>
    <t>WINDFIELD HOLDINGS PTY LTD</t>
  </si>
  <si>
    <t>60 160 456 164</t>
  </si>
  <si>
    <t>BAIADA PTY LTD</t>
  </si>
  <si>
    <t>47 000 426 808</t>
  </si>
  <si>
    <t>CONSOLIDATED MINERALS HOLDINGS (AUSTRALIA) PTY LIMITED</t>
  </si>
  <si>
    <t>88 127 662 257</t>
  </si>
  <si>
    <t>QGIF SWAN HOLDCO PTY LTD</t>
  </si>
  <si>
    <t>64 634 920 184</t>
  </si>
  <si>
    <t>B.M.D. HOLDINGS PTY. LIMITED</t>
  </si>
  <si>
    <t>47 010 093 348</t>
  </si>
  <si>
    <t>NATIONAL JET EXPRESS PTY LTD</t>
  </si>
  <si>
    <t>46 063 561 482</t>
  </si>
  <si>
    <t>COOPER ENERGY LIMITED</t>
  </si>
  <si>
    <t>93 096 170 295</t>
  </si>
  <si>
    <t>ROMALY HOLDINGS PTY LTD</t>
  </si>
  <si>
    <t>82 001 094 837</t>
  </si>
  <si>
    <t>FORESTRY CORPORATION OF NEW SOUTH WALES</t>
  </si>
  <si>
    <t>43 141 857 613</t>
  </si>
  <si>
    <t>KARORA RESOURCES PTY LTD</t>
  </si>
  <si>
    <t>74 633 381 218</t>
  </si>
  <si>
    <t>ENSCO AUSTRALIA PTY LIMITED</t>
  </si>
  <si>
    <t>79 100 601 634</t>
  </si>
  <si>
    <t>BLONDIE TRADING PTY LTD</t>
  </si>
  <si>
    <t>41 621 811 845</t>
  </si>
  <si>
    <t>LANCO RESOURCES AUSTRALIA PTY LTD</t>
  </si>
  <si>
    <t>30 147 835 452</t>
  </si>
  <si>
    <t>VEOLIA WATER AUSTRALIA PTY LTD</t>
  </si>
  <si>
    <t>99 061 161 279</t>
  </si>
  <si>
    <t>KNAUF GYPSUM PTY LTD</t>
  </si>
  <si>
    <t>84 004 231 976</t>
  </si>
  <si>
    <t>SHIYING AGRICULTURAL PRODUCTION PTY LTD</t>
  </si>
  <si>
    <t>40 619 012 038</t>
  </si>
  <si>
    <t>VITRINITE PTY LTD</t>
  </si>
  <si>
    <t>46 167 744 578</t>
  </si>
  <si>
    <t>BILLABONG GOLD PTY LTD</t>
  </si>
  <si>
    <t>34 613 900 922</t>
  </si>
  <si>
    <t>CENTRAL PETROLEUM LIMITED</t>
  </si>
  <si>
    <t>72 083 254 308</t>
  </si>
  <si>
    <t>BOORTMALT AUSTRALIA PTY LTD</t>
  </si>
  <si>
    <t>70 634 393 338</t>
  </si>
  <si>
    <t>SOLSTAD AUSTRALIA PTY LTD</t>
  </si>
  <si>
    <t>40 105 011 989</t>
  </si>
  <si>
    <t>SIMPLOT AUSTRALIA (HOLDINGS) PTY LIMITED</t>
  </si>
  <si>
    <t>23 070 571 934</t>
  </si>
  <si>
    <t>CITY OF KALGOORLIE-BOULDER</t>
  </si>
  <si>
    <t>63 711 737 609</t>
  </si>
  <si>
    <t>SOUTH AUSTRALIAN WATER CORPORATION</t>
  </si>
  <si>
    <t>69 336 525 019</t>
  </si>
  <si>
    <t>HYDRO-ELECTRIC CORPORATION</t>
  </si>
  <si>
    <t>48 072 377 158</t>
  </si>
  <si>
    <t>BARRO GROUP PTY. LIMITED</t>
  </si>
  <si>
    <t>005 105 724</t>
  </si>
  <si>
    <t>WAGGA WAGGA CITY COUNCIL</t>
  </si>
  <si>
    <t>56 044 159 537</t>
  </si>
  <si>
    <t>MINDARIE REGIONAL COUNCIL</t>
  </si>
  <si>
    <t>17 015 003 687</t>
  </si>
  <si>
    <t>BRISTOW HELICOPTERS AUSTRALIA PTY LTD.</t>
  </si>
  <si>
    <t>92 000 565 579</t>
  </si>
  <si>
    <t>ENDEAVOUR GROUP LIMITED</t>
  </si>
  <si>
    <t>77 159 767 843</t>
  </si>
  <si>
    <t>FRIESIAN PTY LTD</t>
  </si>
  <si>
    <t>33 625 545 995</t>
  </si>
  <si>
    <t>PANORAMIC RESOURCES LIMITED</t>
  </si>
  <si>
    <t>47 095 792 288</t>
  </si>
  <si>
    <t>NSW TRAINS</t>
  </si>
  <si>
    <t>50 325 560 455</t>
  </si>
  <si>
    <t>BOOTH TRANSPORT PTY LTD</t>
  </si>
  <si>
    <t>98 007 678 622</t>
  </si>
  <si>
    <t>MOUNT GIBSON IRON LIMITED</t>
  </si>
  <si>
    <t>87 008 670 817</t>
  </si>
  <si>
    <t>TEEKAY HOLDINGS AUSTRALIA PTY LTD</t>
  </si>
  <si>
    <t>12 125 391 880</t>
  </si>
  <si>
    <t>INGHAMS GROUP LIMITED</t>
  </si>
  <si>
    <t>39 162 709 506</t>
  </si>
  <si>
    <t>ACCIONA INFRASTRUCTURE ASIA PACIFIC PTY LTD</t>
  </si>
  <si>
    <t>19 609 210 139</t>
  </si>
  <si>
    <t>VENTURA MOTORS PROPRIETARY LIMITED</t>
  </si>
  <si>
    <t>67 004 235 518</t>
  </si>
  <si>
    <t>WATER CORPORATION</t>
  </si>
  <si>
    <t>28 003 434 917</t>
  </si>
  <si>
    <t>SYDNEY WATER CORPORATION</t>
  </si>
  <si>
    <t>49 776 225 038</t>
  </si>
  <si>
    <t>FLETCHER BUILDING (AUSTRALIA) PTY LTD</t>
  </si>
  <si>
    <t>11 093 539 452</t>
  </si>
  <si>
    <t>ALLKEM LIMITED</t>
  </si>
  <si>
    <t xml:space="preserve"> 112 589 910</t>
  </si>
  <si>
    <t>NOBLE DRILLING AUSTRALIA PTY LTD</t>
  </si>
  <si>
    <t>55 106 414 108</t>
  </si>
  <si>
    <t>AUSTRALIAN ENERGY MARKET OPERATOR LIMITED</t>
  </si>
  <si>
    <t>94 072 010 327</t>
  </si>
  <si>
    <t>AERIS RESOURCES LIMITED</t>
  </si>
  <si>
    <t>30 147 131 977</t>
  </si>
  <si>
    <t>RIDLEY CORPORATION LIMITED</t>
  </si>
  <si>
    <t>33 006 708 765</t>
  </si>
  <si>
    <t>PANTORO LIMITED</t>
  </si>
  <si>
    <t>30 003 207 467</t>
  </si>
  <si>
    <t>ASAHI HOLDINGS (AUSTRALIA) PTY LTD</t>
  </si>
  <si>
    <t>48 135 315 767</t>
  </si>
  <si>
    <t>ICON WATER LIMITED</t>
  </si>
  <si>
    <t>86 069 381 960</t>
  </si>
  <si>
    <t>SVITZER AUSTRALASIA HOLDINGS PTY LIMITED</t>
  </si>
  <si>
    <t>16 120 555 302</t>
  </si>
  <si>
    <t>HUME CITY COUNCIL</t>
  </si>
  <si>
    <t>14 854 354 856</t>
  </si>
  <si>
    <t>KILCOY INDUSTRIES AUSTRALIA PTY LTD</t>
  </si>
  <si>
    <t>16 125 927 308</t>
  </si>
  <si>
    <t>EASTERN METROPOLITAN REGIONAL COUNCIL</t>
  </si>
  <si>
    <t>89 631 866 056</t>
  </si>
  <si>
    <t>GRAINCORP LIMITED</t>
  </si>
  <si>
    <t>60 057 186 035</t>
  </si>
  <si>
    <t>LMS ENERGY PTY LTD</t>
  </si>
  <si>
    <t>39 059 428 474</t>
  </si>
  <si>
    <t>ACCIONA ENERGY OCEANIA PTY LTD</t>
  </si>
  <si>
    <t>98 102 345 719</t>
  </si>
  <si>
    <t>THE TRUSTEE FOR AFF HOLDING TRUST</t>
  </si>
  <si>
    <t>18 717 304 813</t>
  </si>
  <si>
    <t>CCCI AUSTRALIA PTY LTD</t>
  </si>
  <si>
    <t>95 603 555 988</t>
  </si>
  <si>
    <t>MACKAY SUGAR LIMITED</t>
  </si>
  <si>
    <t>12 057 463 671</t>
  </si>
  <si>
    <t>ETEX HOLDING AUSTRALIA II PTY LTD</t>
  </si>
  <si>
    <t>86 003 621 181</t>
  </si>
  <si>
    <t>LOCHARD ENERGY (IONA OPERATIONS HOLDING) PTY LTD</t>
  </si>
  <si>
    <t>23 608 441 041</t>
  </si>
  <si>
    <t>REGIONAL POWER CORPORATION</t>
  </si>
  <si>
    <t>57 955 011 697</t>
  </si>
  <si>
    <t>DIRECT FREIGHT EXPRESS PTY LIMITED</t>
  </si>
  <si>
    <t>66 060 136 870</t>
  </si>
  <si>
    <t>CEMENT AUSTRALIA PTY LIMITED</t>
  </si>
  <si>
    <t>75 104 053 474</t>
  </si>
  <si>
    <t>HWG HOLDINGS PTY LIMITED</t>
  </si>
  <si>
    <t>65 115 398 322</t>
  </si>
  <si>
    <t>CRAIG MOSTYN HOLDINGS PTY LIMITED</t>
  </si>
  <si>
    <t>14 008 398 356</t>
  </si>
  <si>
    <t>CENTRAL SEQ DISTRIBUTOR-RETAILER AUTHORITY</t>
  </si>
  <si>
    <t>86 673 835 011</t>
  </si>
  <si>
    <t>LACTALIS AUSTRALIA PTY LTD</t>
  </si>
  <si>
    <t>56 072 928 879</t>
  </si>
  <si>
    <t>THALES AUSTRALIA HOLDINGS PTY LTD</t>
  </si>
  <si>
    <t>84 058 583 841</t>
  </si>
  <si>
    <t>BOC LIMITED</t>
  </si>
  <si>
    <t>95 000 029 729</t>
  </si>
  <si>
    <t>AAPC LIMITED</t>
  </si>
  <si>
    <t>87 009 175 820</t>
  </si>
  <si>
    <t>AQUACULTURE AUSTRALIA HOLDCO PTY LTD</t>
  </si>
  <si>
    <t>57 660 056 440</t>
  </si>
  <si>
    <t>29METALS LIMITED</t>
  </si>
  <si>
    <t>95 650 096 094</t>
  </si>
  <si>
    <t>SORBENT PAPER HOLDINGS PTY LTD</t>
  </si>
  <si>
    <t>20 631 219 906</t>
  </si>
  <si>
    <t>QUEENSLAND RAIL</t>
  </si>
  <si>
    <t>68 598 268 528</t>
  </si>
  <si>
    <t>TASMANIAN WATER &amp; SEWERAGE CORPORATION PTY LTD</t>
  </si>
  <si>
    <t>47 162 220 653</t>
  </si>
  <si>
    <t>A B C TISSUE PRODUCTS PTY LTD</t>
  </si>
  <si>
    <t>33 003 085 112</t>
  </si>
  <si>
    <t>ELECTRICITY NETWORKS CORPORATION</t>
  </si>
  <si>
    <t>18 540 492 861</t>
  </si>
  <si>
    <t>THOMAS FOODS INTERNATIONAL CONSOLIDATED PTY LIMITED</t>
  </si>
  <si>
    <t>20 105 099 849</t>
  </si>
  <si>
    <t>UNITED MALT GROUP LIMITED</t>
  </si>
  <si>
    <t>61 140 174 189</t>
  </si>
  <si>
    <t>ALDI FOODS PTY LIMITED</t>
  </si>
  <si>
    <t>18 086 210 139</t>
  </si>
  <si>
    <t>EAGERS AUTOMOTIVE LIMITED</t>
  </si>
  <si>
    <t>87 009 680 013</t>
  </si>
  <si>
    <t>MMG MANAGEMENT PTY LTD</t>
  </si>
  <si>
    <t>33 115 312 680</t>
  </si>
  <si>
    <t>PTH NO 1 PTY LTD</t>
  </si>
  <si>
    <t>43 611 116 155</t>
  </si>
  <si>
    <t>MCCAIN FOODS (AUST) PTY LTD</t>
  </si>
  <si>
    <t>96 000 629 587</t>
  </si>
  <si>
    <t>SS SILVER PTY LTD</t>
  </si>
  <si>
    <t>40 644 174 710</t>
  </si>
  <si>
    <t>RITCHIES STORES PROPRIETARY LIMITED</t>
  </si>
  <si>
    <t>61 005 041 814</t>
  </si>
  <si>
    <t>ASSOCIATED KILN DRIERS PTY. LIMITED</t>
  </si>
  <si>
    <t>34 004 341 048</t>
  </si>
  <si>
    <t>TELSTRA GROUP LIMITED</t>
  </si>
  <si>
    <t>56 650 620 303</t>
  </si>
  <si>
    <t>NESTLE AUSTRALIA LTD</t>
  </si>
  <si>
    <t>77 000 011 316</t>
  </si>
  <si>
    <t>PEPSICO FOODS GROUP PTY LTD</t>
  </si>
  <si>
    <t>71 122 527 137</t>
  </si>
  <si>
    <t>SNACKING INVESTMENTS HOLDCO PTY LIMITED</t>
  </si>
  <si>
    <t>64 634 908 482</t>
  </si>
  <si>
    <t>DP WORLD AUSTRALIA (HOLDING) PTY LTD</t>
  </si>
  <si>
    <t>58 147 892 715</t>
  </si>
  <si>
    <t>LION PTY LTD</t>
  </si>
  <si>
    <t>50 128 004 268</t>
  </si>
  <si>
    <t>MARS WRIGLEY AUSTRALIA HOLDINGS PTY LTD</t>
  </si>
  <si>
    <t>68 133 509 930</t>
  </si>
  <si>
    <t>MONDELEZ AUSTRALIA HOLDINGS PTY LTD</t>
  </si>
  <si>
    <t>86 004 880 817</t>
  </si>
  <si>
    <t>RCI HOLDINGS PTY LTD</t>
  </si>
  <si>
    <t>55 101 671 121</t>
  </si>
  <si>
    <t>ESSENTIAL ENERGY</t>
  </si>
  <si>
    <t>37 428 185 226</t>
  </si>
  <si>
    <t>GLADSTONE PORTS CORPORATION LIMITED</t>
  </si>
  <si>
    <t>96 263 788 242</t>
  </si>
  <si>
    <t>SUEZ ANZ HOLDINGS PTY LTD</t>
  </si>
  <si>
    <t>94 653 823 726</t>
  </si>
  <si>
    <t>AURELIA METALS LIMITED</t>
  </si>
  <si>
    <t>37 108 476 384</t>
  </si>
  <si>
    <t>ST VINCENT'S HEALTH AUSTRALIA LTD</t>
  </si>
  <si>
    <t>75 073 503 536</t>
  </si>
  <si>
    <t>CCEP HOLDINGS (AUSTRALIA) PTY LTD</t>
  </si>
  <si>
    <t>80 645 547 968</t>
  </si>
  <si>
    <t>CSL LIMITED</t>
  </si>
  <si>
    <t>99 051 588 348</t>
  </si>
  <si>
    <t>VICTORIA POWER NETWORKS PTY LTD</t>
  </si>
  <si>
    <t>37 116 940 820</t>
  </si>
  <si>
    <t>MONASH HEALTH</t>
  </si>
  <si>
    <t>82 142 080 338</t>
  </si>
  <si>
    <t>IWATANI AUSTRALIA PTY LTD</t>
  </si>
  <si>
    <t>85 008 902 841</t>
  </si>
  <si>
    <t>NEW CENTURY RESOURCES LIMITED</t>
  </si>
  <si>
    <t>53 142 165 080</t>
  </si>
  <si>
    <t>KIRKLAND LAKE GOLD AUSTRALIA PTY LTD</t>
  </si>
  <si>
    <t>30 136 505 587</t>
  </si>
  <si>
    <t>MONASH UNIVERSITY</t>
  </si>
  <si>
    <t>12 377 614 012</t>
  </si>
  <si>
    <t>LENDLEASE CORPORATION LIMITED</t>
  </si>
  <si>
    <t>32 000 226 228</t>
  </si>
  <si>
    <t>NORTHERN SEQ DISTRIBUTOR - RETAILER AUTHORITY</t>
  </si>
  <si>
    <t>89 791 717 472</t>
  </si>
  <si>
    <t>CKI UTILITIES DEVELOPMENT LIMITED &amp; OTHERS</t>
  </si>
  <si>
    <t>13 332 330 749</t>
  </si>
  <si>
    <t>CO-OPERATIVE BULK HANDLING LIMITED</t>
  </si>
  <si>
    <t>29 256 604 947</t>
  </si>
  <si>
    <t>QUEENSLAND ELECTRICITY TRANSMISSION CORPORATION LIMITED</t>
  </si>
  <si>
    <t>82 078 849 233</t>
  </si>
  <si>
    <t>LITTLE COMPANY OF MARY HEALTH CARE LIMITED</t>
  </si>
  <si>
    <t>11 079 815 697</t>
  </si>
  <si>
    <t>DEXUS HOLDINGS PTY LIMITED</t>
  </si>
  <si>
    <t>48 110 366 946</t>
  </si>
  <si>
    <t>EPSILON DISTRIBUTION MINISTERIAL HOLDING CORPORATION</t>
  </si>
  <si>
    <t>59 253 130 878</t>
  </si>
  <si>
    <t>OLAM ORCHARDS AUSTRALIA PTY LTD</t>
  </si>
  <si>
    <t>15 139 442 532</t>
  </si>
  <si>
    <t>PACT GROUP HOLDINGS LTD</t>
  </si>
  <si>
    <t>55 145 989 644</t>
  </si>
  <si>
    <t>AUSTRALIAN NATIONAL UNIVERSITY</t>
  </si>
  <si>
    <t>52 234 063 906</t>
  </si>
  <si>
    <t>UNIVERSITY OF MELBOURNE</t>
  </si>
  <si>
    <t>84 002 705 224</t>
  </si>
  <si>
    <t>RAMSAY HEALTH CARE LIMITED</t>
  </si>
  <si>
    <t>57 001 288 768</t>
  </si>
  <si>
    <t>METCASH LIMITED</t>
  </si>
  <si>
    <t>32 112 073 480</t>
  </si>
  <si>
    <t>AUSTIN HEALTH</t>
  </si>
  <si>
    <t>96 237 388 063</t>
  </si>
  <si>
    <t>TRILITY GROUP PTY LTD</t>
  </si>
  <si>
    <t>39 144 522 565</t>
  </si>
  <si>
    <t>CHEMCO PTY LTD</t>
  </si>
  <si>
    <t>68 008 725 817</t>
  </si>
  <si>
    <t>ST JOHN OF GOD HEALTH CARE INC</t>
  </si>
  <si>
    <t>21 930 207 958</t>
  </si>
  <si>
    <t>IVE GROUP LIMITED</t>
  </si>
  <si>
    <t>62 606 252 644</t>
  </si>
  <si>
    <t>ALKANE RESOURCES LTD</t>
  </si>
  <si>
    <t>35 000 689 216</t>
  </si>
  <si>
    <t>ANZ HOSPITALS TOPCO PTY LTD</t>
  </si>
  <si>
    <t>20 631 014 965</t>
  </si>
  <si>
    <t>PERILYA LIMITED</t>
  </si>
  <si>
    <t>85 009 193 695</t>
  </si>
  <si>
    <t>COSTCO WHOLESALE AUSTRALIA, PTY. LTD.</t>
  </si>
  <si>
    <t>57 104 012 893</t>
  </si>
  <si>
    <t>MATER MISERICORDIAE LTD</t>
  </si>
  <si>
    <t>83 096 708 922</t>
  </si>
  <si>
    <t>NORTH METROPOLITAN HEALTH SERVICE</t>
  </si>
  <si>
    <t>61 282 636 952</t>
  </si>
  <si>
    <t>METALS ACQUISITION CORP. (AUSTRALIA) PTY LTD</t>
  </si>
  <si>
    <t>98 657 799 758</t>
  </si>
  <si>
    <t>CMOC MINING PTY LIMITED</t>
  </si>
  <si>
    <t>17 164 997 317</t>
  </si>
  <si>
    <t>QIC LIMITED</t>
  </si>
  <si>
    <t>95 942 373 762</t>
  </si>
  <si>
    <t>SCENTRE GROUP LIMITED</t>
  </si>
  <si>
    <t>66 001 671 496</t>
  </si>
  <si>
    <t>COMPETITIVE FOODS AUSTRALIA PTY LTD</t>
  </si>
  <si>
    <t>48 010 542 908</t>
  </si>
  <si>
    <t>COMMONWEALTH SCIENTIFIC AND INDUSTRIAL RESEARCH ORGANISATION</t>
  </si>
  <si>
    <t>41 687 119 230</t>
  </si>
  <si>
    <t>EVT LIMITED</t>
  </si>
  <si>
    <t>51 000 005 103</t>
  </si>
  <si>
    <t>AUSGRID MANAGEMENT PTY LTD</t>
  </si>
  <si>
    <t>83 615 449 548</t>
  </si>
  <si>
    <t>RICEGROWERS LIMITED</t>
  </si>
  <si>
    <t>55 007 481 156</t>
  </si>
  <si>
    <t>SYDNEY TRAINS</t>
  </si>
  <si>
    <t>38 284 779 682</t>
  </si>
  <si>
    <t>NSW ELECTRICITY NETWORKS OPERATIONS PTY LIMITED</t>
  </si>
  <si>
    <t>609 169 959</t>
  </si>
  <si>
    <t>YUXIN HOLDINGS PTY LIMITED</t>
  </si>
  <si>
    <t>53 653 087 257</t>
  </si>
  <si>
    <t>THE STAR ENTERTAINMENT GROUP LIMITED</t>
  </si>
  <si>
    <t>85 149 629 023</t>
  </si>
  <si>
    <t>THE UNITING CHURCH IN AUSTRALIA PROPERTY TRUST (Q.)</t>
  </si>
  <si>
    <t>25 548 385 225</t>
  </si>
  <si>
    <t>MIRVAC LIMITED</t>
  </si>
  <si>
    <t>92 003 280 699</t>
  </si>
  <si>
    <t>VILO ENTERPRISES PTY LTD</t>
  </si>
  <si>
    <t>070 890 229</t>
  </si>
  <si>
    <t>CHARTER HALL LIMITED</t>
  </si>
  <si>
    <t>57 113 531 150</t>
  </si>
  <si>
    <t>HOLIDAY INNS HOLDINGS (AUSTRALIA) PTY. LIMITED</t>
  </si>
  <si>
    <t>95 003 621 216</t>
  </si>
  <si>
    <t>BP AUSTRALIA INVESTMENTS PTY LTD</t>
  </si>
  <si>
    <t>66 102 991 551</t>
  </si>
  <si>
    <t>SONIC HEALTHCARE LIMITED</t>
  </si>
  <si>
    <t>24 004 196 909</t>
  </si>
  <si>
    <t>UNIVERSITY OF NEW SOUTH WALES</t>
  </si>
  <si>
    <t>57 195 873 179</t>
  </si>
  <si>
    <t>PUBLIC TRANSPORT AUTHORITY OF WESTERN AUSTRALIA</t>
  </si>
  <si>
    <t>61 850 109 576</t>
  </si>
  <si>
    <t>AIR LIQUIDE AUSTRALIA LIMITED</t>
  </si>
  <si>
    <t>57 004 385 782</t>
  </si>
  <si>
    <t>TASMANIAN NETWORKS PTY LTD</t>
  </si>
  <si>
    <t>24 167 357 299</t>
  </si>
  <si>
    <t>SYDNEY AVIATION ALLIANCE HOLDINGS PTY LTD</t>
  </si>
  <si>
    <t>54 654 912 197</t>
  </si>
  <si>
    <t>IX INFRASTRUCTURE PTY LTD</t>
  </si>
  <si>
    <t>78 629 750 401</t>
  </si>
  <si>
    <t>GPT MANAGEMENT HOLDINGS LIMITED</t>
  </si>
  <si>
    <t>67 113 510 188</t>
  </si>
  <si>
    <t>METRO TRAINS AUSTRALIA PTY LTD</t>
  </si>
  <si>
    <t>88 614 061 960</t>
  </si>
  <si>
    <t>HARVEY NORMAN HOLDINGS LTD</t>
  </si>
  <si>
    <t>54 003 237 545</t>
  </si>
  <si>
    <t>THE UNIVERSITY OF SYDNEY</t>
  </si>
  <si>
    <t>15 211 513 464</t>
  </si>
  <si>
    <t>VICINITY LIMITED</t>
  </si>
  <si>
    <t>90 114 757 783</t>
  </si>
  <si>
    <t>PFG TOPCO1 PTY LIMITED</t>
  </si>
  <si>
    <t>35 604 317 875</t>
  </si>
  <si>
    <t>SUN METALS HOLDINGS LIMITED</t>
  </si>
  <si>
    <t>30 051 538 580</t>
  </si>
  <si>
    <t>METRO TRAINS SYDNEY PTY LTD</t>
  </si>
  <si>
    <t>54 600 820 737</t>
  </si>
  <si>
    <t>WESTPAC BANKING CORPORATION</t>
  </si>
  <si>
    <t>33 007 457 141</t>
  </si>
  <si>
    <t>COMMONWEALTH BANK OF AUSTRALIA</t>
  </si>
  <si>
    <t>48 123 123 124</t>
  </si>
  <si>
    <t>TRANSURBAN HOLDINGS LIMITED</t>
  </si>
  <si>
    <t>86 098 143 429</t>
  </si>
  <si>
    <t>NATIONAL AUSTRALIA BANK LIMITED</t>
  </si>
  <si>
    <t>12 004 044 937</t>
  </si>
  <si>
    <t>ANZ GROUP HOLDINGS LIMITED</t>
  </si>
  <si>
    <t>16 659 510 791</t>
  </si>
  <si>
    <t>NBN CO LIMITED</t>
  </si>
  <si>
    <t>86 136 533 741</t>
  </si>
  <si>
    <t>MYER HOLDINGS LIMITED</t>
  </si>
  <si>
    <t>14 119 085 602</t>
  </si>
  <si>
    <t>SUNWATER LIMITED</t>
  </si>
  <si>
    <t>17 020 276 523</t>
  </si>
  <si>
    <t>ELECTRANET PTY LIMITED</t>
  </si>
  <si>
    <t>41 094 482 416</t>
  </si>
  <si>
    <t>TPG TELECOM LIMITED</t>
  </si>
  <si>
    <t>76 096 304 620</t>
  </si>
  <si>
    <t>QUEENSLAND BULK WATER SUPPLY AUTHORITY</t>
  </si>
  <si>
    <t>75 450 239 876</t>
  </si>
  <si>
    <t>AUSTRALIAN NUCLEAR SCIENCE AND TECHNOLOGY ORGANISATION</t>
  </si>
  <si>
    <t>47 956 969 590</t>
  </si>
  <si>
    <t>AIRTRUNK AUSTRALIA HOLDING PTY LTD</t>
  </si>
  <si>
    <t>50 616 379 232</t>
  </si>
  <si>
    <t>THE UNIVERSITY OF QUEENSLAND</t>
  </si>
  <si>
    <t>63 942 912 684</t>
  </si>
  <si>
    <t>A.C.N. 085 239 998 PTY LTD</t>
  </si>
  <si>
    <t>39 085 239 998</t>
  </si>
  <si>
    <t>DALRYMPLE BAY COAL TERMINAL PTY. LTD.</t>
  </si>
  <si>
    <t>12 010 268 167</t>
  </si>
  <si>
    <t>FUJITSU AUSTRALIA LTD</t>
  </si>
  <si>
    <t>19 001 011 427</t>
  </si>
  <si>
    <t>SINGAPORE TELECOM AUSTRALIA INVESTMENTS PTY LIMITED</t>
  </si>
  <si>
    <t>69 096 686 190</t>
  </si>
  <si>
    <t>FREQUENCY INFRASTRUCTURE AUSTRALIA HOLDINGS PTY LTD</t>
  </si>
  <si>
    <t>27 136 262 952</t>
  </si>
  <si>
    <t>EQUINIX AUSTRALIA PTY LIMITED</t>
  </si>
  <si>
    <t>25 092 807 264</t>
  </si>
  <si>
    <t>SUPER RETAIL GROUP LIMITED</t>
  </si>
  <si>
    <t>81 108 676 204</t>
  </si>
  <si>
    <t>NEXTDC LIMITED</t>
  </si>
  <si>
    <t>35 143 582 521</t>
  </si>
  <si>
    <t>AMAZON CORPORATE SERVICES PTY LTD</t>
  </si>
  <si>
    <t>95 082 931 600</t>
  </si>
  <si>
    <t>AMERICOLD LOGISTICS LIMITED</t>
  </si>
  <si>
    <t>58 004 902 998</t>
  </si>
  <si>
    <t>R.G. WITHERS NOMINEES PTY. LTD.</t>
  </si>
  <si>
    <t>005 620 860</t>
  </si>
  <si>
    <t>PORT WARATAH COAL SERVICES LTD</t>
  </si>
  <si>
    <t>99 001 363 828</t>
  </si>
  <si>
    <t>JB HI-FI LIMITED</t>
  </si>
  <si>
    <t>80 093 220 136</t>
  </si>
  <si>
    <t>NCIG HOLDINGS PTY LTD</t>
  </si>
  <si>
    <t>98 124 700 483</t>
  </si>
  <si>
    <t>MCDONALD'S AUSTRALIA LIMITED</t>
  </si>
  <si>
    <t>43 008 496 928</t>
  </si>
  <si>
    <t>CDC GROUP HOLDINGS PTY LTD</t>
  </si>
  <si>
    <t>67 612 332 073</t>
  </si>
  <si>
    <t>GLOBAL SWITCH AUSTRALIA HOLDINGS PTY LIMITED</t>
  </si>
  <si>
    <t>35 138 200 049</t>
  </si>
  <si>
    <t>DIGITAL AUSTRALIA INVESTMENT MANAGEMENT PTY LIMITED</t>
  </si>
  <si>
    <t>27 150 294 134</t>
  </si>
  <si>
    <t>LINEAGE AP HOLDINGS PTY LTD</t>
  </si>
  <si>
    <t>27 637 083 544</t>
  </si>
  <si>
    <t>Please note that where more than one person has operational control over a facility at the same time and no nomination of operational control has been made, data for the facility for the entire period must be reported by the controlling corporation of each entity with operational control. This results in the same facility being reported multiple times.
C S ENERGY LIMITED and GENUITY PTY LTD, have each included the same data for the Callide C Power Station in their NGER reports. For further information refer to the 2023–24 Greenhouse and energy information for designated generation facilities.</t>
  </si>
  <si>
    <t>FORTESCUE LTD</t>
  </si>
  <si>
    <t>ADBRI PTY LIMITED</t>
  </si>
  <si>
    <t>GLNG OPERATIONS PTY LTD</t>
  </si>
  <si>
    <t>66 132 321 192</t>
  </si>
  <si>
    <t>SGH LIMITED</t>
  </si>
  <si>
    <t>VEOLIA HOLDINGS AUSTRALIA PTY LTD</t>
  </si>
  <si>
    <t>82 663 593 093</t>
  </si>
  <si>
    <t>NEW HOPE CORPORATION LIMITED</t>
  </si>
  <si>
    <t>38 010 653 844</t>
  </si>
  <si>
    <t>NEWMONT INTERNATIONAL HOLDINGS PTY LTD</t>
  </si>
  <si>
    <t>53 667 812 642</t>
  </si>
  <si>
    <t>HEIDELBERG MATERIALS AUSTRALIA GROUP HOLDINGS PTY LTD</t>
  </si>
  <si>
    <t>VAULT MINERALS LIMITED</t>
  </si>
  <si>
    <t>THUNGELA RESOURCES AUSTRALIA PTY LIMITED</t>
  </si>
  <si>
    <t>97 665 159 759</t>
  </si>
  <si>
    <t xml:space="preserve">JADESTONE ENERGY HOLDINGS LTD </t>
  </si>
  <si>
    <t>PEMBROKE RESOURCES NOMINEE PTY LTD</t>
  </si>
  <si>
    <t>40 169 037 236</t>
  </si>
  <si>
    <t>AMPLITUDE ENERGY LIMITED</t>
  </si>
  <si>
    <t>GENESIS MINERALS LIMITED</t>
  </si>
  <si>
    <t>72 124 772 041</t>
  </si>
  <si>
    <t>WEBUILD S.P.A.</t>
  </si>
  <si>
    <t>83 159 573 896</t>
  </si>
  <si>
    <t>GPC ASIA PACIFIC HOLDINGS PTY LTD</t>
  </si>
  <si>
    <t>80 162 550 978</t>
  </si>
  <si>
    <t>FIGELA PTY LTD</t>
  </si>
  <si>
    <t>003 179 986</t>
  </si>
  <si>
    <t>RECYCLE AND RESOURCE HOLDINGS LIMITED</t>
  </si>
  <si>
    <t>20 649 347 302</t>
  </si>
  <si>
    <t>GELITA AUSTRALIA PTY LTD</t>
  </si>
  <si>
    <t>83 000 010 597</t>
  </si>
  <si>
    <t>AUSTRALIAN PANELS PTY LIMITED</t>
  </si>
  <si>
    <t>BELLEVUE GOLD LIMITED</t>
  </si>
  <si>
    <t>99 110 439 686</t>
  </si>
  <si>
    <t>IBERDROLA AUSTRALIA LIMITED</t>
  </si>
  <si>
    <t>39 105 051 616</t>
  </si>
  <si>
    <t>AURENNE GROUP HOLDINGS PTY LTD</t>
  </si>
  <si>
    <t>90 627 857 176</t>
  </si>
  <si>
    <t>SINGPOST AUSTRALIA INVESTMENTS PTY LTD</t>
  </si>
  <si>
    <t>94 646 430 408</t>
  </si>
  <si>
    <t>CATALYST METALS LIMITED</t>
  </si>
  <si>
    <t>54 118 912 495</t>
  </si>
  <si>
    <t>THE TRUSTEE FOR TAPCO UNIT TRUST</t>
  </si>
  <si>
    <t>15 131 829 412</t>
  </si>
  <si>
    <t>AIC MINES LIMITED</t>
  </si>
  <si>
    <t>11 060 156 452</t>
  </si>
  <si>
    <t>SERVICE STREAM LIMITED</t>
  </si>
  <si>
    <t>46 072 369 870</t>
  </si>
  <si>
    <t>TASMAN GLOBAL GROUP PTY LTD</t>
  </si>
  <si>
    <t>672 682 094</t>
  </si>
  <si>
    <t>NORTHERN CO-OPERATIVE MEAT COMPANY LIMITED</t>
  </si>
  <si>
    <t>42 060 208 366</t>
  </si>
  <si>
    <t>FLETCHER INTERNATIONAL GROUP PTY LTD</t>
  </si>
  <si>
    <t>75 626 211 907</t>
  </si>
  <si>
    <t>ALBEMARLE LITHIUM PTY LTD</t>
  </si>
  <si>
    <t>14 618 095 471</t>
  </si>
  <si>
    <t>DHL GLOBAL FORWARDING (AUSTRALIA) PTY LTD</t>
  </si>
  <si>
    <t>62 002 636 124</t>
  </si>
  <si>
    <t>SIBANYE STILLWATER AUSTRALIA OPERATIONS PTY LTD</t>
  </si>
  <si>
    <t>NSW ELECTRICITY NETWORKS OPERATIONS HOLDINGS PTY LTD</t>
  </si>
  <si>
    <t>609 266 033</t>
  </si>
  <si>
    <t>AR HOLDCO PTY LTD</t>
  </si>
  <si>
    <t>43 673 156 593</t>
  </si>
  <si>
    <t>Please note that where more than one person has operational control over a facility at the same time and no nomination of operational control has been made, data for the facility for the entire period must be reported by the controlling corporation of each entity with operational control. This results in the same facility being reported multiple times.
C S ENERGY LIMITED and IG POWER HOLDINGS LIMITED, have each included the same data for the Callide C Power Station in their NGER reports. For further information refer to the 2024–25 Greenhouse and energy information for designated generation facilities.</t>
  </si>
  <si>
    <t>IG POWER HOLDINGS LIMITED</t>
  </si>
  <si>
    <t>51 082 413 876</t>
  </si>
  <si>
    <t>GOLDEN M NSW PTY LTD</t>
  </si>
  <si>
    <t>62 674 991 345</t>
  </si>
  <si>
    <t>DYNO NOBEL LIMITED</t>
  </si>
  <si>
    <t>ONESTEEL MANUFACTURING PTY LIMITED</t>
  </si>
  <si>
    <t>42 004 651 325</t>
  </si>
  <si>
    <t>LEVEL 19, THE SHARD, 32 LONDON BRIDGE STREET, LONDON, SE1 9SG, ENGLAND</t>
  </si>
  <si>
    <t>QMETCO PTY LTD</t>
  </si>
  <si>
    <t>GREATLAND RESOURCES LIMITED</t>
  </si>
  <si>
    <t>17 668 338 618</t>
  </si>
  <si>
    <t>CSR PTY LTD</t>
  </si>
  <si>
    <t>BOYER CONSOLIDATED PTY LTD</t>
  </si>
  <si>
    <t>20 684 293 132</t>
  </si>
  <si>
    <t>PLS GROUP LIMITED</t>
  </si>
  <si>
    <t>DARTBROOK OPERATIONS PTY LTD</t>
  </si>
  <si>
    <t>21 664 671 318</t>
  </si>
  <si>
    <t>BEMCOVE PTY. LTD.</t>
  </si>
  <si>
    <t>91 010 843 606</t>
  </si>
  <si>
    <t>SENEX HOLDINGS PTY LTD</t>
  </si>
  <si>
    <t>45 656 318 759</t>
  </si>
  <si>
    <t>FENIX RESOURCES LTD</t>
  </si>
  <si>
    <t>68 125 323 622</t>
  </si>
  <si>
    <t>BUSWAYS AUSTRALIA PTY LTD</t>
  </si>
  <si>
    <t>26 643 586 225</t>
  </si>
  <si>
    <t>ETEX HOLDING AUSTRALIA PTY LTD</t>
  </si>
  <si>
    <t>54 645 836 531</t>
  </si>
  <si>
    <t>FIGELA  PTY LTD</t>
  </si>
  <si>
    <t>PORTA PRODUCTS PTY LIMITED</t>
  </si>
  <si>
    <t>BARRO GROUP PTY LIMITED</t>
  </si>
  <si>
    <t>A.C.N. 620 728 225 PTY. LTD.</t>
  </si>
  <si>
    <t>79 620 728 225</t>
  </si>
  <si>
    <t>THE TRUSTEE FOR XIE TRUST</t>
  </si>
  <si>
    <t>23 762 167 209</t>
  </si>
  <si>
    <t>VERMILION OIL &amp; GAS AUSTRALIA PTY LTD</t>
  </si>
  <si>
    <t>29 113 023 591</t>
  </si>
  <si>
    <t>D.M. &amp; M.T. NOLAN PTY. LTD.</t>
  </si>
  <si>
    <t>29 009 767 766</t>
  </si>
  <si>
    <t>ARMESTO'S HOLDINGS PTY LTD</t>
  </si>
  <si>
    <t>18 151 669 117</t>
  </si>
  <si>
    <t>FMH GROUP HOLDINGS PTY LTD</t>
  </si>
  <si>
    <t>KIMBERLEY MINERAL SANDS PTY LTD</t>
  </si>
  <si>
    <t>78 623 201 507</t>
  </si>
  <si>
    <t>LYNAS RARE EARTHS LIMITED</t>
  </si>
  <si>
    <t>27 009 066 648</t>
  </si>
  <si>
    <t>SEDCO FOREX INTERNATIONAL LIMITED</t>
  </si>
  <si>
    <t>44 188 717 522</t>
  </si>
  <si>
    <t>QPM ENERGY LIMITED</t>
  </si>
  <si>
    <t>61 125 368 658</t>
  </si>
  <si>
    <t>CASINO FOOD COMPANY LIMITED</t>
  </si>
  <si>
    <t>A.C.N. 110 934 891 PTY LTD</t>
  </si>
  <si>
    <t>110 934 891</t>
  </si>
  <si>
    <t>PANTORO GOLD LIMITED</t>
  </si>
  <si>
    <t>ALDI PTY LTD</t>
  </si>
  <si>
    <t>68 086 493 950</t>
  </si>
  <si>
    <t>AGNICO EAGLE AUSTRALIA PTY LTD</t>
  </si>
  <si>
    <t>AUSTRALIAN MEAT GROUP PTY LTD</t>
  </si>
  <si>
    <t>75 168 396 316</t>
  </si>
  <si>
    <t>COVALENT LITHIUM PTY LTD</t>
  </si>
  <si>
    <t>70 623 090 139</t>
  </si>
  <si>
    <t>BARTO INDUSTRY CO PTY LTD</t>
  </si>
  <si>
    <t>84 616 407 777</t>
  </si>
  <si>
    <t>NSW ELECTRICITY NETWORKS OPERATIONS HOLDINGS PTY LIMITED</t>
  </si>
  <si>
    <t>SIMS LIMITED</t>
  </si>
  <si>
    <t>69 114 838 630</t>
  </si>
  <si>
    <t>ENDEAVOUR ENERGY NETWORK MANAGEMENT PTY LTD</t>
  </si>
  <si>
    <t>22 617 221 495</t>
  </si>
  <si>
    <t>NEOEN AUSTRALIA PTY. LTD.</t>
  </si>
  <si>
    <t>57 160 905 706</t>
  </si>
  <si>
    <t>HMC DIGITAL INFRASTRUCTURE LTD</t>
  </si>
  <si>
    <t>64 682 024 924</t>
  </si>
  <si>
    <t>Rows 2022-23</t>
  </si>
  <si>
    <t>Rows 2023-24</t>
  </si>
  <si>
    <t>Rows 2024-25</t>
  </si>
  <si>
    <t>Blank organisation names</t>
  </si>
  <si>
    <t>Check</t>
  </si>
  <si>
    <t>Result</t>
  </si>
  <si>
    <t>Expected</t>
  </si>
  <si>
    <t>Status</t>
  </si>
  <si>
    <t>Total rows</t>
  </si>
  <si>
    <t>Duplicate organisation in same year</t>
  </si>
  <si>
    <t>Non-numeric Scope 1 values</t>
  </si>
  <si>
    <t>Negative Scope 1 or 2 values</t>
  </si>
  <si>
    <t>Scope 1 total 2024-25 (t CO2-e)</t>
  </si>
  <si>
    <t>Scope 2 total 2024-25 (t CO2-e)</t>
  </si>
  <si>
    <t>Records with an Important note</t>
  </si>
  <si>
    <t>ID</t>
  </si>
  <si>
    <t>Issue</t>
  </si>
  <si>
    <t>Original value</t>
  </si>
  <si>
    <t>Corrected value</t>
  </si>
  <si>
    <t>Difference</t>
  </si>
  <si>
    <t>Reason</t>
  </si>
  <si>
    <t>Resolution</t>
  </si>
  <si>
    <t>R1</t>
  </si>
  <si>
    <t>Corporate 2022-23 to 2024-25</t>
  </si>
  <si>
    <t>Blank rows imported</t>
  </si>
  <si>
    <t>1,242 rows</t>
  </si>
  <si>
    <t>1,192 rows</t>
  </si>
  <si>
    <t>50 rows</t>
  </si>
  <si>
    <t>Source files contain blank formatted rows below the data (12, 22 and 16 per year)</t>
  </si>
  <si>
    <t>Filtered out blank organisation names in Power Query</t>
  </si>
  <si>
    <t>R2</t>
  </si>
  <si>
    <t>Corporate 2024-25</t>
  </si>
  <si>
    <t>Decimal values reported</t>
  </si>
  <si>
    <t>68,831,147.2 t (Scope 2 total)</t>
  </si>
  <si>
    <t>68,831,147 t</t>
  </si>
  <si>
    <t>0.2 t</t>
  </si>
  <si>
    <t>Some 2024-25 values are reported to two decimals (e.g. Origin Energy Scope 2), unlike earlier years</t>
  </si>
  <si>
    <t>Kept source values; totals rounded to whole tonnes for reporting</t>
  </si>
  <si>
    <t>R3</t>
  </si>
  <si>
    <t>Corporate and facility, all years</t>
  </si>
  <si>
    <t>Same facility reported twice</t>
  </si>
  <si>
    <t>Callide C Power Station in two corporations’ totals</t>
  </si>
  <si>
    <t>Flagged, not removed</t>
  </si>
  <si>
    <t>4,195,086 MWh duplicated in 2024-25 facility totals</t>
  </si>
  <si>
    <t>Joint operational control with no nomination (as stated in the CER Important notes)</t>
  </si>
  <si>
    <t>Noted; facility analysis will remove the duplicate Callide C row</t>
  </si>
  <si>
    <t>R4</t>
  </si>
  <si>
    <t>Corporate 2022-23 vs 2023-24</t>
  </si>
  <si>
    <t>Entity name and ABN change</t>
  </si>
  <si>
    <t>NSW ELECTRICITY NETWORKS OPERATIONS PTY LIMITED (ABN 609 169 959)</t>
  </si>
  <si>
    <t>NSW ELECTRICITY NETWORKS OPERATIONS HOLDINGS PTY LTD (ABN 609 266 033)</t>
  </si>
  <si>
    <t>Different ABN</t>
  </si>
  <si>
    <t>Transgrid reporting entity changed between years</t>
  </si>
  <si>
    <t>Matched manually for trend analysis; flagged as a limitation</t>
  </si>
  <si>
    <t>R5</t>
  </si>
  <si>
    <t>Facility 2024-25</t>
  </si>
  <si>
    <t>Emission intensity rounded</t>
  </si>
  <si>
    <t>Published to 2 decimal places (e.g. 0.00)</t>
  </si>
  <si>
    <t>Precision loss in published column</t>
  </si>
  <si>
    <t>Format changed from 2023-24 (6+ decimals)</t>
  </si>
  <si>
    <t>Use recalculated intensity, not the published column</t>
  </si>
  <si>
    <t>R6</t>
  </si>
  <si>
    <t>Facility 2023-24 and 2024-25</t>
  </si>
  <si>
    <t>Corporate total rows mixed with facilities</t>
  </si>
  <si>
    <t>Type “C” (Corporate Total) rows included</t>
  </si>
  <si>
    <t>Use Type “F” rows only</t>
  </si>
  <si>
    <t>139–151 rows per year</t>
  </si>
  <si>
    <t>File includes both facility-level and corporate-total rows</t>
  </si>
  <si>
    <t>Filter Type = F before summing to avoid double counting</t>
  </si>
  <si>
    <t>Company</t>
  </si>
  <si>
    <t>State</t>
  </si>
  <si>
    <t>Match name</t>
  </si>
  <si>
    <t>Metric</t>
  </si>
  <si>
    <t>Change 2023-24</t>
  </si>
  <si>
    <t>Change 2024-25</t>
  </si>
  <si>
    <t>2-year change</t>
  </si>
  <si>
    <t>ElectraNet</t>
  </si>
  <si>
    <t>SA</t>
  </si>
  <si>
    <t>ELECTRANET*</t>
  </si>
  <si>
    <t>Scope 1</t>
  </si>
  <si>
    <t>Scope 2</t>
  </si>
  <si>
    <t>Total</t>
  </si>
  <si>
    <t>Transgrid</t>
  </si>
  <si>
    <t>NSW</t>
  </si>
  <si>
    <t>NSW ELECTRICITY NETWORKS OPERATIONS*</t>
  </si>
  <si>
    <t>Powerlink</t>
  </si>
  <si>
    <t>QLD</t>
  </si>
  <si>
    <t>QUEENSLAND ELECTRICITY TRANSMISSION*</t>
  </si>
  <si>
    <t>TasNetworks</t>
  </si>
  <si>
    <t>TAS</t>
  </si>
  <si>
    <t>TASMANIAN NETWORKS*</t>
  </si>
  <si>
    <t>Finding (fact)</t>
  </si>
  <si>
    <t>Supporting evidence</t>
  </si>
  <si>
    <t>Follow-up question for management</t>
  </si>
  <si>
    <t>Scope 1 rose 69.9% over two years (2,733 to 4,644 t CO2-e).</t>
  </si>
  <si>
    <t>Reported NGER values. The dataset does not state the cause.</t>
  </si>
  <si>
    <t>Which sources drove the Scope 1 increase, and is it expected to continue?</t>
  </si>
  <si>
    <t>Scope 2 fell 10.9% over two years (115,967 to 103,279 t CO2-e).</t>
  </si>
  <si>
    <t>Reported NGER values. Scope 2 made up 95.7% of total emissions in 2024-25.</t>
  </si>
  <si>
    <t>Is the fall driven by lower electricity use or losses, or by lower grid emission factors?</t>
  </si>
  <si>
    <t>Total emissions fell 9.1% over two years, while the Scope 1 share rose from 2.3% to 4.3%.</t>
  </si>
  <si>
    <t>Calculated from rows 2 and 3.</t>
  </si>
  <si>
    <t>Should Scope 1 reduction actions be prioritised as Scope 2 continues to fall?</t>
  </si>
  <si>
    <t>Total rose 32.6% in 2023-24, then fell 17.2% in 2024-25.</t>
  </si>
  <si>
    <t>The reporting entity name and ABN changed in 2023-24 (see R4). The movement may reflect a reporting boundary change; this is not confirmed.</t>
  </si>
  <si>
    <t>Was the 2023-24 increase caused by a change in reporting boundary?</t>
  </si>
  <si>
    <t>Total emissions were stable, within ±1% each year.</t>
  </si>
  <si>
    <t>Reported NGER values.</t>
  </si>
  <si>
    <t>Total fell 35.4% in 2023-24, then rose 16.1% in 2024-25.</t>
  </si>
  <si>
    <t>The movement was driven by Scope 2 (86,273 to 52,876 t CO2-e). The cause is not stated.</t>
  </si>
  <si>
    <t>What caused the Scope 2 fall in 2023-24?</t>
  </si>
  <si>
    <t>Reporting entity</t>
  </si>
  <si>
    <t>Facility name</t>
  </si>
  <si>
    <t>Type</t>
  </si>
  <si>
    <t>Electricity production (MWh)</t>
  </si>
  <si>
    <t>Primary fuel</t>
  </si>
  <si>
    <t>Cathedral Rocks Wind Farm</t>
  </si>
  <si>
    <t>F</t>
  </si>
  <si>
    <t>Wind</t>
  </si>
  <si>
    <t>Gunning Wind Farm</t>
  </si>
  <si>
    <t>Mortlake South Wind Farm</t>
  </si>
  <si>
    <t>VIC</t>
  </si>
  <si>
    <t>Mt Gellibrand Wind Farm</t>
  </si>
  <si>
    <t>Waubra Wind Farm</t>
  </si>
  <si>
    <t>Corporate Total</t>
  </si>
  <si>
    <t>C</t>
  </si>
  <si>
    <t>ACEN AUSTRALIA PTY LTD</t>
  </si>
  <si>
    <t>New England Solar Farm</t>
  </si>
  <si>
    <t>Solar</t>
  </si>
  <si>
    <t>ADANI RENEWABLE ASSET HOLDINGS PTY LTD</t>
  </si>
  <si>
    <t>Adani Rugby Run Solar Farm</t>
  </si>
  <si>
    <t>Banimboola Hydro</t>
  </si>
  <si>
    <t>Hydro</t>
  </si>
  <si>
    <t>Barker Inlet Power Station</t>
  </si>
  <si>
    <t>Gas</t>
  </si>
  <si>
    <t>Bayswater Power Station</t>
  </si>
  <si>
    <t>Black Coal</t>
  </si>
  <si>
    <t>Bogong Power Station</t>
  </si>
  <si>
    <t>Broken Hill Solar Plant</t>
  </si>
  <si>
    <t>Burrendong Hydro</t>
  </si>
  <si>
    <t>Clover Hydro</t>
  </si>
  <si>
    <t>Coopers Gap Wind Farm</t>
  </si>
  <si>
    <t>Copeton Hydro</t>
  </si>
  <si>
    <t>Dartmouth Hydro</t>
  </si>
  <si>
    <t>Eildon Hydro</t>
  </si>
  <si>
    <t>Glenbawn Hydro</t>
  </si>
  <si>
    <t>Hallett (Stage 1) Wind Farm</t>
  </si>
  <si>
    <t>Hallett (Stage 2) Wind Farm</t>
  </si>
  <si>
    <t>Hallett (Stage 4) Wind Farm</t>
  </si>
  <si>
    <t>Hallett (Stage 5) Wind Farm</t>
  </si>
  <si>
    <t>Kwinana Swift Power Station</t>
  </si>
  <si>
    <t>WA</t>
  </si>
  <si>
    <t>Loy Yang Power Station and Mine</t>
  </si>
  <si>
    <t>Brown Coal</t>
  </si>
  <si>
    <t>Macarthur Wind Farm</t>
  </si>
  <si>
    <t>McKay Creek Hydro</t>
  </si>
  <si>
    <t>Nyngan Solar Plant</t>
  </si>
  <si>
    <t>Oaklands Hill Wind Farm</t>
  </si>
  <si>
    <t>Pindari Hydro</t>
  </si>
  <si>
    <t>Rubicon Hydro Scheme</t>
  </si>
  <si>
    <t>Silverton Wind Farm</t>
  </si>
  <si>
    <t>Somerton Power Station</t>
  </si>
  <si>
    <t>Torrens Island Power Station</t>
  </si>
  <si>
    <t>Wattle Point Wind Farm</t>
  </si>
  <si>
    <t>West Kiewa Hydro</t>
  </si>
  <si>
    <t>Yarrawonga Hydro</t>
  </si>
  <si>
    <t>Alinta Pinjarra Generation Facility</t>
  </si>
  <si>
    <t>Bairnsdale Power Station</t>
  </si>
  <si>
    <t>Braemar Power Station</t>
  </si>
  <si>
    <t>Coal Seam Methane</t>
  </si>
  <si>
    <t>Loy Yang B Power Station</t>
  </si>
  <si>
    <t>Wagerup Power Station</t>
  </si>
  <si>
    <t>Yandin Wind Farm</t>
  </si>
  <si>
    <t>AMP AUSTRALIA HOLDINGS PTY LTD</t>
  </si>
  <si>
    <t>Hillston Sun Farm</t>
  </si>
  <si>
    <t>AMP ENERGY AUSTRALIA 1-1 PTY LTD</t>
  </si>
  <si>
    <t>Molong Solar Farm</t>
  </si>
  <si>
    <t>Badgingarra Solar Farm</t>
  </si>
  <si>
    <t>Badgingarra Wind Farm</t>
  </si>
  <si>
    <t>Darling Downs Solar Farm</t>
  </si>
  <si>
    <t>Diamantina Power Station</t>
  </si>
  <si>
    <t>Dugald River Solar Farm</t>
  </si>
  <si>
    <t>Emu Downs Solar Farm</t>
  </si>
  <si>
    <t>Emu Downs Wind Farm</t>
  </si>
  <si>
    <t>Newman Power Station</t>
  </si>
  <si>
    <t>Port Hedland Power Station</t>
  </si>
  <si>
    <t>Braemar 2 Power Station</t>
  </si>
  <si>
    <t>Karratha Power Station</t>
  </si>
  <si>
    <t>Osborne facility</t>
  </si>
  <si>
    <t>ATMOS QUEENSLAND SOLAR PTY LTD</t>
  </si>
  <si>
    <t>Childers Solar Farm</t>
  </si>
  <si>
    <t>Susan River Solar Farm</t>
  </si>
  <si>
    <t>The Daydream Solar Farm Trust</t>
  </si>
  <si>
    <t>The Hayman Solar Farm Trust</t>
  </si>
  <si>
    <t>ATMOS TOPCO PTY LTD</t>
  </si>
  <si>
    <t>KARADOC SOLAR FARM</t>
  </si>
  <si>
    <t>Kiata Wind Farm</t>
  </si>
  <si>
    <t>Nevertire Solar Farm</t>
  </si>
  <si>
    <t>AWF AUS HOLD OP CO PTY LTD</t>
  </si>
  <si>
    <t>Facility</t>
  </si>
  <si>
    <t>BALD HILLS WF HOLDINGS PTY LTD</t>
  </si>
  <si>
    <t>Bald Hills Wind Farm Pty Ltd</t>
  </si>
  <si>
    <t>Beryl Solar Farm</t>
  </si>
  <si>
    <t>Manildra Solar Farm</t>
  </si>
  <si>
    <t>BEI WWF PTY LTD</t>
  </si>
  <si>
    <t>Warradarge Wind Farm</t>
  </si>
  <si>
    <t>BEIJING JINGNENG CLEAN ENERGY (AUSTRALIA) HOLDING PTY LTD</t>
  </si>
  <si>
    <t>Gullen Solar Pty Ltd</t>
  </si>
  <si>
    <t>New Gullen Range Wind Farm Pty Ltd</t>
  </si>
  <si>
    <t>Newtricity Developments Biala Pty Ltd</t>
  </si>
  <si>
    <t>Yarnima Power Station</t>
  </si>
  <si>
    <t>Bluewaters Power 1</t>
  </si>
  <si>
    <t>Bluewaters Power 2</t>
  </si>
  <si>
    <t>Callide B Power Station</t>
  </si>
  <si>
    <t>Callide C Power Station</t>
  </si>
  <si>
    <t>Chinchilla BESS</t>
  </si>
  <si>
    <t>Battery</t>
  </si>
  <si>
    <t>Kogan Creek Power Station</t>
  </si>
  <si>
    <t>Canunda Wind Farm</t>
  </si>
  <si>
    <t>CAPE BYRON MANAGEMENT PTY LTD</t>
  </si>
  <si>
    <t>Broadwater Power Plant</t>
  </si>
  <si>
    <t>Wood</t>
  </si>
  <si>
    <t>Condong Power Plant</t>
  </si>
  <si>
    <t>CBWF HOLDINGS PTY LIMITED</t>
  </si>
  <si>
    <t>CECEP WIND POWER AUSTRALIA HOLDING PTY LTD</t>
  </si>
  <si>
    <t>White Rock Wind Farm Pty Ltd</t>
  </si>
  <si>
    <t>CHERRY TREE HOLD CO PTY LTD</t>
  </si>
  <si>
    <t>Cherry Tree Wind Farm Pty Ltd</t>
  </si>
  <si>
    <t>Glenrowan Solar Farm Pty Ltd</t>
  </si>
  <si>
    <t>CLARE SOLAR FARM HOLDINGS PTY LTD</t>
  </si>
  <si>
    <t>Clare Solar Farm</t>
  </si>
  <si>
    <t>Barron Gorge Power Station</t>
  </si>
  <si>
    <t>Kareeya Power Station</t>
  </si>
  <si>
    <t>Swanbank E Power Station</t>
  </si>
  <si>
    <t>Wivenhoe Power Station</t>
  </si>
  <si>
    <t>Cullerin Range Wind Farm</t>
  </si>
  <si>
    <t>CWF HOLDINGS PTY LTD</t>
  </si>
  <si>
    <t>Collgar Wind Farm</t>
  </si>
  <si>
    <t>DIF INFRA 4 HOLDINGS AUSTRALIA PTY LTD</t>
  </si>
  <si>
    <t>Royalla Solar Farm</t>
  </si>
  <si>
    <t>ACT</t>
  </si>
  <si>
    <t>DUNDONNELL WIND FARM PTY LTD</t>
  </si>
  <si>
    <t>Dundonnell Wind Farm</t>
  </si>
  <si>
    <t>EDIFY GROUP HOLDINGS PTY LTD</t>
  </si>
  <si>
    <t>Darlington Point Solar Farm Pty Ltd</t>
  </si>
  <si>
    <t>Gannawarra Solar Farm Pty Ltd</t>
  </si>
  <si>
    <t>GESS ProjectCo Pty Ltd</t>
  </si>
  <si>
    <t>Hamilton Solar Farm Pty Ltd</t>
  </si>
  <si>
    <t>NT</t>
  </si>
  <si>
    <t>The DPESS Trust</t>
  </si>
  <si>
    <t>The RESS 1 Trust</t>
  </si>
  <si>
    <t>The RESS 2 Trust</t>
  </si>
  <si>
    <t>Glennies Creek WCMG Power Station</t>
  </si>
  <si>
    <t>Waste Coal Mine Gas</t>
  </si>
  <si>
    <t>Oaky Creek II WCMG Power Station</t>
  </si>
  <si>
    <t>Oaky Creek WCMG Power Station</t>
  </si>
  <si>
    <t>Tahmoor WCMG Power Station</t>
  </si>
  <si>
    <t>Appin CSM Power Station</t>
  </si>
  <si>
    <t>Tower CSM Power Station</t>
  </si>
  <si>
    <t>German Creek CMM Power Station</t>
  </si>
  <si>
    <t>Jabiru Power Station</t>
  </si>
  <si>
    <t>Diesel</t>
  </si>
  <si>
    <t>Eastern Creek LFG Power Station</t>
  </si>
  <si>
    <t>Landfill Gas</t>
  </si>
  <si>
    <t>Grange Avenue LFG Power Station</t>
  </si>
  <si>
    <t>Jack's Gully LFG Power Station</t>
  </si>
  <si>
    <t>Lucas Heights 1 LFG Power Station</t>
  </si>
  <si>
    <t>Lucas Heights 2 LFG Power Station</t>
  </si>
  <si>
    <t>Browns Plains LFG Power Station</t>
  </si>
  <si>
    <t>Wingfield 1 LFG Power Station</t>
  </si>
  <si>
    <t>Wingfield 2 LFG Power Station</t>
  </si>
  <si>
    <t>Berwick LFG Power Station</t>
  </si>
  <si>
    <t>Broadmeadows LFG Power Station</t>
  </si>
  <si>
    <t>Brooklyn LFG Power Station</t>
  </si>
  <si>
    <t>Clayton LFG Power Station</t>
  </si>
  <si>
    <t>Corio LFG Power Station</t>
  </si>
  <si>
    <t>Springvale LFG Power Station</t>
  </si>
  <si>
    <t>McArthur River Power Station</t>
  </si>
  <si>
    <t>Pine Creek A Power Station</t>
  </si>
  <si>
    <t>Broome LNG Power Station</t>
  </si>
  <si>
    <t>Derby LNG Power Station</t>
  </si>
  <si>
    <t>Fitzroy Crossing LNG Power Station</t>
  </si>
  <si>
    <t>Halls Creek LNG Power Station</t>
  </si>
  <si>
    <t>Looma NGD power Station</t>
  </si>
  <si>
    <t>Grosvenor 1 WCMG Power Station</t>
  </si>
  <si>
    <t>Grosvenor 2 WCMG Power Station</t>
  </si>
  <si>
    <t>Moranbah North CMM Power Station</t>
  </si>
  <si>
    <t>Alkimos Beach Community Battery</t>
  </si>
  <si>
    <t>Bremer Bay Wind Diesel Power Station</t>
  </si>
  <si>
    <t>Cockburn Power Station</t>
  </si>
  <si>
    <t>Collie Power Station</t>
  </si>
  <si>
    <t>Coral Bay Wind Diesel Power Station</t>
  </si>
  <si>
    <t>Hopetoun Wind Diesel Power Station</t>
  </si>
  <si>
    <t>Kalbarri Wind Farm</t>
  </si>
  <si>
    <t>Kalgoorlie Gas Turbine Station</t>
  </si>
  <si>
    <t>Kwinana Battery Energy Storage Site</t>
  </si>
  <si>
    <t>Kwinana Power Station</t>
  </si>
  <si>
    <t>Muja Power Station</t>
  </si>
  <si>
    <t>Mungarra Gas Turbine Station</t>
  </si>
  <si>
    <t>Pinjar Gas Turbine Station</t>
  </si>
  <si>
    <t>VPP4S</t>
  </si>
  <si>
    <t>Ravensthorpe Power Station</t>
  </si>
  <si>
    <t>POTENTIA ENERGY GROUP PTY LTD</t>
  </si>
  <si>
    <t>Bungala One Solar Farm</t>
  </si>
  <si>
    <t>Bungala Two Solar Farm</t>
  </si>
  <si>
    <t>Cohuna Solar Farm</t>
  </si>
  <si>
    <t>Ardyaloon Facility</t>
  </si>
  <si>
    <t>Beagle Bay Facility</t>
  </si>
  <si>
    <t>Bidyadanga Facility</t>
  </si>
  <si>
    <t>Coober Pedy Facility</t>
  </si>
  <si>
    <t>Djarindjin Facility</t>
  </si>
  <si>
    <t>Leonora Facility</t>
  </si>
  <si>
    <t>Warmun Facility</t>
  </si>
  <si>
    <t>Aurukun Remote generation</t>
  </si>
  <si>
    <t>Badu Island Remote Generation</t>
  </si>
  <si>
    <t>Bamaga Remote Generation</t>
  </si>
  <si>
    <t>Barcaldine Power Station Facility</t>
  </si>
  <si>
    <t>Bedourie Remote Generation</t>
  </si>
  <si>
    <t>Birdsville Remote Generation</t>
  </si>
  <si>
    <t>Boigu Island Remote Generation</t>
  </si>
  <si>
    <t>Boulia Remote Generation</t>
  </si>
  <si>
    <t>Burketown Remote Generation</t>
  </si>
  <si>
    <t>Camooweal Remote Generation</t>
  </si>
  <si>
    <t>Coconut Island Remote Generation</t>
  </si>
  <si>
    <t>Coen Remote Generation</t>
  </si>
  <si>
    <t>Darnley Island Remote Generation</t>
  </si>
  <si>
    <t>Dauan Island Remote Generation</t>
  </si>
  <si>
    <t>Domain Shopping centre Solar Farm</t>
  </si>
  <si>
    <t>Doomadgee Remote Generation</t>
  </si>
  <si>
    <t>Energy Impact - Bromelton Peak Generation Plant - Facility</t>
  </si>
  <si>
    <t>Energy Impact - Generation - Facility</t>
  </si>
  <si>
    <t>Grand Central Shopping Centre Solar Farm</t>
  </si>
  <si>
    <t>Gununa Remote Generation</t>
  </si>
  <si>
    <t>Hammond Island</t>
  </si>
  <si>
    <t>Jundah Remote Generation</t>
  </si>
  <si>
    <t>Kowanyama Remote Generation</t>
  </si>
  <si>
    <t>Kubin Island Remote Generation</t>
  </si>
  <si>
    <t>Lockhart River Remote Generation</t>
  </si>
  <si>
    <t>Logan Hyperdome Solar Farm</t>
  </si>
  <si>
    <t>Mabuig Island Remote Generation</t>
  </si>
  <si>
    <t>Mapoon Remote Generation</t>
  </si>
  <si>
    <t>Murray Island Remote Generation</t>
  </si>
  <si>
    <t>Palm Island Remote Generation</t>
  </si>
  <si>
    <t>Pormpuraaw</t>
  </si>
  <si>
    <t>Robina Shopping Centre Solar Farm</t>
  </si>
  <si>
    <t>Sabai Island Remote Generation</t>
  </si>
  <si>
    <t>Stephen Island Remote Generation</t>
  </si>
  <si>
    <t>Thursday Island Remote Generation</t>
  </si>
  <si>
    <t>Warraber Island Remote Generation</t>
  </si>
  <si>
    <t>Wasaga Remote Generation</t>
  </si>
  <si>
    <t>Water Gardens Shopping Centre Solar Farm</t>
  </si>
  <si>
    <t>Windorah Remote Generation</t>
  </si>
  <si>
    <t>Yam Island</t>
  </si>
  <si>
    <t>York Island</t>
  </si>
  <si>
    <t>EnergyAustralia Virtual Power Plant (EA VPP)</t>
  </si>
  <si>
    <t>Hallett Power Station</t>
  </si>
  <si>
    <t>Jeeralang Power Station</t>
  </si>
  <si>
    <t>Mt Piper Power Station</t>
  </si>
  <si>
    <t>Newport Power Station</t>
  </si>
  <si>
    <t>Tallawarra Power Station</t>
  </si>
  <si>
    <t>Virtual Power Plant</t>
  </si>
  <si>
    <t>Yallourn Power Station</t>
  </si>
  <si>
    <t>Essential Energy Generation Facility - Broken Hill Gas Turbine</t>
  </si>
  <si>
    <t>EWP AUSTRALIA PTY LTD</t>
  </si>
  <si>
    <t>Columboola Solar Farm Hold Co Pty Ltd</t>
  </si>
  <si>
    <t>FENGATE EXMOUTH ENERGY SPV PTY LTD</t>
  </si>
  <si>
    <t>Exmouth Power Station Pty Ltd</t>
  </si>
  <si>
    <t>FINLEY SOLAR HOLDINGS PTY LTD</t>
  </si>
  <si>
    <t>Finley Solar Farm</t>
  </si>
  <si>
    <t>Solomon Power Station</t>
  </si>
  <si>
    <t>FS OAKEY 2 PTY LTD</t>
  </si>
  <si>
    <t>Oakey 2 Solar Farm</t>
  </si>
  <si>
    <t>GENEX POWER LIMITED</t>
  </si>
  <si>
    <t>Jemalong PV Asset Pty Ltd as Trustee for the Jemalong PV Asset Trust</t>
  </si>
  <si>
    <t>Kidston Solar One - Solar – Qld</t>
  </si>
  <si>
    <t>GENTARI RENEWABLES AUSTRALIA PTY LTD</t>
  </si>
  <si>
    <t>Clermont Solar Farm</t>
  </si>
  <si>
    <t>Wemen Solar Farm</t>
  </si>
  <si>
    <t>Callide C Power Station (facility)</t>
  </si>
  <si>
    <t>Millmerran Power Station (facility)</t>
  </si>
  <si>
    <t>GLOBAL POWER GENERATION AUSTRALIA PTY LTD</t>
  </si>
  <si>
    <t>Berrybank 2 Wind farm</t>
  </si>
  <si>
    <t>Berrybank Wind farm</t>
  </si>
  <si>
    <t>Crookwell 2 Wind farm</t>
  </si>
  <si>
    <t>Crookwell 3 Windfarm</t>
  </si>
  <si>
    <t>Cunderdin Solar/BESS</t>
  </si>
  <si>
    <t>Hawkesdale Windfarm</t>
  </si>
  <si>
    <t>Queanbeyan Battery Energy Storage System</t>
  </si>
  <si>
    <t>Ryans Corner Windfarm</t>
  </si>
  <si>
    <t>GOLDFIELDS POWER PTY LTD</t>
  </si>
  <si>
    <t>Parkeston Power Station</t>
  </si>
  <si>
    <t>GOONUMBLA HOLDINGS CO PTY. LTD.</t>
  </si>
  <si>
    <t>Goonumbla Solar Farm</t>
  </si>
  <si>
    <t>HUGHENDEN SOLAR FARM HOLDCO PTY LTD</t>
  </si>
  <si>
    <t>HUGHENDEN SOLAR FARM</t>
  </si>
  <si>
    <t>HYDRO POWER PTY. LIMITED</t>
  </si>
  <si>
    <t>Wyangala A</t>
  </si>
  <si>
    <t>Wyangala B</t>
  </si>
  <si>
    <t>Hydro Power Station - Bastyan</t>
  </si>
  <si>
    <t>Hydro Power Station - Butlers Gorge inc Nieterana</t>
  </si>
  <si>
    <t>Hydro Power Station - Catagunya</t>
  </si>
  <si>
    <t>Hydro Power Station - Cethana</t>
  </si>
  <si>
    <t>Hydro Power Station - Cluny</t>
  </si>
  <si>
    <t>Hydro Power Station - Devils Gate</t>
  </si>
  <si>
    <t>Hydro Power Station - Fisher &amp; Rowallan</t>
  </si>
  <si>
    <t>Hydro Power Station - Gordon</t>
  </si>
  <si>
    <t>Hydro Power Station - John Butters</t>
  </si>
  <si>
    <t>Hydro Power Station - Lake Echo</t>
  </si>
  <si>
    <t>Hydro Power Station - Lake Margaret Lower</t>
  </si>
  <si>
    <t>Hydro Power Station - Lake Margaret Upper</t>
  </si>
  <si>
    <t>Hydro Power Station - Lemonthyme</t>
  </si>
  <si>
    <t>Hydro Power Station - Liapootah</t>
  </si>
  <si>
    <t>Hydro Power Station - Mackintosh</t>
  </si>
  <si>
    <t>Hydro Power Station - Meadowbank</t>
  </si>
  <si>
    <t>Hydro Power Station - Paloona</t>
  </si>
  <si>
    <t>Hydro Power Station - Parangana</t>
  </si>
  <si>
    <t>Hydro Power Station - Poatina</t>
  </si>
  <si>
    <t>Hydro Power Station - Reece</t>
  </si>
  <si>
    <t>Hydro Power Station - Repulse</t>
  </si>
  <si>
    <t>Hydro Power Station - Tarraleah</t>
  </si>
  <si>
    <t>Hydro Power Station - Tods Corner</t>
  </si>
  <si>
    <t>Hydro Power Station - Trevallyn</t>
  </si>
  <si>
    <t>Hydro Power Station - Tribute</t>
  </si>
  <si>
    <t>Hydro Power Station - Tungatinah</t>
  </si>
  <si>
    <t>Hydro Power Station - Wayatinah</t>
  </si>
  <si>
    <t>Hydro Power Station - Wilmot</t>
  </si>
  <si>
    <t>Power Station - Flinders Island</t>
  </si>
  <si>
    <t>Power Station - King Island</t>
  </si>
  <si>
    <t>Power Station - Tamar Valley</t>
  </si>
  <si>
    <t>Alinta Wind Farm</t>
  </si>
  <si>
    <t>Avonlie Solar Farm</t>
  </si>
  <si>
    <t>Bodangora Wind Farm</t>
  </si>
  <si>
    <t>Bolivar Power Station</t>
  </si>
  <si>
    <t>Capital Wind Farm</t>
  </si>
  <si>
    <t>Lake Bonney BESS Pty Ltd</t>
  </si>
  <si>
    <t>Lake Bonney Stage 1,2 &amp; 3 Wind Farm</t>
  </si>
  <si>
    <t>PAREP Wind</t>
  </si>
  <si>
    <t>Smithfield Gas Turbine</t>
  </si>
  <si>
    <t>Woodlawn Wind Farm</t>
  </si>
  <si>
    <t>INTERA HOLD (T) PTY LTD</t>
  </si>
  <si>
    <t>Ross River Solar Farm</t>
  </si>
  <si>
    <t>KENNEDY ENERGY PARK HOLDINGS PTY LTD</t>
  </si>
  <si>
    <t>Kennedy Energy Park Pty Ltd</t>
  </si>
  <si>
    <t>KIAMCO HANWHA FORESIGHT BANNERTON PTY LTD</t>
  </si>
  <si>
    <t>Bannerton Solar Farm</t>
  </si>
  <si>
    <t>LAL LAL WIND FARMS NOM CO PTY LIMITED</t>
  </si>
  <si>
    <t>Lal Lal Wind Farm</t>
  </si>
  <si>
    <t>Kalamunda Power Station</t>
  </si>
  <si>
    <t>Red Hill LFG Power Station</t>
  </si>
  <si>
    <t>Tamala Park LFG Power Station</t>
  </si>
  <si>
    <t>LGI LIMITED</t>
  </si>
  <si>
    <t>Benaraby LFGE Station</t>
  </si>
  <si>
    <t>Bunya LFGE Station</t>
  </si>
  <si>
    <t>Caboolture LFGE Station</t>
  </si>
  <si>
    <t>Dakabin LFGE Station</t>
  </si>
  <si>
    <t>Maryborough LFGE Station</t>
  </si>
  <si>
    <t>Mugga Lane LFGE Station</t>
  </si>
  <si>
    <t>Willawong LFGE Station</t>
  </si>
  <si>
    <t>LIGHTHOUSE INFRASTRUCTURE MANAGEMENT LIMITED</t>
  </si>
  <si>
    <t>Emerald Solar Park</t>
  </si>
  <si>
    <t>LILYVALE HOLDINGS CO PTY. LTD.</t>
  </si>
  <si>
    <t>Lilyvale Solar Farm</t>
  </si>
  <si>
    <t>LINCOLN GAP OPERATIONS PTY LTD</t>
  </si>
  <si>
    <t>Lincoln Gap Wind Farm Operations Pty Ltd</t>
  </si>
  <si>
    <t>Albury Renewable Energy Facility</t>
  </si>
  <si>
    <t>Albury Solar Facility</t>
  </si>
  <si>
    <t>Awaba Renewable Energy Facility</t>
  </si>
  <si>
    <t>Ballarat Renewable Energy Facility</t>
  </si>
  <si>
    <t>Bendigo Renewable Energy Facility</t>
  </si>
  <si>
    <t>Caloundra Renewable Energy Facility</t>
  </si>
  <si>
    <t>Copping Renewable Energy Facility</t>
  </si>
  <si>
    <t>Darwin Renewable Energy Facility</t>
  </si>
  <si>
    <t>Drysdale Renewable Energy Facility</t>
  </si>
  <si>
    <t>Eastern Creek 2 Renewable Energy Facility</t>
  </si>
  <si>
    <t>Glenorchy Renewable Energy Facility</t>
  </si>
  <si>
    <t>Hampton Park Renewable Energy Facility</t>
  </si>
  <si>
    <t>Henderson Renewable Energy Facility</t>
  </si>
  <si>
    <t>Ipswich Renewable Energy Facility</t>
  </si>
  <si>
    <t>Mc Robies Gully Renewable Energy Facility</t>
  </si>
  <si>
    <t>Mornington Peninsula Renewable Energy Facility</t>
  </si>
  <si>
    <t>NAWMA Renewable Energy Facility</t>
  </si>
  <si>
    <t>NAWMA Solar Facility</t>
  </si>
  <si>
    <t>Newcastle Renewable Energy Facility</t>
  </si>
  <si>
    <t>Raymond Terrace Renewable Energy Facility</t>
  </si>
  <si>
    <t>Reedy Creek Renewable Energy Facility</t>
  </si>
  <si>
    <t>Remount Renewable Energy Facility</t>
  </si>
  <si>
    <t>Rochedale Renewable Energy Facility</t>
  </si>
  <si>
    <t>Rockingham Renewable Energy Facility</t>
  </si>
  <si>
    <t>Seaford Heights Renewable Energy Facility</t>
  </si>
  <si>
    <t>Seaford Heights Solar Facility</t>
  </si>
  <si>
    <t>Shepparton Renewable Energy Facility</t>
  </si>
  <si>
    <t>South Cardup Renewable Energy Facility</t>
  </si>
  <si>
    <t>Stapylton Renewable Energy Facility</t>
  </si>
  <si>
    <t>Swanbank Renewable Energy Facility</t>
  </si>
  <si>
    <t>Wollert Renewable Energy Facility</t>
  </si>
  <si>
    <t>Woy Woy Renewable Energy Facility</t>
  </si>
  <si>
    <t>Wyndham Renewable Energy Facility</t>
  </si>
  <si>
    <t>Wyong Renewable Energy Facility</t>
  </si>
  <si>
    <t>LS AUSTRALIA HOLDCO1 PTY LTD</t>
  </si>
  <si>
    <t>Wellington Solar Farm</t>
  </si>
  <si>
    <t>METKA EGN AUSTRALIA HOLDINGS PTY LTD</t>
  </si>
  <si>
    <t>Corowa Solar Farm</t>
  </si>
  <si>
    <t>Junee Solar Farm</t>
  </si>
  <si>
    <t>Wagga Wagga North Solar Farm</t>
  </si>
  <si>
    <t>METZ HOLDCO PTY LTD</t>
  </si>
  <si>
    <t>Metz Solar Farm</t>
  </si>
  <si>
    <t>MOORABOOL WIND FARM (HOLDING) PTY LTD</t>
  </si>
  <si>
    <t>Moorabool Wind Farm Pty Ltd</t>
  </si>
  <si>
    <t>MOORABOOL SOUTH WIND FARM (HOLDING) PTY LTD</t>
  </si>
  <si>
    <t>Moorabool South Wind Farm Pty Ltd</t>
  </si>
  <si>
    <t>MOREE HOLDINGS CO PTY LTD</t>
  </si>
  <si>
    <t>Moree Solar Farm</t>
  </si>
  <si>
    <t>MOURA SOLAR FARM HOLDINGS PTY LTD</t>
  </si>
  <si>
    <t>MOURA SOLAR FARM SPV PTY LTD</t>
  </si>
  <si>
    <t>MUMBIDA WIND FARM NO 1 HOLDINGS PTY LTD</t>
  </si>
  <si>
    <t>Mumbida Wind Farm Pty Ltd</t>
  </si>
  <si>
    <t>MURRA WARRA II PROJECT CO PTY LTD</t>
  </si>
  <si>
    <t>Murra Warra II Wind Farm</t>
  </si>
  <si>
    <t>BULGANA GREEN POWER HUB</t>
  </si>
  <si>
    <t>COLEAMBALLY SOLAR PTY LTD</t>
  </si>
  <si>
    <t>DEGRUSSA SOLAR PROJECT PTY LTD</t>
  </si>
  <si>
    <t>DUBBO SOLAR HUB PTY LTD</t>
  </si>
  <si>
    <t>GRIFFITH SOLAR FARM PTY LTD</t>
  </si>
  <si>
    <t>HORNSDALE POWER RESERVE PTY LTD</t>
  </si>
  <si>
    <t>HWF1 Pty Ltd</t>
  </si>
  <si>
    <t>HWF2 Pty Ltd</t>
  </si>
  <si>
    <t>HWF3 PTY LTD</t>
  </si>
  <si>
    <t>KABAN WIND FARM PTY LTD</t>
  </si>
  <si>
    <t>NUMURKAH SOLAR FARM PTY LTD</t>
  </si>
  <si>
    <t>PARKES SOLAR FARM PTY LTD</t>
  </si>
  <si>
    <t>VICTORIAN BIG BATTERY PTY LTD</t>
  </si>
  <si>
    <t>WESTERN DOWNS GREEN POWER HUB PTY LTD</t>
  </si>
  <si>
    <t>Kwinana Gas Fired Power Station</t>
  </si>
  <si>
    <t>Gladstone Power Station</t>
  </si>
  <si>
    <t>OAKEY 1 NEW HOLDCO PTY LTD</t>
  </si>
  <si>
    <t>Oakey 1 Solar Farm</t>
  </si>
  <si>
    <t>OJRP HOLDCO PTY LTD</t>
  </si>
  <si>
    <t>Dulacca Wind Farm</t>
  </si>
  <si>
    <t>Ballarat Solar Park</t>
  </si>
  <si>
    <t>Bendigo Solar Park</t>
  </si>
  <si>
    <t>Darling Downs Power Station</t>
  </si>
  <si>
    <t>Eraring Power Station</t>
  </si>
  <si>
    <t>La Trobe</t>
  </si>
  <si>
    <t>Ladbroke Grove Power Station</t>
  </si>
  <si>
    <t>Mortlake Power Station</t>
  </si>
  <si>
    <t>Mt Stuart Power Station</t>
  </si>
  <si>
    <t>Origin Energy Eraring Battery</t>
  </si>
  <si>
    <t>Quarantine Power Station</t>
  </si>
  <si>
    <t>Roma Power Station</t>
  </si>
  <si>
    <t>Shoalhaven Scheme</t>
  </si>
  <si>
    <t>Uranquinty Power Station</t>
  </si>
  <si>
    <t>PALISADE GRANVILLE HARBOUR INVESTMENTS PTY LTD</t>
  </si>
  <si>
    <t>Granville Harbour Wind Farm</t>
  </si>
  <si>
    <t>PALISADE WATERLOO HOLDINGS PTY LTD</t>
  </si>
  <si>
    <t>Waterloo Wind Farm</t>
  </si>
  <si>
    <t>PARF COMPANY 2 PTY LTD</t>
  </si>
  <si>
    <t>Rye Park Wind Farm</t>
  </si>
  <si>
    <t>PEAK RENEWABLES HOLDINGS PTY LTD</t>
  </si>
  <si>
    <t>Burrinjuck Hydro</t>
  </si>
  <si>
    <t>Hume Hydro</t>
  </si>
  <si>
    <t>Keepit Hydro</t>
  </si>
  <si>
    <t>Mt Mercer Wind farm Pty Ltd</t>
  </si>
  <si>
    <t>Mt Millar Wind Farm Pty Ltd</t>
  </si>
  <si>
    <t>Pelican Point Power Station</t>
  </si>
  <si>
    <t>Cape Lambert Power Station</t>
  </si>
  <si>
    <t>Paraburdoo Power Station</t>
  </si>
  <si>
    <t>West Angelas Power Station</t>
  </si>
  <si>
    <t>Yurralyi Maya Power Station</t>
  </si>
  <si>
    <t>PORT ADELAIDE ENERGY PTY LTD</t>
  </si>
  <si>
    <t>Snapper Point Power Station</t>
  </si>
  <si>
    <t>Alpurrurulam (Lake Nash)</t>
  </si>
  <si>
    <t>Amanbidgi (Kildurk)</t>
  </si>
  <si>
    <t>Ampilatwatja (Alparra, Ammaroo)</t>
  </si>
  <si>
    <t>Amunturangu (Mount Liebig)</t>
  </si>
  <si>
    <t>Aputula (Finke)</t>
  </si>
  <si>
    <t>Areyonga (Utju)</t>
  </si>
  <si>
    <t>Atitjere (Harts Range)</t>
  </si>
  <si>
    <t>Borroloola Generation</t>
  </si>
  <si>
    <t>Bulla Camp</t>
  </si>
  <si>
    <t>Bulman</t>
  </si>
  <si>
    <t>Daly Waters Generation</t>
  </si>
  <si>
    <t>Elliot Generation</t>
  </si>
  <si>
    <t>Engawala (Alcoota)</t>
  </si>
  <si>
    <t>Epenarra (Wutunugurra)</t>
  </si>
  <si>
    <t>Eva Valley</t>
  </si>
  <si>
    <t>Galiwinku (Elcho Island)</t>
  </si>
  <si>
    <t>Gapuwiyak (Lake Evella)</t>
  </si>
  <si>
    <t>Gunbalanya (Oenpelli)</t>
  </si>
  <si>
    <t>Ikuntji (Haasts Bluff)</t>
  </si>
  <si>
    <t>Imangara (Murray Downs)</t>
  </si>
  <si>
    <t>Imanpa (Mount Ebenezer)</t>
  </si>
  <si>
    <t>Kalkaringi (Wave Hill)</t>
  </si>
  <si>
    <t>Kaltukatjara (Docker River)</t>
  </si>
  <si>
    <t>Lajamanu (Hooker Creek)</t>
  </si>
  <si>
    <t>Laramba (Napperby)</t>
  </si>
  <si>
    <t>Maningrida</t>
  </si>
  <si>
    <t>Milikapiti (Snake Bay)</t>
  </si>
  <si>
    <t>Milingimbi</t>
  </si>
  <si>
    <t>Milyakburra (Bickerton Island)</t>
  </si>
  <si>
    <t>Minjilang (Croker Island)</t>
  </si>
  <si>
    <t>Minyerri (Hodgson Downs)</t>
  </si>
  <si>
    <t>Nauiyu Nambiyu (Daly River)</t>
  </si>
  <si>
    <t>Nguiu (Bathurst Island)</t>
  </si>
  <si>
    <t>Ngukurr (Roper River)</t>
  </si>
  <si>
    <t>Numbulwar (Rose River)</t>
  </si>
  <si>
    <t>Nyirripi (Waite Creek)</t>
  </si>
  <si>
    <t>Orwaitilla (Canteen Creek)</t>
  </si>
  <si>
    <t>Palumpa</t>
  </si>
  <si>
    <t>Papunya</t>
  </si>
  <si>
    <t>Peppimenarti</t>
  </si>
  <si>
    <t>Pidgeon Hole</t>
  </si>
  <si>
    <t>Pirlangimpi (Garden Point)</t>
  </si>
  <si>
    <t>Ramingining</t>
  </si>
  <si>
    <t>Robinson River</t>
  </si>
  <si>
    <t>Tara (Neutral Junction)</t>
  </si>
  <si>
    <t>Ti Tree Generation</t>
  </si>
  <si>
    <t>Timber Creek</t>
  </si>
  <si>
    <t>Titjikala (Maryvale)</t>
  </si>
  <si>
    <t>Umbakumba</t>
  </si>
  <si>
    <t>Wadeye (Port Keats)</t>
  </si>
  <si>
    <t>Walungurru (Kintore)</t>
  </si>
  <si>
    <t>Warruwi (Goulburn Is)</t>
  </si>
  <si>
    <t>Wilora (Stirling)</t>
  </si>
  <si>
    <t>Wirliyatjarrayi (Willowra)</t>
  </si>
  <si>
    <t>Yarralin</t>
  </si>
  <si>
    <t>Yuendumu</t>
  </si>
  <si>
    <t>Channel Island Power Station</t>
  </si>
  <si>
    <t>Katherine Power Station</t>
  </si>
  <si>
    <t>Kings Canyon</t>
  </si>
  <si>
    <t>Owen Springs Power Station</t>
  </si>
  <si>
    <t>Ron Goodin Power Station</t>
  </si>
  <si>
    <t>Tennant Creek Power Station</t>
  </si>
  <si>
    <t>Weddell Power Station</t>
  </si>
  <si>
    <t>Yulara Power Station</t>
  </si>
  <si>
    <t>Visy Energy - Coolaroo Co-gen</t>
  </si>
  <si>
    <t>Biofuel</t>
  </si>
  <si>
    <t>PRIME RENEWABLES PTY LTD</t>
  </si>
  <si>
    <t>Chepstowe Wind Farm</t>
  </si>
  <si>
    <t>Diapur Wind Farm</t>
  </si>
  <si>
    <t>Ferguson Wind Farm</t>
  </si>
  <si>
    <t>Maroona Wind Farm</t>
  </si>
  <si>
    <t>Mortons Lane Wind Farm</t>
  </si>
  <si>
    <t>Condamine Power Station</t>
  </si>
  <si>
    <t>Blue Rock</t>
  </si>
  <si>
    <t>Cardinia</t>
  </si>
  <si>
    <t>Cue Hub</t>
  </si>
  <si>
    <t>Cue Town Power Station</t>
  </si>
  <si>
    <t>Esperance Town Power Station</t>
  </si>
  <si>
    <t>Meekatharra Solar Farm</t>
  </si>
  <si>
    <t>Meekatharra Town Power Station</t>
  </si>
  <si>
    <t>Mt Magnet Town Power Station</t>
  </si>
  <si>
    <t>Norseman Power Station</t>
  </si>
  <si>
    <t>Nova Power Station</t>
  </si>
  <si>
    <t>Sandstone Town Power Station</t>
  </si>
  <si>
    <t>Wiluna Town Power Station</t>
  </si>
  <si>
    <t>Yalgoo Town Power Station</t>
  </si>
  <si>
    <t>QS MAPS HOLDINGS NO. 3 PTY LTD</t>
  </si>
  <si>
    <t>MSF</t>
  </si>
  <si>
    <t>PAP1</t>
  </si>
  <si>
    <t>TWWF</t>
  </si>
  <si>
    <t>YWF</t>
  </si>
  <si>
    <t>Collector Wind Farm</t>
  </si>
  <si>
    <t>Kemerton Power Station</t>
  </si>
  <si>
    <t>Mount Emerald Wind Farm</t>
  </si>
  <si>
    <t>Ratch-Australia Collinsville Solar PV</t>
  </si>
  <si>
    <t>Starfish Hill Wind Farm</t>
  </si>
  <si>
    <t>Toora Wind Farm</t>
  </si>
  <si>
    <t>Townsville Power Station</t>
  </si>
  <si>
    <t>Windy Hill Wind Farm</t>
  </si>
  <si>
    <t>Blackstone Power Station &amp; Distribution Network</t>
  </si>
  <si>
    <t>Burringurrah Power Station &amp; Distribution Network</t>
  </si>
  <si>
    <t>Carnarvon Power Station &amp; Distribution network</t>
  </si>
  <si>
    <t>Cosmo Newberry Power Station &amp; Distribution Network</t>
  </si>
  <si>
    <t>Denham Power Station &amp; Denham Distribution network</t>
  </si>
  <si>
    <t>Gascoyne Junction Power Station &amp; Distribution network</t>
  </si>
  <si>
    <t>Jameson Power Station &amp; Distribution Network</t>
  </si>
  <si>
    <t>Jarlmadangah Power Station &amp; Distribution Network</t>
  </si>
  <si>
    <t>Jigalong Power Station &amp; Distribution Network</t>
  </si>
  <si>
    <t>Kalumburu Power Station &amp; Distribution network</t>
  </si>
  <si>
    <t>Karratha Temporary Generation Power Station</t>
  </si>
  <si>
    <t>Kiwirrkurra Power Station &amp; Distribution Network</t>
  </si>
  <si>
    <t>Kunawarritji Power Station &amp; Distribution Network</t>
  </si>
  <si>
    <t>Kununurra Power Station &amp; Kununurra Distribution network</t>
  </si>
  <si>
    <t>Kupungarri Power Station &amp; Distribution Network</t>
  </si>
  <si>
    <t>Laverton Power Station &amp; Distribution Network</t>
  </si>
  <si>
    <t>Marble Bar Power Station &amp; Marble Bar Distribution network</t>
  </si>
  <si>
    <t>Menzies Power Station &amp; Distribution Network</t>
  </si>
  <si>
    <t>Mindibungu Power Station &amp; Distribution Network</t>
  </si>
  <si>
    <t>Mount Margaret Power Station &amp; Distribution Network</t>
  </si>
  <si>
    <t>Mulan Power Station &amp; Distribution Network</t>
  </si>
  <si>
    <t>Muludja Power Station &amp; Distribution Network</t>
  </si>
  <si>
    <t>Murchison Radio Astronomy Power Station and Distribution Network</t>
  </si>
  <si>
    <t>Nullagine Power Station &amp; Nullagine Distribution network</t>
  </si>
  <si>
    <t>Onslow Power Station &amp; Onslow Distribution Network</t>
  </si>
  <si>
    <t>Pandanus Park Power Station &amp; Distribution Network</t>
  </si>
  <si>
    <t>Parnngurr Power Station &amp; Distribution Network</t>
  </si>
  <si>
    <t>Punmu Power Station &amp; Distribution Network</t>
  </si>
  <si>
    <t>Ringer Soak Power Station &amp; Distribution Network</t>
  </si>
  <si>
    <t>Tjuntjuntjara Power Station &amp; Distribution Network</t>
  </si>
  <si>
    <t>Wakathuni Power Station &amp; Distribution Network</t>
  </si>
  <si>
    <t>Wanarn Power Station &amp; Distribution Network</t>
  </si>
  <si>
    <t>Wangkatjungka Power Station &amp; Distribution Network</t>
  </si>
  <si>
    <t>Warakurna Power Station &amp; Distribution Network</t>
  </si>
  <si>
    <t>Warburton Power Station &amp; Distribution Network</t>
  </si>
  <si>
    <t>Warralong Power Station &amp; Distribution Network</t>
  </si>
  <si>
    <t>Wingellina (Irrunytju) Power Station &amp; Distribution Network</t>
  </si>
  <si>
    <t>Wirrimanu Power Station &amp; Distribution Network</t>
  </si>
  <si>
    <t>Woolah Power Station &amp; Distribution Network</t>
  </si>
  <si>
    <t>Wurreranginy Power Station &amp; Distribution Network</t>
  </si>
  <si>
    <t>Wyndham Power Station &amp; Distribution network</t>
  </si>
  <si>
    <t>Yakanarra Power Station &amp; Distribution Network</t>
  </si>
  <si>
    <t>Yandeyarra Power Station &amp; Distribution Network</t>
  </si>
  <si>
    <t>Yiyili Power Station &amp; Distribution Network</t>
  </si>
  <si>
    <t>Yungngora Power Station &amp; Yungngora Distribution Network</t>
  </si>
  <si>
    <t>Wonthaggi Wind Farm</t>
  </si>
  <si>
    <t>RISEN ENERGY AUSTRALIA HOLDINGS PTY LTD</t>
  </si>
  <si>
    <t>Yarranlea Solar Farm</t>
  </si>
  <si>
    <t>RWE RENEWABLES AUSTRALIA PTY LTD</t>
  </si>
  <si>
    <t>Limondale Solar Farm</t>
  </si>
  <si>
    <t>SALT CREEK WIND FARM PTY LTD</t>
  </si>
  <si>
    <t>Salt Creek Wind Farm</t>
  </si>
  <si>
    <t>Wilga Park Power Station</t>
  </si>
  <si>
    <t>SEBASTOPOL HOLDINGS CO PTY LTD</t>
  </si>
  <si>
    <t>Sebastopol Solar Farm</t>
  </si>
  <si>
    <t>SENTIENT IMPACT GROUP PTY LTD</t>
  </si>
  <si>
    <t>Baking Board Solar Farm</t>
  </si>
  <si>
    <t>Karratha Solar Farm</t>
  </si>
  <si>
    <t>Maryrorough Solar Farm</t>
  </si>
  <si>
    <t>Mount Majura Solar Farm</t>
  </si>
  <si>
    <t>Swan Hill Solar Farm</t>
  </si>
  <si>
    <t>Williamsdale Solar Farm</t>
  </si>
  <si>
    <t>Vales Point Power Station</t>
  </si>
  <si>
    <t>Gangarri Solar Farm</t>
  </si>
  <si>
    <t>Newgen Neerabup Power Station</t>
  </si>
  <si>
    <t>Oakey Power Station</t>
  </si>
  <si>
    <t>SHENHUA CLEAN ENERGY HOLDINGS PTY LIMITED</t>
  </si>
  <si>
    <t>Musselroe Wind Farm Pty LTd</t>
  </si>
  <si>
    <t>Woolnorth Bluff Point Wind Farm Pty Ltd</t>
  </si>
  <si>
    <t>Woolnorth Studland Bay Wind Farm Pty Ltd</t>
  </si>
  <si>
    <t>SNOWTOWN WIND FARM PTY LTD</t>
  </si>
  <si>
    <t>Snowtown Wind Farm</t>
  </si>
  <si>
    <t>Angaston Power Station</t>
  </si>
  <si>
    <t>Colongra Power Station</t>
  </si>
  <si>
    <t>HEZ Power Station</t>
  </si>
  <si>
    <t>Laverton North Power Station</t>
  </si>
  <si>
    <t>Lonsdale/Port Stanvac Power Station</t>
  </si>
  <si>
    <t>Snowy Hydro Ltd</t>
  </si>
  <si>
    <t>Valley Power</t>
  </si>
  <si>
    <t>SPIC PACIFIC ENERGY PTY LTD</t>
  </si>
  <si>
    <t>Challicum Hills Wind Farm</t>
  </si>
  <si>
    <t>Clements Gap Wind Farm</t>
  </si>
  <si>
    <t>Codrington Wind Farm</t>
  </si>
  <si>
    <t>Crowlands Wind Farm</t>
  </si>
  <si>
    <t>Dromana Battery Energy Storage System</t>
  </si>
  <si>
    <t>Eildon Pondage Hydro</t>
  </si>
  <si>
    <t>Glenmaggie Hydro</t>
  </si>
  <si>
    <t>Haughton Solar Farm</t>
  </si>
  <si>
    <t>Ord Hydro</t>
  </si>
  <si>
    <t>Portland Wind Farms</t>
  </si>
  <si>
    <t>Taralga Wind Farm</t>
  </si>
  <si>
    <t>The Drop Hydro</t>
  </si>
  <si>
    <t>William Hovell Hydro</t>
  </si>
  <si>
    <t>Yaloak South Wind Farm</t>
  </si>
  <si>
    <t>Yambuk Wind Farm</t>
  </si>
  <si>
    <t>SQUADRON WIND ENERGY ASSETS PTY LTD</t>
  </si>
  <si>
    <t>Bango Wind Farm</t>
  </si>
  <si>
    <t>Boco Rock Wind Farm</t>
  </si>
  <si>
    <t>Clarke Creek Wind Farm</t>
  </si>
  <si>
    <t>Crudine Ridge Wind Farm</t>
  </si>
  <si>
    <t>Murra Warra 1 Wind Farm</t>
  </si>
  <si>
    <t>Sapphire Wind Farm</t>
  </si>
  <si>
    <t>SRV AGWF PTY LTD</t>
  </si>
  <si>
    <t>Albany Windfarm</t>
  </si>
  <si>
    <t>THE TRUSTEE FOR GRSF TRUST</t>
  </si>
  <si>
    <t>Greenough River Solar Farm</t>
  </si>
  <si>
    <t>Stanwell Power Station</t>
  </si>
  <si>
    <t>Tarong Power Stations</t>
  </si>
  <si>
    <t>STOCKYARD HILL WIND FARM (HOLDING) PTY LTD</t>
  </si>
  <si>
    <t>Stockyard Wind Farm</t>
  </si>
  <si>
    <t>STONE HOLDCO PTY LTD</t>
  </si>
  <si>
    <t>Bomen Solar Farm Pty Ltd</t>
  </si>
  <si>
    <t>SUN AUSTRALIA HOLDINGS PTY LTD</t>
  </si>
  <si>
    <t>Merredin Solar Farm</t>
  </si>
  <si>
    <t>SUNRAYSIA SOLAR FARM HOLDINGS PTY LTD</t>
  </si>
  <si>
    <t>Sunraysia Solar Farm</t>
  </si>
  <si>
    <t>Dry Creek Power Station</t>
  </si>
  <si>
    <t>Mintaro Power Station</t>
  </si>
  <si>
    <t>Port Lincoln Power Station</t>
  </si>
  <si>
    <t>Snuggery Power Station</t>
  </si>
  <si>
    <t>TASMANIAN IRRIGATION PTY LTD</t>
  </si>
  <si>
    <t>Midlands Power Station</t>
  </si>
  <si>
    <t>THE TRUSTEE FOR GUNNEDAH ASSET TRUST</t>
  </si>
  <si>
    <t>Gunnedah Solar Farm</t>
  </si>
  <si>
    <t>THE TRUSTEE FOR SP PROJECT 1 ACQUISITION TRUST</t>
  </si>
  <si>
    <t>Echuca Solar Project Pty Ltd</t>
  </si>
  <si>
    <t>Girgarre Project 2 Pty Ltd</t>
  </si>
  <si>
    <t>Girgarre Project Pty Ltd</t>
  </si>
  <si>
    <t>Greentech 2 Pty Ltd</t>
  </si>
  <si>
    <t>Greentech 3 Pty Ltd</t>
  </si>
  <si>
    <t>Greentech 5 Pty Ltd</t>
  </si>
  <si>
    <t>Greentech 6 Pty Ltd</t>
  </si>
  <si>
    <t>Katamatite Project Pty Ltd</t>
  </si>
  <si>
    <t>Numurkah Project No. 2 Pty Ltd</t>
  </si>
  <si>
    <t>Numurkah Project Pty Ltd</t>
  </si>
  <si>
    <t>Stanhope Solar Project No. 2 Pty Ltd</t>
  </si>
  <si>
    <t>Stanhope Solar Project No. 3 Pty Ltd</t>
  </si>
  <si>
    <t>Stanhope Solar Project No. 4 Pty Ltd</t>
  </si>
  <si>
    <t>Stanhope Solar Project No. 5 Pty Ltd</t>
  </si>
  <si>
    <t>Stanhope Solar Project Pty Ltd</t>
  </si>
  <si>
    <t>Wunghnu Project Pty Ltd</t>
  </si>
  <si>
    <t>THE TRUSTEE FOR SUNTOP ASSET TRUST</t>
  </si>
  <si>
    <t>Suntop Solar Farm</t>
  </si>
  <si>
    <t>TINSEL BIDCO PTY LTD</t>
  </si>
  <si>
    <t>Snowtown South Wind Farm Pty Ltd</t>
  </si>
  <si>
    <t>Snowtown Wind Farm Stage 2 Pty Ltd</t>
  </si>
  <si>
    <t>TOTALENERGIES RENEWABLES AUSTRALIA PTY LTD</t>
  </si>
  <si>
    <t>Kiamal Solar Farm</t>
  </si>
  <si>
    <t>Kalgoorlie Power Station</t>
  </si>
  <si>
    <t>Kambalda Power Station</t>
  </si>
  <si>
    <t>Leinster Power Station</t>
  </si>
  <si>
    <t>Mt Keith Power Station</t>
  </si>
  <si>
    <t>South Hedland Power Station</t>
  </si>
  <si>
    <t>VENA ENERGY SERVICES (AUSTRALIA) PTY LTD</t>
  </si>
  <si>
    <t>Tailem Bend 2 Hybrid Renewable Power Station</t>
  </si>
  <si>
    <t>Tailem Bend Solar farm</t>
  </si>
  <si>
    <t>Wandoan Solar Farm 1</t>
  </si>
  <si>
    <t>W.H. HECK &amp; SONS PROPRIETARY LIMITED</t>
  </si>
  <si>
    <t>Rocky Point Sugar Mill Cogeneration</t>
  </si>
  <si>
    <t>Bagasse</t>
  </si>
  <si>
    <t>Cocos Keeling Islands - Home Island Generation</t>
  </si>
  <si>
    <t>Cocos Keeling Islands - West Island Generation</t>
  </si>
  <si>
    <t>Weipa Solar Power Station</t>
  </si>
  <si>
    <t>WEST WYALONG HOLDCO 2 PTY LTD</t>
  </si>
  <si>
    <t>West Wyalong SF</t>
  </si>
  <si>
    <t>WHITE ROCK SOLAR FARM (HOLDING) PTY LTD</t>
  </si>
  <si>
    <t>White Rock Solar Farm Pty Ltd</t>
  </si>
  <si>
    <t>WILD CATTLE HILL PTY LTD</t>
  </si>
  <si>
    <t>Wild Cattle Hill Wind Farm</t>
  </si>
  <si>
    <t>ARET PLATFORM PTY LIMITED</t>
  </si>
  <si>
    <t>Willogoleche Wind Farm</t>
  </si>
  <si>
    <t>WINTON HOLDINGS CO PTY. LTD</t>
  </si>
  <si>
    <t>Winton Solar Farm</t>
  </si>
  <si>
    <t>WIRTGEN ENERGY GLENROWAN PTY. LTD</t>
  </si>
  <si>
    <t>Glenrowan West Solar Farm</t>
  </si>
  <si>
    <t>WOOLOOGA HOLDCO 2 PTY LTD</t>
  </si>
  <si>
    <t>Woolooga SF</t>
  </si>
  <si>
    <t>YATPOOL SOLAR FARM HOLDCO PTY LTD</t>
  </si>
  <si>
    <t>YATPOOL SOLAR FARM</t>
  </si>
  <si>
    <t>ACCIONA ENERGY AUSTRALIA GLOBAL PTY LTD</t>
  </si>
  <si>
    <t>Aldoga Solar Farm Pty Ltd</t>
  </si>
  <si>
    <t>Cathedral Rocks Wind Farm Pty Ltd</t>
  </si>
  <si>
    <t>Gunning Wind Energy Developments Pty Ltd</t>
  </si>
  <si>
    <t>MacIntyre Wind Farm Pty Ltd</t>
  </si>
  <si>
    <t>MT. GELLIBRAND WIND FARM PTY LTD</t>
  </si>
  <si>
    <t>Pyrenees Wind Energy Development Pty Ltd</t>
  </si>
  <si>
    <t>New England Solar</t>
  </si>
  <si>
    <t>Stubbo Solar</t>
  </si>
  <si>
    <t>Broken Hill Battery</t>
  </si>
  <si>
    <t>Torrens Island Battery</t>
  </si>
  <si>
    <t>Kwinana Alumina Refinery</t>
  </si>
  <si>
    <t>Daandine Power Station</t>
  </si>
  <si>
    <t>Cattle Hill Wind Farm</t>
  </si>
  <si>
    <t>BEIJING ENERGY INTERNATIONAL (AUSTRALIA) HOLDING PTY LTD</t>
  </si>
  <si>
    <t>Wollar Solar Farm</t>
  </si>
  <si>
    <t>BIRDWOOD ENERGY PTY LTD</t>
  </si>
  <si>
    <t>Chinchilla Solar Farm</t>
  </si>
  <si>
    <t>Maryrorough Solar farm</t>
  </si>
  <si>
    <t>Swan Hill Solar Farm Victoria</t>
  </si>
  <si>
    <t>BRITISH SOLAR RENEWABLES PTY LIMITED</t>
  </si>
  <si>
    <t>Batchelor 1 Solar Farm</t>
  </si>
  <si>
    <t>Batchelor 2 Solar Farm</t>
  </si>
  <si>
    <t>Katherine Solar Farm</t>
  </si>
  <si>
    <t>Kerang Solar Farm</t>
  </si>
  <si>
    <t>Manton Dam Solar Farm</t>
  </si>
  <si>
    <t>Greenbank BESS</t>
  </si>
  <si>
    <t>CARBON LOGICA PTY LTD</t>
  </si>
  <si>
    <t>Carbon Logica Ironbark Energy &amp; Abatement Pty Ltd</t>
  </si>
  <si>
    <t>Looma NGD Power Station</t>
  </si>
  <si>
    <t>Mandalong Power Station</t>
  </si>
  <si>
    <t>ELEMENTAL INFRASTRUCTURE HOLDCO PTY LTD</t>
  </si>
  <si>
    <t>ZENITH ENERGY (KVL) PTY LTD</t>
  </si>
  <si>
    <t>Hastings Generation Site</t>
  </si>
  <si>
    <t>Ethane</t>
  </si>
  <si>
    <t>North Star Junction Solar Farm</t>
  </si>
  <si>
    <t>Bouldercombe Battery Project Trust</t>
  </si>
  <si>
    <t>Genex Power Pty Ltd</t>
  </si>
  <si>
    <t>Kidston Gold Mines Pty Ltd</t>
  </si>
  <si>
    <t>Kidston Hydro Project Trust</t>
  </si>
  <si>
    <t>Mica Creek Power Station</t>
  </si>
  <si>
    <t>Bundaberg Solar Development Pty Ltd</t>
  </si>
  <si>
    <t>Glenellen Asset Pty Ltd</t>
  </si>
  <si>
    <t>Hydro Power Station - Butlers Gorge inc Nieterana &amp; Derwent Pumps</t>
  </si>
  <si>
    <t>Hydro Power Station - Fisher &amp; Rowallan inc Parsons Falls &amp; Yeates Creek Pumps</t>
  </si>
  <si>
    <t>Hydro Power Station - Poatina &amp; Pump Station - Arthurs Lake</t>
  </si>
  <si>
    <t>Hydro Power Station - Tribute &amp; Pump Station - Newton</t>
  </si>
  <si>
    <t>Flyers Creek Wind Farm</t>
  </si>
  <si>
    <t>PAREP Hybrid Plant</t>
  </si>
  <si>
    <t>Goorambat East Solar Farm</t>
  </si>
  <si>
    <t>KIAMCO FORESIGHT HANWHA BARCALDINE 1 PTY LTD</t>
  </si>
  <si>
    <t>Barcaldine Remote Community Solar Farm Pty Ltd</t>
  </si>
  <si>
    <t>LS AUSTRALIA FINCO 2 PTY LTD</t>
  </si>
  <si>
    <t>Wellington North Solar Farm</t>
  </si>
  <si>
    <t>Wunghnu Solar Farm</t>
  </si>
  <si>
    <t>MUNMORAH BATTERY HOLDCO PTY LTD</t>
  </si>
  <si>
    <t>Waratah Super Battery</t>
  </si>
  <si>
    <t>Blyth Battery Pty Ltd</t>
  </si>
  <si>
    <t>CAPITAL BATTERY PTY LTD</t>
  </si>
  <si>
    <t>Collie Battery Pty Ltd</t>
  </si>
  <si>
    <t>HWF1 PTY LTD</t>
  </si>
  <si>
    <t>HWF2 PTY LTD</t>
  </si>
  <si>
    <t>Western Downs BESS Pty Ltd</t>
  </si>
  <si>
    <t>Kerosene</t>
  </si>
  <si>
    <t>Origin Energy Mortlake Battery</t>
  </si>
  <si>
    <t>Flat Rocks One Wind Farm</t>
  </si>
  <si>
    <t>Girgarre Solar Farm</t>
  </si>
  <si>
    <t>POTENTIA ENERGY MONARO HOLDING PTY LTD</t>
  </si>
  <si>
    <t>Exmouth Power Station</t>
  </si>
  <si>
    <t>Moranbah Power Station</t>
  </si>
  <si>
    <t>MSF2</t>
  </si>
  <si>
    <t>Ardyaloon Power Station &amp; Distribution Network</t>
  </si>
  <si>
    <t>Beagle Bay Power Station &amp; Distribution Network</t>
  </si>
  <si>
    <t>Bidyadanga Power Station &amp; Distribution Network</t>
  </si>
  <si>
    <t>Denham Power Station &amp; Distribution network</t>
  </si>
  <si>
    <t>Djarindjin-Lombadina Power Station &amp; Distribution Network</t>
  </si>
  <si>
    <t>Karalundi Power Station &amp; Distribution Network</t>
  </si>
  <si>
    <t>Kununurra Power Station &amp; Distribution network</t>
  </si>
  <si>
    <t>Marble Bar Power Station &amp; Distribution network</t>
  </si>
  <si>
    <t>Nullagine Power Station &amp; Distribution Network</t>
  </si>
  <si>
    <t>Onslow Power Station &amp; Distribution Network</t>
  </si>
  <si>
    <t>Tjukurla Power Station &amp; Distribution Network</t>
  </si>
  <si>
    <t>Warmun Power Station &amp; Distribution Network</t>
  </si>
  <si>
    <t>Yungngora Power Station &amp; Distribution Network</t>
  </si>
  <si>
    <t>Cranbourne BESS Project Co Pty Ltd (Rangebank)</t>
  </si>
  <si>
    <t>Musselroe Wind Farm Pty Ltd</t>
  </si>
  <si>
    <t>Woolnorth Bluff point Wind Farm Pty Ltd</t>
  </si>
  <si>
    <t>Clements Gap Battery Energy Storage System</t>
  </si>
  <si>
    <t>Bango Wind Farm, NSW</t>
  </si>
  <si>
    <t>Boco Rock Wind Farm, NSW</t>
  </si>
  <si>
    <t>Clarke Creek Wind Farm, QLD</t>
  </si>
  <si>
    <t>Crudine Ridge Wind Farm, NSW</t>
  </si>
  <si>
    <t>Murra Warra 1 Wind Farm, VIC</t>
  </si>
  <si>
    <t>Sapphire Wind Farm, NSW</t>
  </si>
  <si>
    <t>Uungula Wind Farm, NSW</t>
  </si>
  <si>
    <t>SUSTAINABLE ENERGY INFRASTRUCTURE HOLDINGS PTY LIMITED</t>
  </si>
  <si>
    <t>TAGENERGY AUSTRALIA PTY LTD</t>
  </si>
  <si>
    <t>Golden Plains Wind Farm 1</t>
  </si>
  <si>
    <t>THE TRUSTEE FOR AGWF TRUST</t>
  </si>
  <si>
    <t>THE TRUSTEE FOR KINGAROY PROPERTY TRUST</t>
  </si>
  <si>
    <t>Kingaroy Solar Farm</t>
  </si>
  <si>
    <t>THE TRUSTEE FOR WALLA WALLA HOLDINGS TRUST</t>
  </si>
  <si>
    <t>Walla Walla Solar Farm</t>
  </si>
  <si>
    <t>THE TRUSTEE FOR WWF TRUST</t>
  </si>
  <si>
    <t>Wandoan Solar Farm 2</t>
  </si>
  <si>
    <t>WINTON HOLDINGS CO PTY. LTD.</t>
  </si>
  <si>
    <t>WYALONG SOLAR FARM HOLDINGS PTY LTD</t>
  </si>
  <si>
    <t>Wyalong Solar Farm Pty Ltd</t>
  </si>
  <si>
    <t>Grand Total</t>
  </si>
  <si>
    <t>Grid Connected Total</t>
  </si>
  <si>
    <t>MWh 2023-24</t>
  </si>
  <si>
    <t>Scope 1 2023-24 (t)</t>
  </si>
  <si>
    <t>Intensity 2023-24</t>
  </si>
  <si>
    <t>MWh 2024-25</t>
  </si>
  <si>
    <t>Scope 1 2024-25 (t)</t>
  </si>
  <si>
    <t>Intensity 2024-25</t>
  </si>
  <si>
    <t>Change</t>
  </si>
  <si>
    <t>SA fuel (2024-25)</t>
  </si>
  <si>
    <t>MWh</t>
  </si>
  <si>
    <t>Share of SA generation</t>
  </si>
  <si>
    <t>Scope 1 (t)</t>
  </si>
  <si>
    <t>Intensity</t>
  </si>
  <si>
    <t>Limitation</t>
  </si>
  <si>
    <t>Impact on analysis</t>
  </si>
  <si>
    <t>L1</t>
  </si>
  <si>
    <t>NGER data covers only corporations above the NGER reporting thresholds.</t>
  </si>
  <si>
    <t>Smaller companies are not included, so totals do not represent all Australian emissions.</t>
  </si>
  <si>
    <t>L2</t>
  </si>
  <si>
    <t>Scope 2 emissions depend on grid emission factors, which change each year.</t>
  </si>
  <si>
    <t>A fall in Scope 2 may reflect a cleaner grid rather than lower electricity use.</t>
  </si>
  <si>
    <t>L3</t>
  </si>
  <si>
    <t>Reporting entities can change name, ABN or boundary between years (e.g. Transgrid, see R4).</t>
  </si>
  <si>
    <t>Year-on-year changes may partly reflect boundary changes, not real emission changes.</t>
  </si>
  <si>
    <t>L4</t>
  </si>
  <si>
    <t>Some facilities are reported by more than one corporation (e.g. Callide C Power Station, see R3).</t>
  </si>
  <si>
    <t>State totals that include duplicated facilities overstate generation and emissions (QLD in 2024-25).</t>
  </si>
  <si>
    <t>L5</t>
  </si>
  <si>
    <t>Intensity is calculated as Scope 1 ÷ electricity production, using the CER definition.</t>
  </si>
  <si>
    <t>Scope 2 is excluded, so intensity is not a full life-cycle measure.</t>
  </si>
  <si>
    <t>L6</t>
  </si>
  <si>
    <t>Batteries report zero electricity production but some Scope 1 emissions.</t>
  </si>
  <si>
    <t>Intensity cannot be calculated for batteries and is shown as n/a.</t>
  </si>
  <si>
    <t>L7</t>
  </si>
  <si>
    <t>Only three reporting years (corporate) and two years (facility) are analysed.</t>
  </si>
  <si>
    <t>Trends are short-term and may not reflect long-term direction.</t>
  </si>
  <si>
    <t>L8</t>
  </si>
  <si>
    <t>The dataset does not explain why emissions changed.</t>
  </si>
  <si>
    <t>Findings report what changed; causes are listed as questions for management, not as conclusions.</t>
  </si>
  <si>
    <t>Board Report – Transmission Network Emissions (NGER 2022-23 to 2024-25)</t>
  </si>
  <si>
    <t>Source: Clean Energy Regulator NGER published data (data as at 27/02/2026) | Prepared by Keerthi Ajantha Kuchipudi</t>
  </si>
  <si>
    <t>ElectraNet total emissions 2024-25 (t CO2-e)</t>
  </si>
  <si>
    <t>Change in total, 2 years</t>
  </si>
  <si>
    <t>Change in Scope 1, 2 years</t>
  </si>
  <si>
    <t>SA generation intensity 2024-25 (t/MWh)</t>
  </si>
  <si>
    <t>Data quality checks passed</t>
  </si>
  <si>
    <t>Key findings</t>
  </si>
  <si>
    <t>1. ElectraNet's total emissions fell 9.1% over two years, from 118,700 to 107,923 t CO2-e.</t>
  </si>
  <si>
    <t>2. ElectraNet's Scope 1 emissions rose 69.9% (2,733 to 4,644 t CO2-e), lifting their share of total emissions from 2.3% to 4.3%.</t>
  </si>
  <si>
    <t>3. SA generation intensity was 0.158 t CO2-e/MWh in 2024-25, the lowest of the mainland states, with wind supplying 61% of SA generation.</t>
  </si>
  <si>
    <t>Data quality risks</t>
  </si>
  <si>
    <t>1. Callide C Power Station is reported by two corporations, which duplicates 4.2 million MWh in 2024-25 national facility totals.</t>
  </si>
  <si>
    <t>2. Transgrid changed its reporting entity and ABN in 2023-24, so its year-on-year movements may reflect a boundary change.</t>
  </si>
  <si>
    <t>Questions for management</t>
  </si>
  <si>
    <t>1. What is driving the increase in ElectraNet's Scope 1 emissions, and is it expected to continue?</t>
  </si>
  <si>
    <t>2. How much of the fall in Scope 2 reflects lower grid emission factors rather than operational changes?</t>
  </si>
  <si>
    <t>3. Should Scope 1 reduction actions be prioritised as Scope 2 continues to fall?</t>
  </si>
  <si>
    <t>Recalculated as Scope 1 emissions ÷ MWh (CER 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</si>
</sst>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 \ \ \+0.0%;\-0.0%"/>
  </numFmts>
  <fonts count="7" x14ac:knownFonts="1">
    <font>
      <sz val="12"/>
      <color theme="1"/>
      <name val="Aptos Narrow"/>
      <family val="2"/>
      <scheme val="minor"/>
    </font>
    <font>
      <b/>
      <sz val="12"/>
      <color theme="1"/>
      <name val="Aptos Narrow"/>
      <family val="2"/>
      <scheme val="minor"/>
    </font>
    <font>
      <b/>
      <sz val="12"/>
      <color theme="1"/>
      <name val="Aptos Narrow"/>
      <scheme val="minor"/>
    </font>
    <font>
      <b/>
      <sz val="14"/>
      <color theme="1"/>
      <name val="Aptos Narrow (Body)"/>
    </font>
    <font>
      <b/>
      <sz val="24"/>
      <color theme="1"/>
      <name val="Aptos Narrow"/>
      <scheme val="minor"/>
    </font>
    <font>
      <b/>
      <sz val="14"/>
      <color theme="1"/>
      <name val="Aptos Narrow"/>
      <scheme val="minor"/>
    </font>
    <font>
      <b/>
      <sz val="24"/>
      <color theme="1"/>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2"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0" fontId="0" fillId="0" borderId="0" xfId="0" applyAlignment="1">
      <alignment wrapText="1"/>
    </xf>
    <xf numFmtId="0" fontId="1" fillId="0" borderId="0" xfId="0" applyFont="1" applyAlignment="1">
      <alignment horizontal="center" wrapText="1"/>
    </xf>
    <xf numFmtId="0" fontId="0" fillId="0" borderId="0" xfId="0" applyAlignment="1">
      <alignment horizontal="center" wrapText="1"/>
    </xf>
    <xf numFmtId="3" fontId="0" fillId="0" borderId="0" xfId="0" applyNumberFormat="1" applyAlignment="1">
      <alignment horizontal="center" wrapText="1"/>
    </xf>
    <xf numFmtId="10" fontId="0" fillId="0" borderId="0" xfId="0" applyNumberFormat="1" applyAlignment="1">
      <alignment horizontal="center" wrapText="1"/>
    </xf>
    <xf numFmtId="0" fontId="2" fillId="0" borderId="0" xfId="0" applyFont="1"/>
    <xf numFmtId="0" fontId="2" fillId="0" borderId="0" xfId="0" applyFont="1" applyAlignment="1">
      <alignment horizontal="center" wrapText="1"/>
    </xf>
    <xf numFmtId="0" fontId="2" fillId="0" borderId="0" xfId="0" applyFont="1" applyAlignment="1">
      <alignment wrapText="1"/>
    </xf>
    <xf numFmtId="164" fontId="1" fillId="0" borderId="0" xfId="0" applyNumberFormat="1" applyFont="1" applyAlignment="1">
      <alignment horizontal="center" wrapText="1"/>
    </xf>
    <xf numFmtId="164" fontId="0" fillId="0" borderId="0" xfId="0" applyNumberFormat="1" applyAlignment="1">
      <alignment horizontal="center" wrapText="1"/>
    </xf>
    <xf numFmtId="164" fontId="0" fillId="0" borderId="0" xfId="0" applyNumberFormat="1"/>
    <xf numFmtId="165" fontId="1" fillId="0" borderId="0" xfId="0" applyNumberFormat="1" applyFont="1" applyAlignment="1">
      <alignment horizontal="center" wrapText="1"/>
    </xf>
    <xf numFmtId="165" fontId="0" fillId="0" borderId="0" xfId="0" applyNumberFormat="1" applyAlignment="1">
      <alignment horizontal="center" wrapText="1"/>
    </xf>
    <xf numFmtId="165" fontId="0" fillId="0" borderId="0" xfId="0" applyNumberFormat="1"/>
    <xf numFmtId="0" fontId="3" fillId="0" borderId="0" xfId="0" applyFont="1"/>
    <xf numFmtId="3" fontId="4" fillId="0" borderId="0" xfId="0" applyNumberFormat="1" applyFont="1" applyAlignment="1">
      <alignment horizontal="center"/>
    </xf>
    <xf numFmtId="165" fontId="4" fillId="0" borderId="0" xfId="0" applyNumberFormat="1" applyFont="1" applyAlignment="1">
      <alignment horizontal="center"/>
    </xf>
    <xf numFmtId="164" fontId="4" fillId="0" borderId="0" xfId="0" applyNumberFormat="1" applyFont="1" applyAlignment="1">
      <alignment horizontal="center"/>
    </xf>
    <xf numFmtId="0" fontId="4" fillId="0" borderId="0" xfId="0" applyFont="1" applyAlignment="1">
      <alignment horizontal="center"/>
    </xf>
    <xf numFmtId="0" fontId="5" fillId="0" borderId="0" xfId="0" applyFont="1"/>
    <xf numFmtId="166" fontId="4" fillId="0" borderId="0" xfId="0" applyNumberFormat="1" applyFont="1" applyAlignment="1">
      <alignment horizontal="center"/>
    </xf>
    <xf numFmtId="0" fontId="6" fillId="0" borderId="0" xfId="0" applyFont="1"/>
  </cellXfs>
  <cellStyles count="1">
    <cellStyle name="Normal" xfId="0" builtinId="0"/>
  </cellStyles>
  <dxfs count="3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t>ElectraNet Scope 1 emissions (t CO2-e)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cat>
            <c:strRef>
              <c:f>Company_Trends!$E$1:$G$1</c:f>
              <c:strCache>
                <c:ptCount val="3"/>
                <c:pt idx="0">
                  <c:v>2022-23</c:v>
                </c:pt>
                <c:pt idx="1">
                  <c:v>2023-24</c:v>
                </c:pt>
                <c:pt idx="2">
                  <c:v>2024-25</c:v>
                </c:pt>
              </c:strCache>
            </c:strRef>
          </c:cat>
          <c:val>
            <c:numRef>
              <c:f>Company_Trends!$E$2:$G$2</c:f>
              <c:numCache>
                <c:formatCode>#,##0</c:formatCode>
                <c:ptCount val="3"/>
                <c:pt idx="0">
                  <c:v>2733</c:v>
                </c:pt>
                <c:pt idx="1">
                  <c:v>3478</c:v>
                </c:pt>
                <c:pt idx="2">
                  <c:v>4644</c:v>
                </c:pt>
              </c:numCache>
            </c:numRef>
          </c:val>
          <c:extLst>
            <c:ext xmlns:c16="http://schemas.microsoft.com/office/drawing/2014/chart" uri="{C3380CC4-5D6E-409C-BE32-E72D297353CC}">
              <c16:uniqueId val="{00000000-7183-E943-8C0E-F50065F89447}"/>
            </c:ext>
          </c:extLst>
        </c:ser>
        <c:dLbls>
          <c:showLegendKey val="0"/>
          <c:showVal val="0"/>
          <c:showCatName val="0"/>
          <c:showSerName val="0"/>
          <c:showPercent val="0"/>
          <c:showBubbleSize val="0"/>
        </c:dLbls>
        <c:gapWidth val="219"/>
        <c:overlap val="-27"/>
        <c:axId val="1300801775"/>
        <c:axId val="459804304"/>
      </c:barChart>
      <c:catAx>
        <c:axId val="130080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804304"/>
        <c:crosses val="autoZero"/>
        <c:auto val="1"/>
        <c:lblAlgn val="ctr"/>
        <c:lblOffset val="100"/>
        <c:noMultiLvlLbl val="0"/>
      </c:catAx>
      <c:valAx>
        <c:axId val="459804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80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t>Generation intensity by state, 2024-25 (t CO2-e/MWh)</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SA_Generation_Intensity!$G$1</c:f>
              <c:strCache>
                <c:ptCount val="1"/>
                <c:pt idx="0">
                  <c:v>Intensity 2024-25</c:v>
                </c:pt>
              </c:strCache>
            </c:strRef>
          </c:tx>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87A1-CB45-9B31-1056FB324097}"/>
              </c:ext>
            </c:extLst>
          </c:dPt>
          <c:cat>
            <c:strRef>
              <c:f>SA_Generation_Intensity!$A$2:$A$9</c:f>
              <c:strCache>
                <c:ptCount val="8"/>
                <c:pt idx="0">
                  <c:v>SA</c:v>
                </c:pt>
                <c:pt idx="1">
                  <c:v>NSW</c:v>
                </c:pt>
                <c:pt idx="2">
                  <c:v>QLD</c:v>
                </c:pt>
                <c:pt idx="3">
                  <c:v>VIC</c:v>
                </c:pt>
                <c:pt idx="4">
                  <c:v>WA</c:v>
                </c:pt>
                <c:pt idx="5">
                  <c:v>TAS</c:v>
                </c:pt>
                <c:pt idx="6">
                  <c:v>NT</c:v>
                </c:pt>
                <c:pt idx="7">
                  <c:v>ACT</c:v>
                </c:pt>
              </c:strCache>
            </c:strRef>
          </c:cat>
          <c:val>
            <c:numRef>
              <c:f>SA_Generation_Intensity!$G$2:$G$9</c:f>
              <c:numCache>
                <c:formatCode>0.000</c:formatCode>
                <c:ptCount val="8"/>
                <c:pt idx="0">
                  <c:v>0.15775529883908976</c:v>
                </c:pt>
                <c:pt idx="1">
                  <c:v>0.59642304956268111</c:v>
                </c:pt>
                <c:pt idx="2">
                  <c:v>0.70639254476271396</c:v>
                </c:pt>
                <c:pt idx="3">
                  <c:v>0.80398886046044826</c:v>
                </c:pt>
                <c:pt idx="4">
                  <c:v>0.56615360074770582</c:v>
                </c:pt>
                <c:pt idx="5">
                  <c:v>1.6987240381882526E-2</c:v>
                </c:pt>
                <c:pt idx="6">
                  <c:v>0.576483909759403</c:v>
                </c:pt>
                <c:pt idx="7">
                  <c:v>1.0532864468458291E-2</c:v>
                </c:pt>
              </c:numCache>
            </c:numRef>
          </c:val>
          <c:extLst>
            <c:ext xmlns:c16="http://schemas.microsoft.com/office/drawing/2014/chart" uri="{C3380CC4-5D6E-409C-BE32-E72D297353CC}">
              <c16:uniqueId val="{00000002-87A1-CB45-9B31-1056FB324097}"/>
            </c:ext>
          </c:extLst>
        </c:ser>
        <c:dLbls>
          <c:showLegendKey val="0"/>
          <c:showVal val="0"/>
          <c:showCatName val="0"/>
          <c:showSerName val="0"/>
          <c:showPercent val="0"/>
          <c:showBubbleSize val="0"/>
        </c:dLbls>
        <c:gapWidth val="219"/>
        <c:overlap val="-27"/>
        <c:axId val="1300265983"/>
        <c:axId val="460062112"/>
      </c:barChart>
      <c:catAx>
        <c:axId val="130026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62112"/>
        <c:crosses val="autoZero"/>
        <c:auto val="1"/>
        <c:lblAlgn val="ctr"/>
        <c:lblOffset val="100"/>
        <c:noMultiLvlLbl val="0"/>
      </c:catAx>
      <c:valAx>
        <c:axId val="46006211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2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419100</xdr:colOff>
      <xdr:row>9</xdr:row>
      <xdr:rowOff>165100</xdr:rowOff>
    </xdr:from>
    <xdr:to>
      <xdr:col>2</xdr:col>
      <xdr:colOff>762000</xdr:colOff>
      <xdr:row>23</xdr:row>
      <xdr:rowOff>114300</xdr:rowOff>
    </xdr:to>
    <xdr:graphicFrame macro="">
      <xdr:nvGraphicFramePr>
        <xdr:cNvPr id="2" name="Chart 1">
          <a:extLst>
            <a:ext uri="{FF2B5EF4-FFF2-40B4-BE49-F238E27FC236}">
              <a16:creationId xmlns:a16="http://schemas.microsoft.com/office/drawing/2014/main" id="{3CA89265-3BCD-D747-BE64-C1C6218E7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1308100</xdr:colOff>
      <xdr:row>9</xdr:row>
      <xdr:rowOff>139700</xdr:rowOff>
    </xdr:from>
    <xdr:to>
      <xdr:col>4</xdr:col>
      <xdr:colOff>1447800</xdr:colOff>
      <xdr:row>23</xdr:row>
      <xdr:rowOff>88900</xdr:rowOff>
    </xdr:to>
    <xdr:graphicFrame macro="">
      <xdr:nvGraphicFramePr>
        <xdr:cNvPr id="3" name="Chart 2">
          <a:extLst>
            <a:ext uri="{FF2B5EF4-FFF2-40B4-BE49-F238E27FC236}">
              <a16:creationId xmlns:a16="http://schemas.microsoft.com/office/drawing/2014/main" id="{543084CB-2122-CB48-9C4C-C1F488BAF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762D8270-ABBC-B746-AF8F-957FB7DAC659}" autoFormatId="16" applyNumberFormats="0" applyBorderFormats="0" applyFontFormats="0" applyPatternFormats="0" applyAlignmentFormats="0" applyWidthHeightFormats="0">
  <queryTableRefresh nextId="8">
    <queryTableFields count="7">
      <queryTableField id="1" name="Organisation name" tableColumnId="1"/>
      <queryTableField id="2" name="Identifying details" tableColumnId="2"/>
      <queryTableField id="3" name="Total scope 1 emissions (t CO2-e)" tableColumnId="3"/>
      <queryTableField id="4" name="Total scope 2 emissions (t CO2-e)" tableColumnId="4"/>
      <queryTableField id="5" name="Net energy consumed (GJ)" tableColumnId="5"/>
      <queryTableField id="6" name="Important notes" tableColumnId="6"/>
      <queryTableField id="7" name="Year"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6" xr16:uid="{CB4C5738-D957-5E44-A3C7-EB56CC74279D}" autoFormatId="16" applyNumberFormats="0" applyBorderFormats="0" applyFontFormats="0" applyPatternFormats="0" applyAlignmentFormats="0" applyWidthHeightFormats="0">
  <queryTableRefresh nextId="8">
    <queryTableFields count="7">
      <queryTableField id="1" name="Organisation name" tableColumnId="1"/>
      <queryTableField id="2" name="Identifying details" tableColumnId="2"/>
      <queryTableField id="3" name="Total scope 1 emissions (t CO2-e)" tableColumnId="3"/>
      <queryTableField id="4" name="Total scope 2 emissions (t CO2-e)" tableColumnId="4"/>
      <queryTableField id="5" name="Net energy consumed (GJ)" tableColumnId="5"/>
      <queryTableField id="6" name="Important notes" tableColumnId="6"/>
      <queryTableField id="7" name="Year"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0F9F744B-F084-FF4C-8DC3-668D2F1449A0}" autoFormatId="16" applyNumberFormats="0" applyBorderFormats="0" applyFontFormats="0" applyPatternFormats="0" applyAlignmentFormats="0" applyWidthHeightFormats="0">
  <queryTableRefresh nextId="8">
    <queryTableFields count="7">
      <queryTableField id="1" name="Organisation name" tableColumnId="1"/>
      <queryTableField id="2" name="Identifying details" tableColumnId="2"/>
      <queryTableField id="3" name="Total scope 1 emissions (t CO2-e)" tableColumnId="3"/>
      <queryTableField id="4" name="Total scope 2 emissions (t CO2-e)" tableColumnId="4"/>
      <queryTableField id="5" name="Net energy consumed (GJ)" tableColumnId="5"/>
      <queryTableField id="6" name="Important notes" tableColumnId="6"/>
      <queryTableField id="7" name="Year"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13915AD4-D803-434F-A03A-E2E84AADC24E}" autoFormatId="16" applyNumberFormats="0" applyBorderFormats="0" applyFontFormats="0" applyPatternFormats="0" applyAlignmentFormats="0" applyWidthHeightFormats="0">
  <queryTableRefresh nextId="8">
    <queryTableFields count="7">
      <queryTableField id="1" name="Organisation name" tableColumnId="1"/>
      <queryTableField id="2" name="Identifying details" tableColumnId="2"/>
      <queryTableField id="3" name="Total scope 1 emissions (t CO2-e)" tableColumnId="3"/>
      <queryTableField id="4" name="Total scope 2 emissions (t CO2-e)" tableColumnId="4"/>
      <queryTableField id="5" name="Net energy consumed (GJ)" tableColumnId="5"/>
      <queryTableField id="6" name="Important notes" tableColumnId="6"/>
      <queryTableField id="7" name="Yea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7BBCC445-D377-F24C-A3F4-69D0CFDAE471}" autoFormatId="16" applyNumberFormats="0" applyBorderFormats="0" applyFontFormats="0" applyPatternFormats="0" applyAlignmentFormats="0" applyWidthHeightFormats="0">
  <queryTableRefresh nextId="9">
    <queryTableFields count="8">
      <queryTableField id="1" name="Reporting entity" tableColumnId="1"/>
      <queryTableField id="2" name="Facility name" tableColumnId="2"/>
      <queryTableField id="3" name="Type" tableColumnId="3"/>
      <queryTableField id="4" name="State" tableColumnId="4"/>
      <queryTableField id="5" name="Electricity production (MWh)" tableColumnId="5"/>
      <queryTableField id="6" name="Total scope 1 emissions (t CO2-e)" tableColumnId="6"/>
      <queryTableField id="7" name="Primary fuel" tableColumnId="7"/>
      <queryTableField id="8" name="Year"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7" xr16:uid="{A2415AFC-6DD5-9540-9CB7-29AE7395A8C4}" autoFormatId="16" applyNumberFormats="0" applyBorderFormats="0" applyFontFormats="0" applyPatternFormats="0" applyAlignmentFormats="0" applyWidthHeightFormats="0">
  <queryTableRefresh nextId="9">
    <queryTableFields count="8">
      <queryTableField id="1" name="Reporting entity" tableColumnId="1"/>
      <queryTableField id="2" name="Facility name" tableColumnId="2"/>
      <queryTableField id="3" name="Type" tableColumnId="3"/>
      <queryTableField id="4" name="State" tableColumnId="4"/>
      <queryTableField id="5" name="Electricity production (MWh)" tableColumnId="5"/>
      <queryTableField id="6" name="Total scope 1 emissions (t CO2-e)" tableColumnId="6"/>
      <queryTableField id="7" name="Primary fuel" tableColumnId="7"/>
      <queryTableField id="8" name="Year"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 xr16:uid="{A285E06C-B672-C741-93A1-EBBAA14648A2}" autoFormatId="16" applyNumberFormats="0" applyBorderFormats="0" applyFontFormats="0" applyPatternFormats="0" applyAlignmentFormats="0" applyWidthHeightFormats="0">
  <queryTableRefresh nextId="9">
    <queryTableFields count="8">
      <queryTableField id="1" name="Reporting entity" tableColumnId="1"/>
      <queryTableField id="2" name="Facility name" tableColumnId="2"/>
      <queryTableField id="3" name="Type" tableColumnId="3"/>
      <queryTableField id="4" name="State" tableColumnId="4"/>
      <queryTableField id="5" name="Electricity production (MWh)" tableColumnId="5"/>
      <queryTableField id="6" name="Total scope 1 emissions (t CO2-e)" tableColumnId="6"/>
      <queryTableField id="7" name="Primary fuel" tableColumnId="7"/>
      <queryTableField id="8" name="Year"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49480C-6FCA-9D4F-83D8-08AB5097D3BF}" name="Combined_Corporate" displayName="Combined_Corporate" ref="A1:G1193" tableType="queryTable" totalsRowShown="0">
  <autoFilter ref="A1:G1193" xr:uid="{0849480C-6FCA-9D4F-83D8-08AB5097D3BF}"/>
  <tableColumns count="7">
    <tableColumn id="1" xr3:uid="{D7D70E92-6DE7-B440-80CA-68CC780EAC53}" uniqueName="1" name="Organisation name" queryTableFieldId="1" dataDxfId="30"/>
    <tableColumn id="2" xr3:uid="{FB89B236-45F0-C040-B916-D17D02733BA4}" uniqueName="2" name="Identifying details" queryTableFieldId="2" dataDxfId="29"/>
    <tableColumn id="3" xr3:uid="{053DA84E-34D3-5042-9136-77FD77657256}" uniqueName="3" name="Total scope 1 emissions (t CO2-e)" queryTableFieldId="3"/>
    <tableColumn id="4" xr3:uid="{C52E2BF0-FEED-D845-849A-BB3DF90B1F40}" uniqueName="4" name="Total scope 2 emissions (t CO2-e)" queryTableFieldId="4"/>
    <tableColumn id="5" xr3:uid="{43388279-9004-3A48-9FB2-B9BCF929C39C}" uniqueName="5" name="Net energy consumed (GJ)" queryTableFieldId="5"/>
    <tableColumn id="6" xr3:uid="{C5E1931F-4E7D-404F-905A-15547A1F4662}" uniqueName="6" name="Important notes" queryTableFieldId="6" dataDxfId="28"/>
    <tableColumn id="7" xr3:uid="{6993B314-F3C9-E340-9E4E-A78858268F19}" uniqueName="7" name="Year"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BD000D-240D-7A48-AB55-BE7D1B0EE02C}" name="Registered_corporation_2024_25" displayName="Registered_corporation_2024_25" ref="A1:G415" tableType="queryTable" totalsRowShown="0">
  <autoFilter ref="A1:G415" xr:uid="{ADBD000D-240D-7A48-AB55-BE7D1B0EE02C}"/>
  <tableColumns count="7">
    <tableColumn id="1" xr3:uid="{15CCE15D-6399-FC4C-B220-561653ABA525}" uniqueName="1" name="Organisation name" queryTableFieldId="1" dataDxfId="27"/>
    <tableColumn id="2" xr3:uid="{D7645BD9-CF10-324A-A316-C9773EACA16A}" uniqueName="2" name="Identifying details" queryTableFieldId="2" dataDxfId="26"/>
    <tableColumn id="3" xr3:uid="{8DA8D25F-096E-2E47-9F66-23E783F19AB3}" uniqueName="3" name="Total scope 1 emissions (t CO2-e)" queryTableFieldId="3"/>
    <tableColumn id="4" xr3:uid="{9269F538-8908-2B4A-9D2D-0216AD5E7501}" uniqueName="4" name="Total scope 2 emissions (t CO2-e)" queryTableFieldId="4"/>
    <tableColumn id="5" xr3:uid="{6D8027F8-42CC-C445-BEDC-FA1921B4D85F}" uniqueName="5" name="Net energy consumed (GJ)" queryTableFieldId="5"/>
    <tableColumn id="6" xr3:uid="{091CB301-4A3B-614D-8DF0-7109CF268FE2}" uniqueName="6" name="Important notes" queryTableFieldId="6" dataDxfId="25"/>
    <tableColumn id="7" xr3:uid="{FB7AB870-2AE9-5849-B59E-4DED57923524}" uniqueName="7" name="Year"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FC0F19-66E0-3243-BAB5-15A4688FC270}" name="Registered_corporation_2023_24" displayName="Registered_corporation_2023_24" ref="A1:G415" tableType="queryTable" totalsRowShown="0">
  <autoFilter ref="A1:G415" xr:uid="{C9FC0F19-66E0-3243-BAB5-15A4688FC270}"/>
  <tableColumns count="7">
    <tableColumn id="1" xr3:uid="{23FD3B5A-0014-5540-8CA1-94DDC27E009A}" uniqueName="1" name="Organisation name" queryTableFieldId="1" dataDxfId="24"/>
    <tableColumn id="2" xr3:uid="{BA619B92-F6E6-5846-865C-62C41D05E835}" uniqueName="2" name="Identifying details" queryTableFieldId="2" dataDxfId="23"/>
    <tableColumn id="3" xr3:uid="{499BAF79-4001-CD48-8E11-18DCB5D61384}" uniqueName="3" name="Total scope 1 emissions (t CO2-e)" queryTableFieldId="3"/>
    <tableColumn id="4" xr3:uid="{BB820354-41AD-9945-8112-BE878A721334}" uniqueName="4" name="Total scope 2 emissions (t CO2-e)" queryTableFieldId="4"/>
    <tableColumn id="5" xr3:uid="{DDBBCB38-AC53-414C-A0C6-05EA4FC03D86}" uniqueName="5" name="Net energy consumed (GJ)" queryTableFieldId="5"/>
    <tableColumn id="6" xr3:uid="{453D5A4F-C6C0-2B47-9FDA-631CE964BB0F}" uniqueName="6" name="Important notes" queryTableFieldId="6" dataDxfId="22"/>
    <tableColumn id="7" xr3:uid="{61AC209C-54A2-3849-88D8-180A7D8E45FF}" uniqueName="7" name="Year"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DF4DEC-1F1A-1E45-B299-07343C50ABEB}" name="Registered_corporation_2022_23" displayName="Registered_corporation_2022_23" ref="A1:G415" tableType="queryTable" totalsRowShown="0">
  <autoFilter ref="A1:G415" xr:uid="{8FDF4DEC-1F1A-1E45-B299-07343C50ABEB}"/>
  <tableColumns count="7">
    <tableColumn id="1" xr3:uid="{F15EAD8B-D6F3-6A49-B817-20E64CBBE9A5}" uniqueName="1" name="Organisation name" queryTableFieldId="1" dataDxfId="21"/>
    <tableColumn id="2" xr3:uid="{ABDC0AE8-5D5A-8B43-B93A-3EE55853B3CB}" uniqueName="2" name="Identifying details" queryTableFieldId="2" dataDxfId="20"/>
    <tableColumn id="3" xr3:uid="{D13BFF96-989D-2D4A-B698-F4148424B257}" uniqueName="3" name="Total scope 1 emissions (t CO2-e)" queryTableFieldId="3"/>
    <tableColumn id="4" xr3:uid="{078BA51D-744F-BC44-9586-DD3F87407251}" uniqueName="4" name="Total scope 2 emissions (t CO2-e)" queryTableFieldId="4"/>
    <tableColumn id="5" xr3:uid="{382B05C8-009F-AE42-921D-5133337C6E3C}" uniqueName="5" name="Net energy consumed (GJ)" queryTableFieldId="5"/>
    <tableColumn id="6" xr3:uid="{F030FAFC-6B3F-2949-9B58-FE283DC6E332}" uniqueName="6" name="Important notes" queryTableFieldId="6" dataDxfId="19"/>
    <tableColumn id="7" xr3:uid="{6420E0CF-1C9B-A644-92F1-DA46746ACD60}" uniqueName="7" name="Year"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6610EB9-E7BB-3C47-8CF8-3A36EA66FE71}" name="Facilities" displayName="Facilities" ref="A1:H1587" tableType="queryTable" totalsRowShown="0">
  <autoFilter ref="A1:H1587" xr:uid="{76610EB9-E7BB-3C47-8CF8-3A36EA66FE71}"/>
  <tableColumns count="8">
    <tableColumn id="1" xr3:uid="{80ED99AE-5919-764B-A2B5-FF0B98926964}" uniqueName="1" name="Reporting entity" queryTableFieldId="1" dataDxfId="18"/>
    <tableColumn id="2" xr3:uid="{5AC32154-C838-4B46-89B2-3267ABD4DEEE}" uniqueName="2" name="Facility name" queryTableFieldId="2" dataDxfId="17"/>
    <tableColumn id="3" xr3:uid="{F5FE8E61-4E76-064E-93C4-AB1660542D9E}" uniqueName="3" name="Type" queryTableFieldId="3" dataDxfId="16"/>
    <tableColumn id="4" xr3:uid="{EA2F5A7A-968E-124D-91C2-402DDF65E46A}" uniqueName="4" name="State" queryTableFieldId="4" dataDxfId="15"/>
    <tableColumn id="5" xr3:uid="{2FB90050-4DC3-E943-8199-7138F54FE7B7}" uniqueName="5" name="Electricity production (MWh)" queryTableFieldId="5"/>
    <tableColumn id="6" xr3:uid="{97268BEA-25C9-5544-95DE-4E59E6257815}" uniqueName="6" name="Total scope 1 emissions (t CO2-e)" queryTableFieldId="6"/>
    <tableColumn id="7" xr3:uid="{4415B71C-13F8-2142-B2C0-9E1CBDBE3192}" uniqueName="7" name="Primary fuel" queryTableFieldId="7" dataDxfId="14"/>
    <tableColumn id="8" xr3:uid="{C8005362-0FA6-B245-852F-813E3AF9EE9C}" uniqueName="8" name="Year"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9195BF-D073-6944-B509-46D9D75E984C}" name="Table1" displayName="Table1" ref="A1:H812" tableType="queryTable" totalsRowShown="0">
  <autoFilter ref="A1:H812" xr:uid="{5A9195BF-D073-6944-B509-46D9D75E984C}"/>
  <tableColumns count="8">
    <tableColumn id="1" xr3:uid="{EC1DA495-3023-8F49-9F63-23E1B826964F}" uniqueName="1" name="Reporting entity" queryTableFieldId="1" dataDxfId="13"/>
    <tableColumn id="2" xr3:uid="{47ED9B4D-76FE-5B49-BD5E-F626AE8D4F6E}" uniqueName="2" name="Facility name" queryTableFieldId="2" dataDxfId="12"/>
    <tableColumn id="3" xr3:uid="{CB2C38E7-2890-6C4D-A9E3-93D161B6EDD6}" uniqueName="3" name="Type" queryTableFieldId="3" dataDxfId="11"/>
    <tableColumn id="4" xr3:uid="{255548B6-5F9B-F64F-8E4F-5494904D15A6}" uniqueName="4" name="State" queryTableFieldId="4" dataDxfId="10"/>
    <tableColumn id="5" xr3:uid="{BD7DFA69-A487-1240-BEC1-A797763DEAF1}" uniqueName="5" name="Electricity production (MWh)" queryTableFieldId="5"/>
    <tableColumn id="6" xr3:uid="{413F09EE-55D5-3946-A4D6-60676BE2E693}" uniqueName="6" name="Total scope 1 emissions (t CO2-e)" queryTableFieldId="6"/>
    <tableColumn id="7" xr3:uid="{68D72F5E-9488-FB48-9250-50DEBF8771CF}" uniqueName="7" name="Primary fuel" queryTableFieldId="7" dataDxfId="9"/>
    <tableColumn id="8" xr3:uid="{8C9C120B-68C8-924F-9A8F-A0AB737BC374}" uniqueName="8" name="Year"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C167C0-898D-2F47-B296-0CBF055F3954}" name="Data_Greenhouse_and_energy_information" displayName="Data_Greenhouse_and_energy_information" ref="A1:H776" tableType="queryTable" totalsRowShown="0">
  <autoFilter ref="A1:H776" xr:uid="{AFC167C0-898D-2F47-B296-0CBF055F3954}"/>
  <tableColumns count="8">
    <tableColumn id="1" xr3:uid="{DB5A2719-E4E0-E44D-AD2C-4DC3258D84FC}" uniqueName="1" name="Reporting entity" queryTableFieldId="1" dataDxfId="8"/>
    <tableColumn id="2" xr3:uid="{0DF1AF1A-E135-2542-ACB4-FE71826482BB}" uniqueName="2" name="Facility name" queryTableFieldId="2" dataDxfId="7"/>
    <tableColumn id="3" xr3:uid="{E27E8F26-C896-E547-898F-1C763E3C9EEF}" uniqueName="3" name="Type" queryTableFieldId="3" dataDxfId="6"/>
    <tableColumn id="4" xr3:uid="{BC4F7FAB-3D6E-C34F-AFAE-F00A2665C247}" uniqueName="4" name="State" queryTableFieldId="4" dataDxfId="5"/>
    <tableColumn id="5" xr3:uid="{19FBEF14-67CC-AC40-9FC3-82B7900B19E6}" uniqueName="5" name="Electricity production (MWh)" queryTableFieldId="5"/>
    <tableColumn id="6" xr3:uid="{4BAF4049-1F10-364C-9256-524A63ED4056}" uniqueName="6" name="Total scope 1 emissions (t CO2-e)" queryTableFieldId="6"/>
    <tableColumn id="7" xr3:uid="{F72FBD97-39F6-784B-889A-33D150031048}" uniqueName="7" name="Primary fuel" queryTableFieldId="7" dataDxfId="4"/>
    <tableColumn id="8" xr3:uid="{A3810486-0903-8543-9830-297C4684DDE5}" uniqueName="8" name="Year"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B8791-BF10-6449-B40A-99ED2519D9E6}">
  <dimension ref="A1:H6"/>
  <sheetViews>
    <sheetView tabSelected="1" workbookViewId="0">
      <selection activeCell="F13" sqref="F13"/>
    </sheetView>
  </sheetViews>
  <sheetFormatPr baseColWidth="10" defaultRowHeight="16" x14ac:dyDescent="0.2"/>
  <cols>
    <col min="2" max="2" width="56.83203125" customWidth="1"/>
    <col min="3" max="3" width="19" customWidth="1"/>
    <col min="4" max="4" width="22.1640625" customWidth="1"/>
    <col min="5" max="5" width="13.5" customWidth="1"/>
    <col min="6" max="6" width="15" customWidth="1"/>
    <col min="7" max="7" width="69.5" customWidth="1"/>
    <col min="8" max="8" width="24.83203125"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t="s">
        <v>10</v>
      </c>
      <c r="D2" s="2" t="s">
        <v>11</v>
      </c>
      <c r="E2" s="3">
        <v>45350</v>
      </c>
      <c r="F2" s="3">
        <v>46194</v>
      </c>
      <c r="G2" s="2" t="s">
        <v>12</v>
      </c>
      <c r="H2" s="2" t="s">
        <v>13</v>
      </c>
    </row>
    <row r="3" spans="1:8" x14ac:dyDescent="0.2">
      <c r="A3" s="2" t="s">
        <v>14</v>
      </c>
      <c r="B3" s="2" t="s">
        <v>9</v>
      </c>
      <c r="C3" s="2" t="s">
        <v>15</v>
      </c>
      <c r="D3" s="2" t="s">
        <v>11</v>
      </c>
      <c r="E3" s="3">
        <v>45716</v>
      </c>
      <c r="F3" s="3">
        <v>46194</v>
      </c>
      <c r="G3" s="2" t="s">
        <v>16</v>
      </c>
      <c r="H3" s="2" t="s">
        <v>13</v>
      </c>
    </row>
    <row r="4" spans="1:8" x14ac:dyDescent="0.2">
      <c r="A4" s="2" t="s">
        <v>17</v>
      </c>
      <c r="B4" s="2" t="s">
        <v>9</v>
      </c>
      <c r="C4" s="2" t="s">
        <v>18</v>
      </c>
      <c r="D4" s="2" t="s">
        <v>11</v>
      </c>
      <c r="E4" s="3">
        <v>46080</v>
      </c>
      <c r="F4" s="3">
        <v>46194</v>
      </c>
      <c r="G4" s="2" t="s">
        <v>19</v>
      </c>
      <c r="H4" s="2" t="s">
        <v>13</v>
      </c>
    </row>
    <row r="5" spans="1:8" x14ac:dyDescent="0.2">
      <c r="A5" s="2" t="s">
        <v>20</v>
      </c>
      <c r="B5" s="2" t="s">
        <v>21</v>
      </c>
      <c r="C5" s="2" t="s">
        <v>15</v>
      </c>
      <c r="D5" s="2" t="s">
        <v>11</v>
      </c>
      <c r="E5" s="3">
        <v>45716</v>
      </c>
      <c r="F5" s="3">
        <v>46194</v>
      </c>
      <c r="G5" s="2" t="s">
        <v>22</v>
      </c>
      <c r="H5" s="2" t="s">
        <v>23</v>
      </c>
    </row>
    <row r="6" spans="1:8" x14ac:dyDescent="0.2">
      <c r="A6" s="2" t="s">
        <v>24</v>
      </c>
      <c r="B6" s="2" t="s">
        <v>21</v>
      </c>
      <c r="C6" s="2" t="s">
        <v>18</v>
      </c>
      <c r="D6" s="2" t="s">
        <v>11</v>
      </c>
      <c r="E6" s="3">
        <v>46080</v>
      </c>
      <c r="F6" s="3">
        <v>46194</v>
      </c>
      <c r="G6" s="2" t="s">
        <v>25</v>
      </c>
      <c r="H6" s="2"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DC84-B4E1-0744-8EC7-26C0E675F014}">
  <dimension ref="A1:G1193"/>
  <sheetViews>
    <sheetView topLeftCell="A1160" workbookViewId="0">
      <selection activeCell="E1195" sqref="E1195"/>
    </sheetView>
  </sheetViews>
  <sheetFormatPr baseColWidth="10" defaultRowHeight="16" x14ac:dyDescent="0.2"/>
  <cols>
    <col min="1" max="1" width="63.83203125" bestFit="1" customWidth="1"/>
    <col min="2" max="2" width="68.6640625" bestFit="1" customWidth="1"/>
    <col min="3" max="4" width="31.83203125" bestFit="1" customWidth="1"/>
    <col min="5" max="5" width="25.5" bestFit="1" customWidth="1"/>
    <col min="6" max="6" width="80.6640625" bestFit="1" customWidth="1"/>
    <col min="7" max="7" width="7.83203125" bestFit="1" customWidth="1"/>
  </cols>
  <sheetData>
    <row r="1" spans="1:7" x14ac:dyDescent="0.2">
      <c r="A1" t="s">
        <v>26</v>
      </c>
      <c r="B1" t="s">
        <v>27</v>
      </c>
      <c r="C1" t="s">
        <v>28</v>
      </c>
      <c r="D1" t="s">
        <v>29</v>
      </c>
      <c r="E1" t="s">
        <v>30</v>
      </c>
      <c r="F1" t="s">
        <v>31</v>
      </c>
      <c r="G1" t="s">
        <v>32</v>
      </c>
    </row>
    <row r="2" spans="1:7" x14ac:dyDescent="0.2">
      <c r="A2" t="s">
        <v>33</v>
      </c>
      <c r="B2" t="s">
        <v>34</v>
      </c>
      <c r="C2">
        <v>34800071</v>
      </c>
      <c r="D2">
        <v>441624</v>
      </c>
      <c r="E2">
        <v>267795359</v>
      </c>
      <c r="F2" t="s">
        <v>35</v>
      </c>
      <c r="G2" t="s">
        <v>10</v>
      </c>
    </row>
    <row r="3" spans="1:7" x14ac:dyDescent="0.2">
      <c r="A3" t="s">
        <v>36</v>
      </c>
      <c r="B3" t="s">
        <v>37</v>
      </c>
      <c r="C3">
        <v>18286350</v>
      </c>
      <c r="D3">
        <v>51219</v>
      </c>
      <c r="E3">
        <v>133689521</v>
      </c>
      <c r="F3" t="s">
        <v>35</v>
      </c>
      <c r="G3" t="s">
        <v>10</v>
      </c>
    </row>
    <row r="4" spans="1:7" x14ac:dyDescent="0.2">
      <c r="A4" t="s">
        <v>38</v>
      </c>
      <c r="B4" t="s">
        <v>39</v>
      </c>
      <c r="C4">
        <v>17383708</v>
      </c>
      <c r="D4">
        <v>182649</v>
      </c>
      <c r="E4">
        <v>140570913</v>
      </c>
      <c r="F4" t="s">
        <v>35</v>
      </c>
      <c r="G4" t="s">
        <v>10</v>
      </c>
    </row>
    <row r="5" spans="1:7" x14ac:dyDescent="0.2">
      <c r="A5" t="s">
        <v>40</v>
      </c>
      <c r="B5" t="s">
        <v>41</v>
      </c>
      <c r="C5">
        <v>13677347</v>
      </c>
      <c r="D5">
        <v>2235097</v>
      </c>
      <c r="E5">
        <v>121640735</v>
      </c>
      <c r="F5" t="s">
        <v>35</v>
      </c>
      <c r="G5" t="s">
        <v>10</v>
      </c>
    </row>
    <row r="6" spans="1:7" x14ac:dyDescent="0.2">
      <c r="A6" t="s">
        <v>42</v>
      </c>
      <c r="B6" t="s">
        <v>43</v>
      </c>
      <c r="C6">
        <v>12046674</v>
      </c>
      <c r="D6">
        <v>1858</v>
      </c>
      <c r="E6">
        <v>138599240</v>
      </c>
      <c r="F6" t="s">
        <v>35</v>
      </c>
      <c r="G6" t="s">
        <v>10</v>
      </c>
    </row>
    <row r="7" spans="1:7" x14ac:dyDescent="0.2">
      <c r="A7" t="s">
        <v>44</v>
      </c>
      <c r="B7" t="s">
        <v>45</v>
      </c>
      <c r="C7">
        <v>10855757</v>
      </c>
      <c r="D7">
        <v>8718</v>
      </c>
      <c r="E7">
        <v>90179681</v>
      </c>
      <c r="F7" t="s">
        <v>35</v>
      </c>
      <c r="G7" t="s">
        <v>10</v>
      </c>
    </row>
    <row r="8" spans="1:7" x14ac:dyDescent="0.2">
      <c r="A8" t="s">
        <v>46</v>
      </c>
      <c r="B8" t="s">
        <v>47</v>
      </c>
      <c r="C8">
        <v>9270533</v>
      </c>
      <c r="D8">
        <v>5162</v>
      </c>
      <c r="E8">
        <v>144015162</v>
      </c>
      <c r="F8" t="s">
        <v>35</v>
      </c>
      <c r="G8" t="s">
        <v>10</v>
      </c>
    </row>
    <row r="9" spans="1:7" x14ac:dyDescent="0.2">
      <c r="A9" t="s">
        <v>48</v>
      </c>
      <c r="B9" t="s">
        <v>49</v>
      </c>
      <c r="C9">
        <v>8727629</v>
      </c>
      <c r="D9">
        <v>30043</v>
      </c>
      <c r="E9">
        <v>62575388</v>
      </c>
      <c r="F9" t="s">
        <v>50</v>
      </c>
      <c r="G9" t="s">
        <v>10</v>
      </c>
    </row>
    <row r="10" spans="1:7" x14ac:dyDescent="0.2">
      <c r="A10" t="s">
        <v>51</v>
      </c>
      <c r="B10" t="s">
        <v>52</v>
      </c>
      <c r="C10">
        <v>7607328</v>
      </c>
      <c r="D10">
        <v>7145119</v>
      </c>
      <c r="E10">
        <v>147581376</v>
      </c>
      <c r="F10" t="s">
        <v>35</v>
      </c>
      <c r="G10" t="s">
        <v>10</v>
      </c>
    </row>
    <row r="11" spans="1:7" x14ac:dyDescent="0.2">
      <c r="A11" t="s">
        <v>53</v>
      </c>
      <c r="B11" t="s">
        <v>54</v>
      </c>
      <c r="C11">
        <v>6914264</v>
      </c>
      <c r="D11">
        <v>73144</v>
      </c>
      <c r="E11">
        <v>46840771</v>
      </c>
      <c r="F11" t="s">
        <v>35</v>
      </c>
      <c r="G11" t="s">
        <v>10</v>
      </c>
    </row>
    <row r="12" spans="1:7" x14ac:dyDescent="0.2">
      <c r="A12" t="s">
        <v>55</v>
      </c>
      <c r="B12" t="s">
        <v>56</v>
      </c>
      <c r="C12">
        <v>6626970</v>
      </c>
      <c r="D12">
        <v>340354</v>
      </c>
      <c r="E12">
        <v>54290775</v>
      </c>
      <c r="F12" t="s">
        <v>35</v>
      </c>
      <c r="G12" t="s">
        <v>10</v>
      </c>
    </row>
    <row r="13" spans="1:7" x14ac:dyDescent="0.2">
      <c r="A13" t="s">
        <v>57</v>
      </c>
      <c r="B13" t="s">
        <v>58</v>
      </c>
      <c r="C13">
        <v>6473528</v>
      </c>
      <c r="D13">
        <v>526620</v>
      </c>
      <c r="E13">
        <v>82507803</v>
      </c>
      <c r="F13" t="s">
        <v>35</v>
      </c>
      <c r="G13" t="s">
        <v>10</v>
      </c>
    </row>
    <row r="14" spans="1:7" x14ac:dyDescent="0.2">
      <c r="A14" t="s">
        <v>59</v>
      </c>
      <c r="B14" t="s">
        <v>60</v>
      </c>
      <c r="C14">
        <v>6433252</v>
      </c>
      <c r="D14">
        <v>48193</v>
      </c>
      <c r="E14">
        <v>48305090</v>
      </c>
      <c r="F14" t="s">
        <v>35</v>
      </c>
      <c r="G14" t="s">
        <v>10</v>
      </c>
    </row>
    <row r="15" spans="1:7" x14ac:dyDescent="0.2">
      <c r="A15" t="s">
        <v>61</v>
      </c>
      <c r="B15" t="s">
        <v>62</v>
      </c>
      <c r="C15">
        <v>6318221</v>
      </c>
      <c r="D15">
        <v>829225</v>
      </c>
      <c r="E15">
        <v>74625952</v>
      </c>
      <c r="F15" t="s">
        <v>35</v>
      </c>
      <c r="G15" t="s">
        <v>10</v>
      </c>
    </row>
    <row r="16" spans="1:7" x14ac:dyDescent="0.2">
      <c r="A16" t="s">
        <v>63</v>
      </c>
      <c r="B16" t="s">
        <v>64</v>
      </c>
      <c r="C16">
        <v>5931417</v>
      </c>
      <c r="D16">
        <v>12977</v>
      </c>
      <c r="E16">
        <v>44416301</v>
      </c>
      <c r="F16" t="s">
        <v>50</v>
      </c>
      <c r="G16" t="s">
        <v>10</v>
      </c>
    </row>
    <row r="17" spans="1:7" x14ac:dyDescent="0.2">
      <c r="A17" t="s">
        <v>65</v>
      </c>
      <c r="B17" t="s">
        <v>66</v>
      </c>
      <c r="C17">
        <v>5892748</v>
      </c>
      <c r="D17">
        <v>3552278</v>
      </c>
      <c r="E17">
        <v>119494759</v>
      </c>
      <c r="F17" t="s">
        <v>35</v>
      </c>
      <c r="G17" t="s">
        <v>10</v>
      </c>
    </row>
    <row r="18" spans="1:7" x14ac:dyDescent="0.2">
      <c r="A18" t="s">
        <v>67</v>
      </c>
      <c r="B18" t="s">
        <v>68</v>
      </c>
      <c r="C18">
        <v>5840868</v>
      </c>
      <c r="D18">
        <v>598</v>
      </c>
      <c r="E18">
        <v>63473732</v>
      </c>
      <c r="F18" t="s">
        <v>35</v>
      </c>
      <c r="G18" t="s">
        <v>10</v>
      </c>
    </row>
    <row r="19" spans="1:7" x14ac:dyDescent="0.2">
      <c r="A19" t="s">
        <v>69</v>
      </c>
      <c r="B19" t="s">
        <v>70</v>
      </c>
      <c r="C19">
        <v>5560111</v>
      </c>
      <c r="D19">
        <v>1632572</v>
      </c>
      <c r="E19">
        <v>56332977</v>
      </c>
      <c r="F19" t="s">
        <v>35</v>
      </c>
      <c r="G19" t="s">
        <v>10</v>
      </c>
    </row>
    <row r="20" spans="1:7" x14ac:dyDescent="0.2">
      <c r="A20" t="s">
        <v>71</v>
      </c>
      <c r="B20" t="s">
        <v>72</v>
      </c>
      <c r="C20">
        <v>5359683</v>
      </c>
      <c r="D20">
        <v>3273</v>
      </c>
      <c r="E20">
        <v>48998810</v>
      </c>
      <c r="F20" t="s">
        <v>35</v>
      </c>
      <c r="G20" t="s">
        <v>10</v>
      </c>
    </row>
    <row r="21" spans="1:7" x14ac:dyDescent="0.2">
      <c r="A21" t="s">
        <v>73</v>
      </c>
      <c r="B21" t="s">
        <v>74</v>
      </c>
      <c r="C21">
        <v>4679375</v>
      </c>
      <c r="D21">
        <v>622229</v>
      </c>
      <c r="E21">
        <v>19053417</v>
      </c>
      <c r="F21" t="s">
        <v>35</v>
      </c>
      <c r="G21" t="s">
        <v>10</v>
      </c>
    </row>
    <row r="22" spans="1:7" x14ac:dyDescent="0.2">
      <c r="A22" t="s">
        <v>75</v>
      </c>
      <c r="B22" t="s">
        <v>76</v>
      </c>
      <c r="C22">
        <v>4385686</v>
      </c>
      <c r="D22">
        <v>62462</v>
      </c>
      <c r="E22">
        <v>64775969</v>
      </c>
      <c r="F22" t="s">
        <v>35</v>
      </c>
      <c r="G22" t="s">
        <v>10</v>
      </c>
    </row>
    <row r="23" spans="1:7" x14ac:dyDescent="0.2">
      <c r="A23" t="s">
        <v>77</v>
      </c>
      <c r="B23" t="s">
        <v>78</v>
      </c>
      <c r="C23">
        <v>3554997</v>
      </c>
      <c r="D23">
        <v>1272088</v>
      </c>
      <c r="E23">
        <v>64652296</v>
      </c>
      <c r="F23" t="s">
        <v>35</v>
      </c>
      <c r="G23" t="s">
        <v>10</v>
      </c>
    </row>
    <row r="24" spans="1:7" x14ac:dyDescent="0.2">
      <c r="A24" t="s">
        <v>79</v>
      </c>
      <c r="B24" t="s">
        <v>80</v>
      </c>
      <c r="C24">
        <v>3304501</v>
      </c>
      <c r="D24">
        <v>909928</v>
      </c>
      <c r="E24">
        <v>34648627</v>
      </c>
      <c r="F24" t="s">
        <v>35</v>
      </c>
      <c r="G24" t="s">
        <v>10</v>
      </c>
    </row>
    <row r="25" spans="1:7" x14ac:dyDescent="0.2">
      <c r="A25" t="s">
        <v>81</v>
      </c>
      <c r="B25" t="s">
        <v>82</v>
      </c>
      <c r="C25">
        <v>3076786</v>
      </c>
      <c r="D25">
        <v>182738</v>
      </c>
      <c r="E25">
        <v>27885275</v>
      </c>
      <c r="F25" t="s">
        <v>35</v>
      </c>
      <c r="G25" t="s">
        <v>10</v>
      </c>
    </row>
    <row r="26" spans="1:7" x14ac:dyDescent="0.2">
      <c r="A26" t="s">
        <v>83</v>
      </c>
      <c r="B26" t="s">
        <v>84</v>
      </c>
      <c r="C26">
        <v>3059545</v>
      </c>
      <c r="D26">
        <v>568842</v>
      </c>
      <c r="E26">
        <v>40707419</v>
      </c>
      <c r="F26" t="s">
        <v>35</v>
      </c>
      <c r="G26" t="s">
        <v>10</v>
      </c>
    </row>
    <row r="27" spans="1:7" x14ac:dyDescent="0.2">
      <c r="A27" t="s">
        <v>85</v>
      </c>
      <c r="B27" t="s">
        <v>86</v>
      </c>
      <c r="C27">
        <v>2591294</v>
      </c>
      <c r="D27">
        <v>202091</v>
      </c>
      <c r="E27">
        <v>13303387</v>
      </c>
      <c r="F27" t="s">
        <v>35</v>
      </c>
      <c r="G27" t="s">
        <v>10</v>
      </c>
    </row>
    <row r="28" spans="1:7" x14ac:dyDescent="0.2">
      <c r="A28" t="s">
        <v>87</v>
      </c>
      <c r="B28" t="s">
        <v>88</v>
      </c>
      <c r="C28">
        <v>2477909</v>
      </c>
      <c r="D28">
        <v>6076</v>
      </c>
      <c r="E28">
        <v>32696444</v>
      </c>
      <c r="F28" t="s">
        <v>35</v>
      </c>
      <c r="G28" t="s">
        <v>10</v>
      </c>
    </row>
    <row r="29" spans="1:7" x14ac:dyDescent="0.2">
      <c r="A29" t="s">
        <v>89</v>
      </c>
      <c r="B29" t="s">
        <v>90</v>
      </c>
      <c r="C29">
        <v>2316720</v>
      </c>
      <c r="D29">
        <v>338208</v>
      </c>
      <c r="E29">
        <v>17943785</v>
      </c>
      <c r="F29" t="s">
        <v>35</v>
      </c>
      <c r="G29" t="s">
        <v>10</v>
      </c>
    </row>
    <row r="30" spans="1:7" x14ac:dyDescent="0.2">
      <c r="A30" t="s">
        <v>91</v>
      </c>
      <c r="B30" t="s">
        <v>92</v>
      </c>
      <c r="C30">
        <v>2096033</v>
      </c>
      <c r="D30">
        <v>360</v>
      </c>
      <c r="E30">
        <v>41132387</v>
      </c>
      <c r="F30" t="s">
        <v>35</v>
      </c>
      <c r="G30" t="s">
        <v>10</v>
      </c>
    </row>
    <row r="31" spans="1:7" x14ac:dyDescent="0.2">
      <c r="A31" t="s">
        <v>93</v>
      </c>
      <c r="B31" t="s">
        <v>94</v>
      </c>
      <c r="C31">
        <v>2032585</v>
      </c>
      <c r="D31">
        <v>2286</v>
      </c>
      <c r="E31">
        <v>28965512</v>
      </c>
      <c r="F31" t="s">
        <v>35</v>
      </c>
      <c r="G31" t="s">
        <v>10</v>
      </c>
    </row>
    <row r="32" spans="1:7" x14ac:dyDescent="0.2">
      <c r="A32" t="s">
        <v>95</v>
      </c>
      <c r="B32" t="s">
        <v>96</v>
      </c>
      <c r="C32">
        <v>1910727</v>
      </c>
      <c r="D32">
        <v>363525</v>
      </c>
      <c r="E32">
        <v>31319711</v>
      </c>
      <c r="F32" t="s">
        <v>35</v>
      </c>
      <c r="G32" t="s">
        <v>10</v>
      </c>
    </row>
    <row r="33" spans="1:7" x14ac:dyDescent="0.2">
      <c r="A33" t="s">
        <v>97</v>
      </c>
      <c r="B33" t="s">
        <v>98</v>
      </c>
      <c r="C33">
        <v>1754222</v>
      </c>
      <c r="D33">
        <v>132803</v>
      </c>
      <c r="E33">
        <v>12829762</v>
      </c>
      <c r="F33" t="s">
        <v>35</v>
      </c>
      <c r="G33" t="s">
        <v>10</v>
      </c>
    </row>
    <row r="34" spans="1:7" x14ac:dyDescent="0.2">
      <c r="A34" t="s">
        <v>99</v>
      </c>
      <c r="B34" t="s">
        <v>100</v>
      </c>
      <c r="C34">
        <v>1738625</v>
      </c>
      <c r="D34">
        <v>34500</v>
      </c>
      <c r="E34">
        <v>22046483</v>
      </c>
      <c r="F34" t="s">
        <v>35</v>
      </c>
      <c r="G34" t="s">
        <v>10</v>
      </c>
    </row>
    <row r="35" spans="1:7" x14ac:dyDescent="0.2">
      <c r="A35" t="s">
        <v>101</v>
      </c>
      <c r="B35" t="s">
        <v>102</v>
      </c>
      <c r="C35">
        <v>1703481</v>
      </c>
      <c r="D35">
        <v>160939</v>
      </c>
      <c r="E35">
        <v>7704240</v>
      </c>
      <c r="F35" t="s">
        <v>35</v>
      </c>
      <c r="G35" t="s">
        <v>10</v>
      </c>
    </row>
    <row r="36" spans="1:7" x14ac:dyDescent="0.2">
      <c r="A36" t="s">
        <v>103</v>
      </c>
      <c r="B36" t="s">
        <v>104</v>
      </c>
      <c r="C36">
        <v>1673378</v>
      </c>
      <c r="D36">
        <v>0</v>
      </c>
      <c r="E36">
        <v>30868677</v>
      </c>
      <c r="F36" t="s">
        <v>35</v>
      </c>
      <c r="G36" t="s">
        <v>10</v>
      </c>
    </row>
    <row r="37" spans="1:7" x14ac:dyDescent="0.2">
      <c r="A37" t="s">
        <v>105</v>
      </c>
      <c r="B37" t="s">
        <v>106</v>
      </c>
      <c r="C37">
        <v>1568822</v>
      </c>
      <c r="D37">
        <v>284726</v>
      </c>
      <c r="E37">
        <v>20607889</v>
      </c>
      <c r="F37" t="s">
        <v>35</v>
      </c>
      <c r="G37" t="s">
        <v>10</v>
      </c>
    </row>
    <row r="38" spans="1:7" x14ac:dyDescent="0.2">
      <c r="A38" t="s">
        <v>107</v>
      </c>
      <c r="B38" t="s">
        <v>108</v>
      </c>
      <c r="C38">
        <v>1526582</v>
      </c>
      <c r="D38">
        <v>8746</v>
      </c>
      <c r="E38">
        <v>30208601</v>
      </c>
      <c r="F38" t="s">
        <v>35</v>
      </c>
      <c r="G38" t="s">
        <v>10</v>
      </c>
    </row>
    <row r="39" spans="1:7" x14ac:dyDescent="0.2">
      <c r="A39" t="s">
        <v>109</v>
      </c>
      <c r="B39" t="s">
        <v>110</v>
      </c>
      <c r="C39">
        <v>1453834</v>
      </c>
      <c r="D39">
        <v>154576</v>
      </c>
      <c r="E39">
        <v>2792556</v>
      </c>
      <c r="F39" t="s">
        <v>35</v>
      </c>
      <c r="G39" t="s">
        <v>10</v>
      </c>
    </row>
    <row r="40" spans="1:7" x14ac:dyDescent="0.2">
      <c r="A40" t="s">
        <v>111</v>
      </c>
      <c r="B40" t="s">
        <v>112</v>
      </c>
      <c r="C40">
        <v>1412751</v>
      </c>
      <c r="D40">
        <v>151415</v>
      </c>
      <c r="E40">
        <v>19314697</v>
      </c>
      <c r="F40" t="s">
        <v>35</v>
      </c>
      <c r="G40" t="s">
        <v>10</v>
      </c>
    </row>
    <row r="41" spans="1:7" x14ac:dyDescent="0.2">
      <c r="A41" t="s">
        <v>113</v>
      </c>
      <c r="B41" t="s">
        <v>114</v>
      </c>
      <c r="C41">
        <v>1379327</v>
      </c>
      <c r="D41">
        <v>152017</v>
      </c>
      <c r="E41">
        <v>16824168</v>
      </c>
      <c r="F41" t="s">
        <v>35</v>
      </c>
      <c r="G41" t="s">
        <v>10</v>
      </c>
    </row>
    <row r="42" spans="1:7" x14ac:dyDescent="0.2">
      <c r="A42" t="s">
        <v>115</v>
      </c>
      <c r="B42" t="s">
        <v>116</v>
      </c>
      <c r="C42">
        <v>1367784</v>
      </c>
      <c r="D42">
        <v>220995</v>
      </c>
      <c r="E42">
        <v>1862214</v>
      </c>
      <c r="F42" t="s">
        <v>35</v>
      </c>
      <c r="G42" t="s">
        <v>10</v>
      </c>
    </row>
    <row r="43" spans="1:7" x14ac:dyDescent="0.2">
      <c r="A43" t="s">
        <v>117</v>
      </c>
      <c r="B43" t="s">
        <v>118</v>
      </c>
      <c r="C43">
        <v>1352540</v>
      </c>
      <c r="D43">
        <v>107312</v>
      </c>
      <c r="E43">
        <v>25723957</v>
      </c>
      <c r="F43" t="s">
        <v>35</v>
      </c>
      <c r="G43" t="s">
        <v>10</v>
      </c>
    </row>
    <row r="44" spans="1:7" x14ac:dyDescent="0.2">
      <c r="A44" t="s">
        <v>119</v>
      </c>
      <c r="B44" t="s">
        <v>120</v>
      </c>
      <c r="C44">
        <v>1343797</v>
      </c>
      <c r="D44">
        <v>273829</v>
      </c>
      <c r="E44">
        <v>10528858</v>
      </c>
      <c r="F44" t="s">
        <v>35</v>
      </c>
      <c r="G44" t="s">
        <v>10</v>
      </c>
    </row>
    <row r="45" spans="1:7" x14ac:dyDescent="0.2">
      <c r="A45" t="s">
        <v>121</v>
      </c>
      <c r="B45" t="s">
        <v>122</v>
      </c>
      <c r="C45">
        <v>1229931</v>
      </c>
      <c r="D45">
        <v>139</v>
      </c>
      <c r="E45">
        <v>22624478</v>
      </c>
      <c r="F45" t="s">
        <v>35</v>
      </c>
      <c r="G45" t="s">
        <v>10</v>
      </c>
    </row>
    <row r="46" spans="1:7" x14ac:dyDescent="0.2">
      <c r="A46" t="s">
        <v>123</v>
      </c>
      <c r="B46" t="s">
        <v>124</v>
      </c>
      <c r="C46">
        <v>1177432</v>
      </c>
      <c r="D46">
        <v>6080933</v>
      </c>
      <c r="E46">
        <v>40145740</v>
      </c>
      <c r="F46" t="s">
        <v>35</v>
      </c>
      <c r="G46" t="s">
        <v>10</v>
      </c>
    </row>
    <row r="47" spans="1:7" x14ac:dyDescent="0.2">
      <c r="A47" t="s">
        <v>125</v>
      </c>
      <c r="B47" t="s">
        <v>126</v>
      </c>
      <c r="C47">
        <v>1172297</v>
      </c>
      <c r="D47">
        <v>93261</v>
      </c>
      <c r="E47">
        <v>6019439</v>
      </c>
      <c r="F47" t="s">
        <v>35</v>
      </c>
      <c r="G47" t="s">
        <v>10</v>
      </c>
    </row>
    <row r="48" spans="1:7" x14ac:dyDescent="0.2">
      <c r="A48" t="s">
        <v>127</v>
      </c>
      <c r="B48" t="s">
        <v>128</v>
      </c>
      <c r="C48">
        <v>1142716</v>
      </c>
      <c r="D48">
        <v>168648</v>
      </c>
      <c r="E48">
        <v>6933231</v>
      </c>
      <c r="F48" t="s">
        <v>35</v>
      </c>
      <c r="G48" t="s">
        <v>10</v>
      </c>
    </row>
    <row r="49" spans="1:7" x14ac:dyDescent="0.2">
      <c r="A49" t="s">
        <v>129</v>
      </c>
      <c r="B49" t="s">
        <v>130</v>
      </c>
      <c r="C49">
        <v>1128156</v>
      </c>
      <c r="D49">
        <v>58471</v>
      </c>
      <c r="E49">
        <v>5783201</v>
      </c>
      <c r="F49" t="s">
        <v>35</v>
      </c>
      <c r="G49" t="s">
        <v>10</v>
      </c>
    </row>
    <row r="50" spans="1:7" x14ac:dyDescent="0.2">
      <c r="A50" t="s">
        <v>131</v>
      </c>
      <c r="B50" t="s">
        <v>132</v>
      </c>
      <c r="C50">
        <v>1104957</v>
      </c>
      <c r="D50">
        <v>69600</v>
      </c>
      <c r="E50">
        <v>3086796</v>
      </c>
      <c r="F50" t="s">
        <v>35</v>
      </c>
      <c r="G50" t="s">
        <v>10</v>
      </c>
    </row>
    <row r="51" spans="1:7" x14ac:dyDescent="0.2">
      <c r="A51" t="s">
        <v>133</v>
      </c>
      <c r="B51" t="s">
        <v>134</v>
      </c>
      <c r="C51">
        <v>997508</v>
      </c>
      <c r="D51">
        <v>301675</v>
      </c>
      <c r="E51">
        <v>15561306</v>
      </c>
      <c r="F51" t="s">
        <v>35</v>
      </c>
      <c r="G51" t="s">
        <v>10</v>
      </c>
    </row>
    <row r="52" spans="1:7" x14ac:dyDescent="0.2">
      <c r="A52" t="s">
        <v>135</v>
      </c>
      <c r="B52" t="s">
        <v>136</v>
      </c>
      <c r="C52">
        <v>964833</v>
      </c>
      <c r="D52">
        <v>736</v>
      </c>
      <c r="E52">
        <v>8628344</v>
      </c>
      <c r="F52" t="s">
        <v>35</v>
      </c>
      <c r="G52" t="s">
        <v>10</v>
      </c>
    </row>
    <row r="53" spans="1:7" x14ac:dyDescent="0.2">
      <c r="A53" t="s">
        <v>137</v>
      </c>
      <c r="B53" t="s">
        <v>138</v>
      </c>
      <c r="C53">
        <v>918779</v>
      </c>
      <c r="D53">
        <v>2101370</v>
      </c>
      <c r="E53">
        <v>22843958</v>
      </c>
      <c r="F53" t="s">
        <v>35</v>
      </c>
      <c r="G53" t="s">
        <v>10</v>
      </c>
    </row>
    <row r="54" spans="1:7" x14ac:dyDescent="0.2">
      <c r="A54" t="s">
        <v>139</v>
      </c>
      <c r="B54" t="s">
        <v>140</v>
      </c>
      <c r="C54">
        <v>890139</v>
      </c>
      <c r="D54">
        <v>111</v>
      </c>
      <c r="E54">
        <v>12239414</v>
      </c>
      <c r="F54" t="s">
        <v>35</v>
      </c>
      <c r="G54" t="s">
        <v>10</v>
      </c>
    </row>
    <row r="55" spans="1:7" x14ac:dyDescent="0.2">
      <c r="A55" t="s">
        <v>141</v>
      </c>
      <c r="B55" t="s">
        <v>142</v>
      </c>
      <c r="C55">
        <v>855320</v>
      </c>
      <c r="D55">
        <v>41</v>
      </c>
      <c r="E55">
        <v>11106778</v>
      </c>
      <c r="F55" t="s">
        <v>35</v>
      </c>
      <c r="G55" t="s">
        <v>10</v>
      </c>
    </row>
    <row r="56" spans="1:7" x14ac:dyDescent="0.2">
      <c r="A56" t="s">
        <v>143</v>
      </c>
      <c r="B56" t="s">
        <v>144</v>
      </c>
      <c r="C56">
        <v>839088</v>
      </c>
      <c r="D56">
        <v>494856</v>
      </c>
      <c r="E56">
        <v>18413354</v>
      </c>
      <c r="F56" t="s">
        <v>35</v>
      </c>
      <c r="G56" t="s">
        <v>10</v>
      </c>
    </row>
    <row r="57" spans="1:7" x14ac:dyDescent="0.2">
      <c r="A57" t="s">
        <v>145</v>
      </c>
      <c r="B57" t="s">
        <v>146</v>
      </c>
      <c r="C57">
        <v>816771</v>
      </c>
      <c r="D57">
        <v>31368</v>
      </c>
      <c r="E57">
        <v>2111491</v>
      </c>
      <c r="F57" t="s">
        <v>35</v>
      </c>
      <c r="G57" t="s">
        <v>10</v>
      </c>
    </row>
    <row r="58" spans="1:7" x14ac:dyDescent="0.2">
      <c r="A58" t="s">
        <v>147</v>
      </c>
      <c r="B58" t="s">
        <v>148</v>
      </c>
      <c r="C58">
        <v>810695</v>
      </c>
      <c r="D58">
        <v>81591</v>
      </c>
      <c r="E58">
        <v>11968412</v>
      </c>
      <c r="F58" t="s">
        <v>35</v>
      </c>
      <c r="G58" t="s">
        <v>10</v>
      </c>
    </row>
    <row r="59" spans="1:7" x14ac:dyDescent="0.2">
      <c r="A59" t="s">
        <v>149</v>
      </c>
      <c r="B59" t="s">
        <v>150</v>
      </c>
      <c r="C59">
        <v>797805</v>
      </c>
      <c r="D59">
        <v>109674</v>
      </c>
      <c r="E59">
        <v>6763633</v>
      </c>
      <c r="F59" t="s">
        <v>35</v>
      </c>
      <c r="G59" t="s">
        <v>10</v>
      </c>
    </row>
    <row r="60" spans="1:7" x14ac:dyDescent="0.2">
      <c r="A60" t="s">
        <v>151</v>
      </c>
      <c r="B60" t="s">
        <v>152</v>
      </c>
      <c r="C60">
        <v>770306</v>
      </c>
      <c r="D60">
        <v>3862</v>
      </c>
      <c r="E60">
        <v>8768193</v>
      </c>
      <c r="F60" t="s">
        <v>35</v>
      </c>
      <c r="G60" t="s">
        <v>10</v>
      </c>
    </row>
    <row r="61" spans="1:7" x14ac:dyDescent="0.2">
      <c r="A61" t="s">
        <v>153</v>
      </c>
      <c r="B61" t="s">
        <v>154</v>
      </c>
      <c r="C61">
        <v>750069</v>
      </c>
      <c r="D61">
        <v>274272</v>
      </c>
      <c r="E61">
        <v>14056158</v>
      </c>
      <c r="F61" t="s">
        <v>35</v>
      </c>
      <c r="G61" t="s">
        <v>10</v>
      </c>
    </row>
    <row r="62" spans="1:7" x14ac:dyDescent="0.2">
      <c r="A62" t="s">
        <v>155</v>
      </c>
      <c r="B62" t="s">
        <v>156</v>
      </c>
      <c r="C62">
        <v>716474</v>
      </c>
      <c r="D62">
        <v>248206</v>
      </c>
      <c r="E62">
        <v>11902353</v>
      </c>
      <c r="F62" t="s">
        <v>35</v>
      </c>
      <c r="G62" t="s">
        <v>10</v>
      </c>
    </row>
    <row r="63" spans="1:7" x14ac:dyDescent="0.2">
      <c r="A63" t="s">
        <v>157</v>
      </c>
      <c r="B63" t="s">
        <v>158</v>
      </c>
      <c r="C63">
        <v>712933</v>
      </c>
      <c r="D63">
        <v>82228</v>
      </c>
      <c r="E63">
        <v>5253678</v>
      </c>
      <c r="F63" t="s">
        <v>35</v>
      </c>
      <c r="G63" t="s">
        <v>10</v>
      </c>
    </row>
    <row r="64" spans="1:7" x14ac:dyDescent="0.2">
      <c r="A64" t="s">
        <v>159</v>
      </c>
      <c r="B64" t="s">
        <v>160</v>
      </c>
      <c r="C64">
        <v>707580</v>
      </c>
      <c r="D64">
        <v>6090</v>
      </c>
      <c r="E64">
        <v>6399745</v>
      </c>
      <c r="F64" t="s">
        <v>35</v>
      </c>
      <c r="G64" t="s">
        <v>10</v>
      </c>
    </row>
    <row r="65" spans="1:7" x14ac:dyDescent="0.2">
      <c r="A65" t="s">
        <v>161</v>
      </c>
      <c r="B65" t="s">
        <v>162</v>
      </c>
      <c r="C65">
        <v>691052</v>
      </c>
      <c r="D65">
        <v>922839</v>
      </c>
      <c r="E65">
        <v>27030139</v>
      </c>
      <c r="F65" t="s">
        <v>35</v>
      </c>
      <c r="G65" t="s">
        <v>10</v>
      </c>
    </row>
    <row r="66" spans="1:7" x14ac:dyDescent="0.2">
      <c r="A66" t="s">
        <v>163</v>
      </c>
      <c r="B66" t="s">
        <v>164</v>
      </c>
      <c r="C66">
        <v>683531</v>
      </c>
      <c r="D66">
        <v>219045</v>
      </c>
      <c r="E66">
        <v>11113235</v>
      </c>
      <c r="F66" t="s">
        <v>35</v>
      </c>
      <c r="G66" t="s">
        <v>10</v>
      </c>
    </row>
    <row r="67" spans="1:7" x14ac:dyDescent="0.2">
      <c r="A67" t="s">
        <v>165</v>
      </c>
      <c r="B67" t="s">
        <v>166</v>
      </c>
      <c r="C67">
        <v>669965</v>
      </c>
      <c r="D67">
        <v>206595</v>
      </c>
      <c r="E67">
        <v>7846251</v>
      </c>
      <c r="F67" t="s">
        <v>35</v>
      </c>
      <c r="G67" t="s">
        <v>10</v>
      </c>
    </row>
    <row r="68" spans="1:7" x14ac:dyDescent="0.2">
      <c r="A68" t="s">
        <v>167</v>
      </c>
      <c r="B68" t="s">
        <v>168</v>
      </c>
      <c r="C68">
        <v>664594</v>
      </c>
      <c r="D68">
        <v>130812</v>
      </c>
      <c r="E68">
        <v>11613714</v>
      </c>
      <c r="F68" t="s">
        <v>35</v>
      </c>
      <c r="G68" t="s">
        <v>10</v>
      </c>
    </row>
    <row r="69" spans="1:7" x14ac:dyDescent="0.2">
      <c r="A69" t="s">
        <v>169</v>
      </c>
      <c r="B69" t="s">
        <v>170</v>
      </c>
      <c r="C69">
        <v>591228</v>
      </c>
      <c r="D69">
        <v>285139</v>
      </c>
      <c r="E69">
        <v>9833519</v>
      </c>
      <c r="F69" t="s">
        <v>35</v>
      </c>
      <c r="G69" t="s">
        <v>10</v>
      </c>
    </row>
    <row r="70" spans="1:7" x14ac:dyDescent="0.2">
      <c r="A70" t="s">
        <v>171</v>
      </c>
      <c r="B70" t="s">
        <v>172</v>
      </c>
      <c r="C70">
        <v>583120</v>
      </c>
      <c r="D70">
        <v>911</v>
      </c>
      <c r="E70">
        <v>6406722</v>
      </c>
      <c r="F70" t="s">
        <v>35</v>
      </c>
      <c r="G70" t="s">
        <v>10</v>
      </c>
    </row>
    <row r="71" spans="1:7" x14ac:dyDescent="0.2">
      <c r="A71" t="s">
        <v>173</v>
      </c>
      <c r="B71" t="s">
        <v>174</v>
      </c>
      <c r="C71">
        <v>578679</v>
      </c>
      <c r="D71">
        <v>13968</v>
      </c>
      <c r="E71">
        <v>2239793</v>
      </c>
      <c r="F71" t="s">
        <v>35</v>
      </c>
      <c r="G71" t="s">
        <v>10</v>
      </c>
    </row>
    <row r="72" spans="1:7" x14ac:dyDescent="0.2">
      <c r="A72" t="s">
        <v>175</v>
      </c>
      <c r="B72" t="s">
        <v>176</v>
      </c>
      <c r="C72">
        <v>573941</v>
      </c>
      <c r="D72">
        <v>54854</v>
      </c>
      <c r="E72">
        <v>2870837</v>
      </c>
      <c r="F72" t="s">
        <v>35</v>
      </c>
      <c r="G72" t="s">
        <v>10</v>
      </c>
    </row>
    <row r="73" spans="1:7" x14ac:dyDescent="0.2">
      <c r="A73" t="s">
        <v>177</v>
      </c>
      <c r="B73" t="s">
        <v>178</v>
      </c>
      <c r="C73">
        <v>561477</v>
      </c>
      <c r="D73">
        <v>135018</v>
      </c>
      <c r="E73">
        <v>21256451</v>
      </c>
      <c r="F73" t="s">
        <v>35</v>
      </c>
      <c r="G73" t="s">
        <v>10</v>
      </c>
    </row>
    <row r="74" spans="1:7" x14ac:dyDescent="0.2">
      <c r="A74" t="s">
        <v>179</v>
      </c>
      <c r="B74" t="s">
        <v>180</v>
      </c>
      <c r="C74">
        <v>560227</v>
      </c>
      <c r="D74">
        <v>31366</v>
      </c>
      <c r="E74">
        <v>8026051</v>
      </c>
      <c r="F74" t="s">
        <v>35</v>
      </c>
      <c r="G74" t="s">
        <v>10</v>
      </c>
    </row>
    <row r="75" spans="1:7" x14ac:dyDescent="0.2">
      <c r="A75" t="s">
        <v>181</v>
      </c>
      <c r="B75" t="s">
        <v>182</v>
      </c>
      <c r="C75">
        <v>555252</v>
      </c>
      <c r="D75">
        <v>6448</v>
      </c>
      <c r="E75">
        <v>7923805</v>
      </c>
      <c r="F75" t="s">
        <v>35</v>
      </c>
      <c r="G75" t="s">
        <v>10</v>
      </c>
    </row>
    <row r="76" spans="1:7" x14ac:dyDescent="0.2">
      <c r="A76" t="s">
        <v>183</v>
      </c>
      <c r="B76" t="s">
        <v>184</v>
      </c>
      <c r="C76">
        <v>531558</v>
      </c>
      <c r="D76">
        <v>855010</v>
      </c>
      <c r="E76">
        <v>13504127</v>
      </c>
      <c r="F76" t="s">
        <v>35</v>
      </c>
      <c r="G76" t="s">
        <v>10</v>
      </c>
    </row>
    <row r="77" spans="1:7" x14ac:dyDescent="0.2">
      <c r="A77" t="s">
        <v>185</v>
      </c>
      <c r="B77" t="s">
        <v>186</v>
      </c>
      <c r="C77">
        <v>489975</v>
      </c>
      <c r="D77">
        <v>97449</v>
      </c>
      <c r="E77">
        <v>9519874</v>
      </c>
      <c r="F77" t="s">
        <v>35</v>
      </c>
      <c r="G77" t="s">
        <v>10</v>
      </c>
    </row>
    <row r="78" spans="1:7" x14ac:dyDescent="0.2">
      <c r="A78" t="s">
        <v>187</v>
      </c>
      <c r="B78" t="s">
        <v>188</v>
      </c>
      <c r="C78">
        <v>485514</v>
      </c>
      <c r="D78">
        <v>99</v>
      </c>
      <c r="E78">
        <v>8439636</v>
      </c>
      <c r="F78" t="s">
        <v>35</v>
      </c>
      <c r="G78" t="s">
        <v>10</v>
      </c>
    </row>
    <row r="79" spans="1:7" x14ac:dyDescent="0.2">
      <c r="A79" t="s">
        <v>189</v>
      </c>
      <c r="B79" t="s">
        <v>190</v>
      </c>
      <c r="C79">
        <v>472322</v>
      </c>
      <c r="D79">
        <v>12488</v>
      </c>
      <c r="E79">
        <v>1456938</v>
      </c>
      <c r="F79" t="s">
        <v>35</v>
      </c>
      <c r="G79" t="s">
        <v>10</v>
      </c>
    </row>
    <row r="80" spans="1:7" x14ac:dyDescent="0.2">
      <c r="A80" t="s">
        <v>191</v>
      </c>
      <c r="B80" t="s">
        <v>192</v>
      </c>
      <c r="C80">
        <v>443658</v>
      </c>
      <c r="D80">
        <v>104567</v>
      </c>
      <c r="E80">
        <v>8773116</v>
      </c>
      <c r="F80" t="s">
        <v>35</v>
      </c>
      <c r="G80" t="s">
        <v>10</v>
      </c>
    </row>
    <row r="81" spans="1:7" x14ac:dyDescent="0.2">
      <c r="A81" t="s">
        <v>193</v>
      </c>
      <c r="B81" t="s">
        <v>194</v>
      </c>
      <c r="C81">
        <v>440050</v>
      </c>
      <c r="D81">
        <v>60887</v>
      </c>
      <c r="E81">
        <v>3691581</v>
      </c>
      <c r="F81" t="s">
        <v>35</v>
      </c>
      <c r="G81" t="s">
        <v>10</v>
      </c>
    </row>
    <row r="82" spans="1:7" x14ac:dyDescent="0.2">
      <c r="A82" t="s">
        <v>195</v>
      </c>
      <c r="B82" t="s">
        <v>196</v>
      </c>
      <c r="C82">
        <v>435876</v>
      </c>
      <c r="D82">
        <v>18199</v>
      </c>
      <c r="E82">
        <v>3267334</v>
      </c>
      <c r="F82" t="s">
        <v>35</v>
      </c>
      <c r="G82" t="s">
        <v>10</v>
      </c>
    </row>
    <row r="83" spans="1:7" x14ac:dyDescent="0.2">
      <c r="A83" t="s">
        <v>197</v>
      </c>
      <c r="B83" t="s">
        <v>198</v>
      </c>
      <c r="C83">
        <v>435419</v>
      </c>
      <c r="D83">
        <v>20992</v>
      </c>
      <c r="E83">
        <v>6325272</v>
      </c>
      <c r="F83" t="s">
        <v>35</v>
      </c>
      <c r="G83" t="s">
        <v>10</v>
      </c>
    </row>
    <row r="84" spans="1:7" x14ac:dyDescent="0.2">
      <c r="A84" t="s">
        <v>199</v>
      </c>
      <c r="B84" t="s">
        <v>200</v>
      </c>
      <c r="C84">
        <v>423006</v>
      </c>
      <c r="D84">
        <v>132</v>
      </c>
      <c r="E84">
        <v>2576053</v>
      </c>
      <c r="F84" t="s">
        <v>35</v>
      </c>
      <c r="G84" t="s">
        <v>10</v>
      </c>
    </row>
    <row r="85" spans="1:7" x14ac:dyDescent="0.2">
      <c r="A85" t="s">
        <v>201</v>
      </c>
      <c r="B85" t="s">
        <v>202</v>
      </c>
      <c r="C85">
        <v>418310</v>
      </c>
      <c r="D85">
        <v>376721</v>
      </c>
      <c r="E85">
        <v>15528520</v>
      </c>
      <c r="F85" t="s">
        <v>35</v>
      </c>
      <c r="G85" t="s">
        <v>10</v>
      </c>
    </row>
    <row r="86" spans="1:7" x14ac:dyDescent="0.2">
      <c r="A86" t="s">
        <v>203</v>
      </c>
      <c r="B86" t="s">
        <v>204</v>
      </c>
      <c r="C86">
        <v>413628</v>
      </c>
      <c r="D86">
        <v>494441</v>
      </c>
      <c r="E86">
        <v>10175731</v>
      </c>
      <c r="F86" t="s">
        <v>35</v>
      </c>
      <c r="G86" t="s">
        <v>10</v>
      </c>
    </row>
    <row r="87" spans="1:7" x14ac:dyDescent="0.2">
      <c r="A87" t="s">
        <v>205</v>
      </c>
      <c r="B87" t="s">
        <v>206</v>
      </c>
      <c r="C87">
        <v>395479</v>
      </c>
      <c r="D87">
        <v>1293425</v>
      </c>
      <c r="E87">
        <v>8292218</v>
      </c>
      <c r="F87" t="s">
        <v>35</v>
      </c>
      <c r="G87" t="s">
        <v>10</v>
      </c>
    </row>
    <row r="88" spans="1:7" x14ac:dyDescent="0.2">
      <c r="A88" t="s">
        <v>207</v>
      </c>
      <c r="B88" t="s">
        <v>208</v>
      </c>
      <c r="C88">
        <v>385004</v>
      </c>
      <c r="D88">
        <v>50277</v>
      </c>
      <c r="E88">
        <v>4290728</v>
      </c>
      <c r="F88" t="s">
        <v>35</v>
      </c>
      <c r="G88" t="s">
        <v>10</v>
      </c>
    </row>
    <row r="89" spans="1:7" x14ac:dyDescent="0.2">
      <c r="A89" t="s">
        <v>209</v>
      </c>
      <c r="B89" t="s">
        <v>210</v>
      </c>
      <c r="C89">
        <v>380260</v>
      </c>
      <c r="D89">
        <v>223573</v>
      </c>
      <c r="E89">
        <v>9922493</v>
      </c>
      <c r="F89" t="s">
        <v>35</v>
      </c>
      <c r="G89" t="s">
        <v>10</v>
      </c>
    </row>
    <row r="90" spans="1:7" x14ac:dyDescent="0.2">
      <c r="A90" t="s">
        <v>211</v>
      </c>
      <c r="B90" t="s">
        <v>212</v>
      </c>
      <c r="C90">
        <v>373456</v>
      </c>
      <c r="D90">
        <v>3490</v>
      </c>
      <c r="E90">
        <v>5538634</v>
      </c>
      <c r="F90" t="s">
        <v>35</v>
      </c>
      <c r="G90" t="s">
        <v>10</v>
      </c>
    </row>
    <row r="91" spans="1:7" x14ac:dyDescent="0.2">
      <c r="A91" t="s">
        <v>213</v>
      </c>
      <c r="B91" t="s">
        <v>214</v>
      </c>
      <c r="C91">
        <v>368793</v>
      </c>
      <c r="D91">
        <v>289398</v>
      </c>
      <c r="E91">
        <v>7201503</v>
      </c>
      <c r="F91" t="s">
        <v>35</v>
      </c>
      <c r="G91" t="s">
        <v>10</v>
      </c>
    </row>
    <row r="92" spans="1:7" x14ac:dyDescent="0.2">
      <c r="A92" t="s">
        <v>215</v>
      </c>
      <c r="B92" t="s">
        <v>216</v>
      </c>
      <c r="C92">
        <v>337714</v>
      </c>
      <c r="D92">
        <v>523250</v>
      </c>
      <c r="E92">
        <v>6147797</v>
      </c>
      <c r="F92" t="s">
        <v>35</v>
      </c>
      <c r="G92" t="s">
        <v>10</v>
      </c>
    </row>
    <row r="93" spans="1:7" x14ac:dyDescent="0.2">
      <c r="A93" t="s">
        <v>217</v>
      </c>
      <c r="B93" t="s">
        <v>218</v>
      </c>
      <c r="C93">
        <v>334929</v>
      </c>
      <c r="D93">
        <v>133739</v>
      </c>
      <c r="E93">
        <v>6118101</v>
      </c>
      <c r="F93" t="s">
        <v>35</v>
      </c>
      <c r="G93" t="s">
        <v>10</v>
      </c>
    </row>
    <row r="94" spans="1:7" x14ac:dyDescent="0.2">
      <c r="A94" t="s">
        <v>219</v>
      </c>
      <c r="B94" t="s">
        <v>220</v>
      </c>
      <c r="C94">
        <v>326995</v>
      </c>
      <c r="D94">
        <v>370</v>
      </c>
      <c r="E94">
        <v>1366314</v>
      </c>
      <c r="F94" t="s">
        <v>35</v>
      </c>
      <c r="G94" t="s">
        <v>10</v>
      </c>
    </row>
    <row r="95" spans="1:7" x14ac:dyDescent="0.2">
      <c r="A95" t="s">
        <v>221</v>
      </c>
      <c r="B95" t="s">
        <v>222</v>
      </c>
      <c r="C95">
        <v>311625</v>
      </c>
      <c r="D95">
        <v>234229</v>
      </c>
      <c r="E95">
        <v>4090309</v>
      </c>
      <c r="F95" t="s">
        <v>35</v>
      </c>
      <c r="G95" t="s">
        <v>10</v>
      </c>
    </row>
    <row r="96" spans="1:7" x14ac:dyDescent="0.2">
      <c r="A96" t="s">
        <v>223</v>
      </c>
      <c r="B96" t="s">
        <v>224</v>
      </c>
      <c r="C96">
        <v>297406</v>
      </c>
      <c r="D96">
        <v>26336</v>
      </c>
      <c r="E96">
        <v>1768558</v>
      </c>
      <c r="F96" t="s">
        <v>35</v>
      </c>
      <c r="G96" t="s">
        <v>10</v>
      </c>
    </row>
    <row r="97" spans="1:7" x14ac:dyDescent="0.2">
      <c r="A97" t="s">
        <v>225</v>
      </c>
      <c r="B97" t="s">
        <v>226</v>
      </c>
      <c r="C97">
        <v>290398</v>
      </c>
      <c r="D97">
        <v>15635</v>
      </c>
      <c r="E97">
        <v>107834</v>
      </c>
      <c r="F97" t="s">
        <v>35</v>
      </c>
      <c r="G97" t="s">
        <v>10</v>
      </c>
    </row>
    <row r="98" spans="1:7" x14ac:dyDescent="0.2">
      <c r="A98" t="s">
        <v>227</v>
      </c>
      <c r="B98" t="s">
        <v>228</v>
      </c>
      <c r="C98">
        <v>288621</v>
      </c>
      <c r="D98">
        <v>4569</v>
      </c>
      <c r="E98">
        <v>492291</v>
      </c>
      <c r="F98" t="s">
        <v>35</v>
      </c>
      <c r="G98" t="s">
        <v>10</v>
      </c>
    </row>
    <row r="99" spans="1:7" x14ac:dyDescent="0.2">
      <c r="A99" t="s">
        <v>229</v>
      </c>
      <c r="B99" t="s">
        <v>230</v>
      </c>
      <c r="C99">
        <v>275691</v>
      </c>
      <c r="D99">
        <v>1277</v>
      </c>
      <c r="E99">
        <v>3934049</v>
      </c>
      <c r="F99" t="s">
        <v>35</v>
      </c>
      <c r="G99" t="s">
        <v>10</v>
      </c>
    </row>
    <row r="100" spans="1:7" x14ac:dyDescent="0.2">
      <c r="A100" t="s">
        <v>231</v>
      </c>
      <c r="B100" t="s">
        <v>232</v>
      </c>
      <c r="C100">
        <v>272788</v>
      </c>
      <c r="D100">
        <v>162429</v>
      </c>
      <c r="E100">
        <v>5611440</v>
      </c>
      <c r="F100" t="s">
        <v>35</v>
      </c>
      <c r="G100" t="s">
        <v>10</v>
      </c>
    </row>
    <row r="101" spans="1:7" x14ac:dyDescent="0.2">
      <c r="A101" t="s">
        <v>233</v>
      </c>
      <c r="B101" t="s">
        <v>234</v>
      </c>
      <c r="C101">
        <v>272770</v>
      </c>
      <c r="D101">
        <v>761239</v>
      </c>
      <c r="E101">
        <v>7804294</v>
      </c>
      <c r="F101" t="s">
        <v>35</v>
      </c>
      <c r="G101" t="s">
        <v>10</v>
      </c>
    </row>
    <row r="102" spans="1:7" x14ac:dyDescent="0.2">
      <c r="A102" t="s">
        <v>235</v>
      </c>
      <c r="B102" t="s">
        <v>236</v>
      </c>
      <c r="C102">
        <v>269655</v>
      </c>
      <c r="D102">
        <v>1097464</v>
      </c>
      <c r="E102">
        <v>6643283</v>
      </c>
      <c r="F102" t="s">
        <v>35</v>
      </c>
      <c r="G102" t="s">
        <v>10</v>
      </c>
    </row>
    <row r="103" spans="1:7" x14ac:dyDescent="0.2">
      <c r="A103" t="s">
        <v>237</v>
      </c>
      <c r="B103" t="s">
        <v>238</v>
      </c>
      <c r="C103">
        <v>267179</v>
      </c>
      <c r="D103">
        <v>1258</v>
      </c>
      <c r="E103">
        <v>4487927</v>
      </c>
      <c r="F103" t="s">
        <v>35</v>
      </c>
      <c r="G103" t="s">
        <v>10</v>
      </c>
    </row>
    <row r="104" spans="1:7" x14ac:dyDescent="0.2">
      <c r="A104" t="s">
        <v>239</v>
      </c>
      <c r="B104" t="s">
        <v>240</v>
      </c>
      <c r="C104">
        <v>264141</v>
      </c>
      <c r="D104">
        <v>61939</v>
      </c>
      <c r="E104">
        <v>1811278</v>
      </c>
      <c r="F104" t="s">
        <v>35</v>
      </c>
      <c r="G104" t="s">
        <v>10</v>
      </c>
    </row>
    <row r="105" spans="1:7" x14ac:dyDescent="0.2">
      <c r="A105" t="s">
        <v>241</v>
      </c>
      <c r="B105" t="s">
        <v>242</v>
      </c>
      <c r="C105">
        <v>263323</v>
      </c>
      <c r="D105">
        <v>185700</v>
      </c>
      <c r="E105">
        <v>1986166</v>
      </c>
      <c r="F105" t="s">
        <v>35</v>
      </c>
      <c r="G105" t="s">
        <v>10</v>
      </c>
    </row>
    <row r="106" spans="1:7" x14ac:dyDescent="0.2">
      <c r="A106" t="s">
        <v>243</v>
      </c>
      <c r="B106" t="s">
        <v>244</v>
      </c>
      <c r="C106">
        <v>259052</v>
      </c>
      <c r="D106">
        <v>2579</v>
      </c>
      <c r="E106">
        <v>3271107</v>
      </c>
      <c r="F106" t="s">
        <v>35</v>
      </c>
      <c r="G106" t="s">
        <v>10</v>
      </c>
    </row>
    <row r="107" spans="1:7" x14ac:dyDescent="0.2">
      <c r="A107" t="s">
        <v>245</v>
      </c>
      <c r="B107" t="s">
        <v>246</v>
      </c>
      <c r="C107">
        <v>258143</v>
      </c>
      <c r="D107">
        <v>10473</v>
      </c>
      <c r="E107">
        <v>2061673</v>
      </c>
      <c r="F107" t="s">
        <v>35</v>
      </c>
      <c r="G107" t="s">
        <v>10</v>
      </c>
    </row>
    <row r="108" spans="1:7" x14ac:dyDescent="0.2">
      <c r="A108" t="s">
        <v>247</v>
      </c>
      <c r="B108" t="s">
        <v>248</v>
      </c>
      <c r="C108">
        <v>243172</v>
      </c>
      <c r="D108">
        <v>60147</v>
      </c>
      <c r="E108">
        <v>3813041</v>
      </c>
      <c r="F108" t="s">
        <v>35</v>
      </c>
      <c r="G108" t="s">
        <v>10</v>
      </c>
    </row>
    <row r="109" spans="1:7" x14ac:dyDescent="0.2">
      <c r="A109" t="s">
        <v>249</v>
      </c>
      <c r="B109" t="s">
        <v>250</v>
      </c>
      <c r="C109">
        <v>242433</v>
      </c>
      <c r="D109">
        <v>510872</v>
      </c>
      <c r="E109">
        <v>5572487</v>
      </c>
      <c r="F109" t="s">
        <v>35</v>
      </c>
      <c r="G109" t="s">
        <v>10</v>
      </c>
    </row>
    <row r="110" spans="1:7" x14ac:dyDescent="0.2">
      <c r="A110" t="s">
        <v>251</v>
      </c>
      <c r="B110" t="s">
        <v>252</v>
      </c>
      <c r="C110">
        <v>234908</v>
      </c>
      <c r="D110">
        <v>22912</v>
      </c>
      <c r="E110">
        <v>3498056</v>
      </c>
      <c r="F110" t="s">
        <v>35</v>
      </c>
      <c r="G110" t="s">
        <v>10</v>
      </c>
    </row>
    <row r="111" spans="1:7" x14ac:dyDescent="0.2">
      <c r="A111" t="s">
        <v>253</v>
      </c>
      <c r="B111" t="s">
        <v>254</v>
      </c>
      <c r="C111">
        <v>233757</v>
      </c>
      <c r="D111">
        <v>41708</v>
      </c>
      <c r="E111">
        <v>4717903</v>
      </c>
      <c r="F111" t="s">
        <v>35</v>
      </c>
      <c r="G111" t="s">
        <v>10</v>
      </c>
    </row>
    <row r="112" spans="1:7" x14ac:dyDescent="0.2">
      <c r="A112" t="s">
        <v>255</v>
      </c>
      <c r="B112" t="s">
        <v>256</v>
      </c>
      <c r="C112">
        <v>232848</v>
      </c>
      <c r="D112">
        <v>25</v>
      </c>
      <c r="E112">
        <v>3527185</v>
      </c>
      <c r="F112" t="s">
        <v>35</v>
      </c>
      <c r="G112" t="s">
        <v>10</v>
      </c>
    </row>
    <row r="113" spans="1:7" x14ac:dyDescent="0.2">
      <c r="A113" t="s">
        <v>257</v>
      </c>
      <c r="B113" t="s">
        <v>258</v>
      </c>
      <c r="C113">
        <v>228708</v>
      </c>
      <c r="D113">
        <v>49</v>
      </c>
      <c r="E113">
        <v>3297981</v>
      </c>
      <c r="F113" t="s">
        <v>35</v>
      </c>
      <c r="G113" t="s">
        <v>10</v>
      </c>
    </row>
    <row r="114" spans="1:7" x14ac:dyDescent="0.2">
      <c r="A114" t="s">
        <v>259</v>
      </c>
      <c r="B114" t="s">
        <v>260</v>
      </c>
      <c r="C114">
        <v>225985</v>
      </c>
      <c r="D114">
        <v>12233</v>
      </c>
      <c r="E114">
        <v>2246808</v>
      </c>
      <c r="F114" t="s">
        <v>35</v>
      </c>
      <c r="G114" t="s">
        <v>10</v>
      </c>
    </row>
    <row r="115" spans="1:7" x14ac:dyDescent="0.2">
      <c r="A115" t="s">
        <v>261</v>
      </c>
      <c r="B115" t="s">
        <v>262</v>
      </c>
      <c r="C115">
        <v>224561</v>
      </c>
      <c r="D115">
        <v>1040</v>
      </c>
      <c r="E115">
        <v>3205395</v>
      </c>
      <c r="F115" t="s">
        <v>35</v>
      </c>
      <c r="G115" t="s">
        <v>10</v>
      </c>
    </row>
    <row r="116" spans="1:7" x14ac:dyDescent="0.2">
      <c r="A116" t="s">
        <v>263</v>
      </c>
      <c r="B116" t="s">
        <v>264</v>
      </c>
      <c r="C116">
        <v>223285</v>
      </c>
      <c r="D116">
        <v>8607</v>
      </c>
      <c r="E116">
        <v>3310003</v>
      </c>
      <c r="F116" t="s">
        <v>35</v>
      </c>
      <c r="G116" t="s">
        <v>10</v>
      </c>
    </row>
    <row r="117" spans="1:7" x14ac:dyDescent="0.2">
      <c r="A117" t="s">
        <v>265</v>
      </c>
      <c r="B117" t="s">
        <v>266</v>
      </c>
      <c r="C117">
        <v>222277</v>
      </c>
      <c r="D117">
        <v>69481</v>
      </c>
      <c r="E117">
        <v>3960109</v>
      </c>
      <c r="F117" t="s">
        <v>35</v>
      </c>
      <c r="G117" t="s">
        <v>10</v>
      </c>
    </row>
    <row r="118" spans="1:7" x14ac:dyDescent="0.2">
      <c r="A118" t="s">
        <v>267</v>
      </c>
      <c r="B118" t="s">
        <v>268</v>
      </c>
      <c r="C118">
        <v>215952</v>
      </c>
      <c r="D118">
        <v>1278838</v>
      </c>
      <c r="E118">
        <v>7615774</v>
      </c>
      <c r="F118" t="s">
        <v>35</v>
      </c>
      <c r="G118" t="s">
        <v>10</v>
      </c>
    </row>
    <row r="119" spans="1:7" x14ac:dyDescent="0.2">
      <c r="A119" t="s">
        <v>269</v>
      </c>
      <c r="B119" t="s">
        <v>270</v>
      </c>
      <c r="C119">
        <v>214091</v>
      </c>
      <c r="D119">
        <v>37020</v>
      </c>
      <c r="E119">
        <v>3482970</v>
      </c>
      <c r="F119" t="s">
        <v>35</v>
      </c>
      <c r="G119" t="s">
        <v>10</v>
      </c>
    </row>
    <row r="120" spans="1:7" x14ac:dyDescent="0.2">
      <c r="A120" t="s">
        <v>271</v>
      </c>
      <c r="B120" t="s">
        <v>272</v>
      </c>
      <c r="C120">
        <v>212226</v>
      </c>
      <c r="D120">
        <v>31332</v>
      </c>
      <c r="E120">
        <v>3203153</v>
      </c>
      <c r="F120" t="s">
        <v>35</v>
      </c>
      <c r="G120" t="s">
        <v>10</v>
      </c>
    </row>
    <row r="121" spans="1:7" x14ac:dyDescent="0.2">
      <c r="A121" t="s">
        <v>273</v>
      </c>
      <c r="B121" t="s">
        <v>274</v>
      </c>
      <c r="C121">
        <v>196272</v>
      </c>
      <c r="D121">
        <v>23937</v>
      </c>
      <c r="E121">
        <v>2930975</v>
      </c>
      <c r="F121" t="s">
        <v>35</v>
      </c>
      <c r="G121" t="s">
        <v>10</v>
      </c>
    </row>
    <row r="122" spans="1:7" x14ac:dyDescent="0.2">
      <c r="A122" t="s">
        <v>275</v>
      </c>
      <c r="B122" t="s">
        <v>276</v>
      </c>
      <c r="C122">
        <v>196005</v>
      </c>
      <c r="D122">
        <v>60969</v>
      </c>
      <c r="E122">
        <v>4122066</v>
      </c>
      <c r="F122" t="s">
        <v>35</v>
      </c>
      <c r="G122" t="s">
        <v>10</v>
      </c>
    </row>
    <row r="123" spans="1:7" x14ac:dyDescent="0.2">
      <c r="A123" t="s">
        <v>277</v>
      </c>
      <c r="B123" t="s">
        <v>278</v>
      </c>
      <c r="C123">
        <v>193263</v>
      </c>
      <c r="D123">
        <v>20179</v>
      </c>
      <c r="E123">
        <v>2853360</v>
      </c>
      <c r="F123" t="s">
        <v>35</v>
      </c>
      <c r="G123" t="s">
        <v>10</v>
      </c>
    </row>
    <row r="124" spans="1:7" x14ac:dyDescent="0.2">
      <c r="A124" t="s">
        <v>279</v>
      </c>
      <c r="B124" t="s">
        <v>280</v>
      </c>
      <c r="C124">
        <v>189682</v>
      </c>
      <c r="D124">
        <v>424355</v>
      </c>
      <c r="E124">
        <v>5374658</v>
      </c>
      <c r="F124" t="s">
        <v>35</v>
      </c>
      <c r="G124" t="s">
        <v>10</v>
      </c>
    </row>
    <row r="125" spans="1:7" x14ac:dyDescent="0.2">
      <c r="A125" t="s">
        <v>281</v>
      </c>
      <c r="B125" t="s">
        <v>282</v>
      </c>
      <c r="C125">
        <v>172392</v>
      </c>
      <c r="D125">
        <v>124592</v>
      </c>
      <c r="E125">
        <v>4575504</v>
      </c>
      <c r="F125" t="s">
        <v>35</v>
      </c>
      <c r="G125" t="s">
        <v>10</v>
      </c>
    </row>
    <row r="126" spans="1:7" x14ac:dyDescent="0.2">
      <c r="A126" t="s">
        <v>283</v>
      </c>
      <c r="B126" t="s">
        <v>284</v>
      </c>
      <c r="C126">
        <v>169468</v>
      </c>
      <c r="D126">
        <v>106</v>
      </c>
      <c r="E126">
        <v>2433126</v>
      </c>
      <c r="F126" t="s">
        <v>35</v>
      </c>
      <c r="G126" t="s">
        <v>10</v>
      </c>
    </row>
    <row r="127" spans="1:7" x14ac:dyDescent="0.2">
      <c r="A127" t="s">
        <v>285</v>
      </c>
      <c r="B127" t="s">
        <v>286</v>
      </c>
      <c r="C127">
        <v>169076</v>
      </c>
      <c r="D127">
        <v>37220</v>
      </c>
      <c r="E127">
        <v>2070334</v>
      </c>
      <c r="F127" t="s">
        <v>35</v>
      </c>
      <c r="G127" t="s">
        <v>10</v>
      </c>
    </row>
    <row r="128" spans="1:7" x14ac:dyDescent="0.2">
      <c r="A128" t="s">
        <v>287</v>
      </c>
      <c r="B128" t="s">
        <v>288</v>
      </c>
      <c r="C128">
        <v>164617</v>
      </c>
      <c r="D128">
        <v>47854</v>
      </c>
      <c r="E128">
        <v>50815499</v>
      </c>
      <c r="F128" t="s">
        <v>35</v>
      </c>
      <c r="G128" t="s">
        <v>10</v>
      </c>
    </row>
    <row r="129" spans="1:7" x14ac:dyDescent="0.2">
      <c r="A129" t="s">
        <v>289</v>
      </c>
      <c r="B129" t="s">
        <v>290</v>
      </c>
      <c r="C129">
        <v>162513</v>
      </c>
      <c r="D129">
        <v>54163</v>
      </c>
      <c r="E129">
        <v>3340059</v>
      </c>
      <c r="F129" t="s">
        <v>35</v>
      </c>
      <c r="G129" t="s">
        <v>10</v>
      </c>
    </row>
    <row r="130" spans="1:7" x14ac:dyDescent="0.2">
      <c r="A130" t="s">
        <v>291</v>
      </c>
      <c r="B130" t="s">
        <v>292</v>
      </c>
      <c r="C130">
        <v>162401</v>
      </c>
      <c r="D130">
        <v>962</v>
      </c>
      <c r="E130">
        <v>2314116</v>
      </c>
      <c r="F130" t="s">
        <v>35</v>
      </c>
      <c r="G130" t="s">
        <v>10</v>
      </c>
    </row>
    <row r="131" spans="1:7" x14ac:dyDescent="0.2">
      <c r="A131" t="s">
        <v>293</v>
      </c>
      <c r="B131" t="s">
        <v>294</v>
      </c>
      <c r="C131">
        <v>154987</v>
      </c>
      <c r="D131">
        <v>25013</v>
      </c>
      <c r="E131">
        <v>2155451</v>
      </c>
      <c r="F131" t="s">
        <v>35</v>
      </c>
      <c r="G131" t="s">
        <v>10</v>
      </c>
    </row>
    <row r="132" spans="1:7" x14ac:dyDescent="0.2">
      <c r="A132" t="s">
        <v>295</v>
      </c>
      <c r="B132" t="s">
        <v>296</v>
      </c>
      <c r="C132">
        <v>150701</v>
      </c>
      <c r="D132">
        <v>43028</v>
      </c>
      <c r="E132">
        <v>2955626</v>
      </c>
      <c r="F132" t="s">
        <v>35</v>
      </c>
      <c r="G132" t="s">
        <v>10</v>
      </c>
    </row>
    <row r="133" spans="1:7" x14ac:dyDescent="0.2">
      <c r="A133" t="s">
        <v>297</v>
      </c>
      <c r="B133" t="s">
        <v>298</v>
      </c>
      <c r="C133">
        <v>150324</v>
      </c>
      <c r="D133">
        <v>60</v>
      </c>
      <c r="E133">
        <v>2146896</v>
      </c>
      <c r="F133" t="s">
        <v>35</v>
      </c>
      <c r="G133" t="s">
        <v>10</v>
      </c>
    </row>
    <row r="134" spans="1:7" x14ac:dyDescent="0.2">
      <c r="A134" t="s">
        <v>299</v>
      </c>
      <c r="B134" t="s">
        <v>300</v>
      </c>
      <c r="C134">
        <v>148906</v>
      </c>
      <c r="D134">
        <v>826</v>
      </c>
      <c r="E134">
        <v>7304</v>
      </c>
      <c r="F134" t="s">
        <v>35</v>
      </c>
      <c r="G134" t="s">
        <v>10</v>
      </c>
    </row>
    <row r="135" spans="1:7" x14ac:dyDescent="0.2">
      <c r="A135" t="s">
        <v>301</v>
      </c>
      <c r="B135" t="s">
        <v>302</v>
      </c>
      <c r="C135">
        <v>146415</v>
      </c>
      <c r="D135">
        <v>1385617</v>
      </c>
      <c r="E135">
        <v>8217596</v>
      </c>
      <c r="F135" t="s">
        <v>35</v>
      </c>
      <c r="G135" t="s">
        <v>10</v>
      </c>
    </row>
    <row r="136" spans="1:7" x14ac:dyDescent="0.2">
      <c r="A136" t="s">
        <v>303</v>
      </c>
      <c r="B136" t="s">
        <v>304</v>
      </c>
      <c r="C136">
        <v>146382</v>
      </c>
      <c r="D136">
        <v>5536</v>
      </c>
      <c r="E136">
        <v>2104553</v>
      </c>
      <c r="F136" t="s">
        <v>35</v>
      </c>
      <c r="G136" t="s">
        <v>10</v>
      </c>
    </row>
    <row r="137" spans="1:7" x14ac:dyDescent="0.2">
      <c r="A137" t="s">
        <v>305</v>
      </c>
      <c r="B137" t="s">
        <v>306</v>
      </c>
      <c r="C137">
        <v>145810</v>
      </c>
      <c r="D137">
        <v>2951</v>
      </c>
      <c r="E137">
        <v>2094959</v>
      </c>
      <c r="F137" t="s">
        <v>35</v>
      </c>
      <c r="G137" t="s">
        <v>10</v>
      </c>
    </row>
    <row r="138" spans="1:7" x14ac:dyDescent="0.2">
      <c r="A138" t="s">
        <v>307</v>
      </c>
      <c r="B138" t="s">
        <v>308</v>
      </c>
      <c r="C138">
        <v>144016</v>
      </c>
      <c r="D138">
        <v>8</v>
      </c>
      <c r="E138">
        <v>2469680</v>
      </c>
      <c r="F138" t="s">
        <v>35</v>
      </c>
      <c r="G138" t="s">
        <v>10</v>
      </c>
    </row>
    <row r="139" spans="1:7" x14ac:dyDescent="0.2">
      <c r="A139" t="s">
        <v>309</v>
      </c>
      <c r="B139" t="s">
        <v>310</v>
      </c>
      <c r="C139">
        <v>139972</v>
      </c>
      <c r="D139">
        <v>146754</v>
      </c>
      <c r="E139">
        <v>2984154</v>
      </c>
      <c r="F139" t="s">
        <v>35</v>
      </c>
      <c r="G139" t="s">
        <v>10</v>
      </c>
    </row>
    <row r="140" spans="1:7" x14ac:dyDescent="0.2">
      <c r="A140" t="s">
        <v>311</v>
      </c>
      <c r="B140" t="s">
        <v>312</v>
      </c>
      <c r="C140">
        <v>133062</v>
      </c>
      <c r="D140">
        <v>19790</v>
      </c>
      <c r="E140">
        <v>2165776</v>
      </c>
      <c r="F140" t="s">
        <v>35</v>
      </c>
      <c r="G140" t="s">
        <v>10</v>
      </c>
    </row>
    <row r="141" spans="1:7" x14ac:dyDescent="0.2">
      <c r="A141" t="s">
        <v>313</v>
      </c>
      <c r="B141" t="s">
        <v>314</v>
      </c>
      <c r="C141">
        <v>132305</v>
      </c>
      <c r="D141">
        <v>88791</v>
      </c>
      <c r="E141">
        <v>1551836</v>
      </c>
      <c r="F141" t="s">
        <v>35</v>
      </c>
      <c r="G141" t="s">
        <v>10</v>
      </c>
    </row>
    <row r="142" spans="1:7" x14ac:dyDescent="0.2">
      <c r="A142" t="s">
        <v>315</v>
      </c>
      <c r="B142" t="s">
        <v>316</v>
      </c>
      <c r="C142">
        <v>126848</v>
      </c>
      <c r="D142">
        <v>17140</v>
      </c>
      <c r="E142">
        <v>2372960</v>
      </c>
      <c r="F142" t="s">
        <v>35</v>
      </c>
      <c r="G142" t="s">
        <v>10</v>
      </c>
    </row>
    <row r="143" spans="1:7" x14ac:dyDescent="0.2">
      <c r="A143" t="s">
        <v>317</v>
      </c>
      <c r="B143" t="s">
        <v>318</v>
      </c>
      <c r="C143">
        <v>125843</v>
      </c>
      <c r="D143">
        <v>13416</v>
      </c>
      <c r="E143">
        <v>1844163</v>
      </c>
      <c r="F143" t="s">
        <v>35</v>
      </c>
      <c r="G143" t="s">
        <v>10</v>
      </c>
    </row>
    <row r="144" spans="1:7" x14ac:dyDescent="0.2">
      <c r="A144" t="s">
        <v>319</v>
      </c>
      <c r="B144" t="s">
        <v>320</v>
      </c>
      <c r="C144">
        <v>124963</v>
      </c>
      <c r="D144">
        <v>22</v>
      </c>
      <c r="E144">
        <v>1737514</v>
      </c>
      <c r="F144" t="s">
        <v>35</v>
      </c>
      <c r="G144" t="s">
        <v>10</v>
      </c>
    </row>
    <row r="145" spans="1:7" x14ac:dyDescent="0.2">
      <c r="A145" t="s">
        <v>321</v>
      </c>
      <c r="B145" t="s">
        <v>322</v>
      </c>
      <c r="C145">
        <v>124600</v>
      </c>
      <c r="D145">
        <v>0</v>
      </c>
      <c r="E145">
        <v>1536214</v>
      </c>
      <c r="F145" t="s">
        <v>35</v>
      </c>
      <c r="G145" t="s">
        <v>10</v>
      </c>
    </row>
    <row r="146" spans="1:7" x14ac:dyDescent="0.2">
      <c r="A146" t="s">
        <v>323</v>
      </c>
      <c r="B146" t="s">
        <v>324</v>
      </c>
      <c r="C146">
        <v>123993</v>
      </c>
      <c r="D146">
        <v>293723</v>
      </c>
      <c r="E146">
        <v>4202806</v>
      </c>
      <c r="F146" t="s">
        <v>35</v>
      </c>
      <c r="G146" t="s">
        <v>10</v>
      </c>
    </row>
    <row r="147" spans="1:7" x14ac:dyDescent="0.2">
      <c r="A147" t="s">
        <v>325</v>
      </c>
      <c r="B147" t="s">
        <v>326</v>
      </c>
      <c r="C147">
        <v>122977</v>
      </c>
      <c r="D147">
        <v>27799</v>
      </c>
      <c r="E147">
        <v>2127978</v>
      </c>
      <c r="F147" t="s">
        <v>35</v>
      </c>
      <c r="G147" t="s">
        <v>10</v>
      </c>
    </row>
    <row r="148" spans="1:7" x14ac:dyDescent="0.2">
      <c r="A148" t="s">
        <v>327</v>
      </c>
      <c r="B148" t="s">
        <v>328</v>
      </c>
      <c r="C148">
        <v>122427</v>
      </c>
      <c r="D148">
        <v>114275</v>
      </c>
      <c r="E148">
        <v>2389954</v>
      </c>
      <c r="F148" t="s">
        <v>35</v>
      </c>
      <c r="G148" t="s">
        <v>10</v>
      </c>
    </row>
    <row r="149" spans="1:7" x14ac:dyDescent="0.2">
      <c r="A149" t="s">
        <v>329</v>
      </c>
      <c r="B149" t="s">
        <v>330</v>
      </c>
      <c r="C149">
        <v>122385</v>
      </c>
      <c r="D149">
        <v>1648</v>
      </c>
      <c r="E149">
        <v>1266257</v>
      </c>
      <c r="F149" t="s">
        <v>35</v>
      </c>
      <c r="G149" t="s">
        <v>10</v>
      </c>
    </row>
    <row r="150" spans="1:7" x14ac:dyDescent="0.2">
      <c r="A150" t="s">
        <v>331</v>
      </c>
      <c r="B150" t="s">
        <v>332</v>
      </c>
      <c r="C150">
        <v>122306</v>
      </c>
      <c r="D150">
        <v>16383</v>
      </c>
      <c r="E150">
        <v>1883672</v>
      </c>
      <c r="F150" t="s">
        <v>35</v>
      </c>
      <c r="G150" t="s">
        <v>10</v>
      </c>
    </row>
    <row r="151" spans="1:7" x14ac:dyDescent="0.2">
      <c r="A151" t="s">
        <v>333</v>
      </c>
      <c r="B151" t="s">
        <v>334</v>
      </c>
      <c r="C151">
        <v>121801</v>
      </c>
      <c r="D151">
        <v>4176</v>
      </c>
      <c r="E151">
        <v>1758294</v>
      </c>
      <c r="F151" t="s">
        <v>35</v>
      </c>
      <c r="G151" t="s">
        <v>10</v>
      </c>
    </row>
    <row r="152" spans="1:7" x14ac:dyDescent="0.2">
      <c r="A152" t="s">
        <v>335</v>
      </c>
      <c r="B152" t="s">
        <v>336</v>
      </c>
      <c r="C152">
        <v>120614</v>
      </c>
      <c r="D152">
        <v>8869</v>
      </c>
      <c r="E152">
        <v>1760505</v>
      </c>
      <c r="F152" t="s">
        <v>35</v>
      </c>
      <c r="G152" t="s">
        <v>10</v>
      </c>
    </row>
    <row r="153" spans="1:7" x14ac:dyDescent="0.2">
      <c r="A153" t="s">
        <v>337</v>
      </c>
      <c r="B153" t="s">
        <v>338</v>
      </c>
      <c r="C153">
        <v>119940</v>
      </c>
      <c r="D153">
        <v>176</v>
      </c>
      <c r="E153">
        <v>1709695</v>
      </c>
      <c r="F153" t="s">
        <v>35</v>
      </c>
      <c r="G153" t="s">
        <v>10</v>
      </c>
    </row>
    <row r="154" spans="1:7" x14ac:dyDescent="0.2">
      <c r="A154" t="s">
        <v>339</v>
      </c>
      <c r="B154" t="s">
        <v>340</v>
      </c>
      <c r="C154">
        <v>119316</v>
      </c>
      <c r="D154">
        <v>5044</v>
      </c>
      <c r="E154">
        <v>1724512</v>
      </c>
      <c r="F154" t="s">
        <v>35</v>
      </c>
      <c r="G154" t="s">
        <v>10</v>
      </c>
    </row>
    <row r="155" spans="1:7" x14ac:dyDescent="0.2">
      <c r="A155" t="s">
        <v>341</v>
      </c>
      <c r="B155" t="s">
        <v>342</v>
      </c>
      <c r="C155">
        <v>117502</v>
      </c>
      <c r="D155">
        <v>3370</v>
      </c>
      <c r="E155">
        <v>1685654</v>
      </c>
      <c r="F155" t="s">
        <v>35</v>
      </c>
      <c r="G155" t="s">
        <v>10</v>
      </c>
    </row>
    <row r="156" spans="1:7" x14ac:dyDescent="0.2">
      <c r="A156" t="s">
        <v>343</v>
      </c>
      <c r="B156" t="s">
        <v>344</v>
      </c>
      <c r="C156">
        <v>117387</v>
      </c>
      <c r="D156">
        <v>61398</v>
      </c>
      <c r="E156">
        <v>1990105</v>
      </c>
      <c r="F156" t="s">
        <v>35</v>
      </c>
      <c r="G156" t="s">
        <v>10</v>
      </c>
    </row>
    <row r="157" spans="1:7" x14ac:dyDescent="0.2">
      <c r="A157" t="s">
        <v>345</v>
      </c>
      <c r="B157" t="s">
        <v>346</v>
      </c>
      <c r="C157">
        <v>116313</v>
      </c>
      <c r="D157">
        <v>20252</v>
      </c>
      <c r="E157">
        <v>2025541</v>
      </c>
      <c r="F157" t="s">
        <v>35</v>
      </c>
      <c r="G157" t="s">
        <v>10</v>
      </c>
    </row>
    <row r="158" spans="1:7" x14ac:dyDescent="0.2">
      <c r="A158" t="s">
        <v>347</v>
      </c>
      <c r="B158" t="s">
        <v>348</v>
      </c>
      <c r="C158">
        <v>114512</v>
      </c>
      <c r="D158">
        <v>39</v>
      </c>
      <c r="E158">
        <v>1575050</v>
      </c>
      <c r="F158" t="s">
        <v>35</v>
      </c>
      <c r="G158" t="s">
        <v>10</v>
      </c>
    </row>
    <row r="159" spans="1:7" x14ac:dyDescent="0.2">
      <c r="A159" t="s">
        <v>349</v>
      </c>
      <c r="B159" t="s">
        <v>350</v>
      </c>
      <c r="C159">
        <v>111314</v>
      </c>
      <c r="D159">
        <v>0</v>
      </c>
      <c r="E159">
        <v>1507935</v>
      </c>
      <c r="F159" t="s">
        <v>35</v>
      </c>
      <c r="G159" t="s">
        <v>10</v>
      </c>
    </row>
    <row r="160" spans="1:7" x14ac:dyDescent="0.2">
      <c r="A160" t="s">
        <v>351</v>
      </c>
      <c r="B160" t="s">
        <v>352</v>
      </c>
      <c r="C160">
        <v>111243</v>
      </c>
      <c r="D160">
        <v>26052</v>
      </c>
      <c r="E160">
        <v>1696166</v>
      </c>
      <c r="F160" t="s">
        <v>35</v>
      </c>
      <c r="G160" t="s">
        <v>10</v>
      </c>
    </row>
    <row r="161" spans="1:7" x14ac:dyDescent="0.2">
      <c r="A161" t="s">
        <v>353</v>
      </c>
      <c r="B161" t="s">
        <v>354</v>
      </c>
      <c r="C161">
        <v>110745</v>
      </c>
      <c r="D161">
        <v>67219</v>
      </c>
      <c r="E161">
        <v>1423131</v>
      </c>
      <c r="F161" t="s">
        <v>35</v>
      </c>
      <c r="G161" t="s">
        <v>10</v>
      </c>
    </row>
    <row r="162" spans="1:7" x14ac:dyDescent="0.2">
      <c r="A162" t="s">
        <v>355</v>
      </c>
      <c r="B162" t="s">
        <v>356</v>
      </c>
      <c r="C162">
        <v>109241</v>
      </c>
      <c r="D162">
        <v>26644</v>
      </c>
      <c r="E162">
        <v>1579154</v>
      </c>
      <c r="F162" t="s">
        <v>35</v>
      </c>
      <c r="G162" t="s">
        <v>10</v>
      </c>
    </row>
    <row r="163" spans="1:7" x14ac:dyDescent="0.2">
      <c r="A163" t="s">
        <v>357</v>
      </c>
      <c r="B163" t="s">
        <v>358</v>
      </c>
      <c r="C163">
        <v>106935</v>
      </c>
      <c r="D163">
        <v>5</v>
      </c>
      <c r="E163">
        <v>963156</v>
      </c>
      <c r="F163" t="s">
        <v>35</v>
      </c>
      <c r="G163" t="s">
        <v>10</v>
      </c>
    </row>
    <row r="164" spans="1:7" x14ac:dyDescent="0.2">
      <c r="A164" t="s">
        <v>359</v>
      </c>
      <c r="B164" t="s">
        <v>360</v>
      </c>
      <c r="C164">
        <v>105435</v>
      </c>
      <c r="D164">
        <v>33018</v>
      </c>
      <c r="E164">
        <v>1868519</v>
      </c>
      <c r="F164" t="s">
        <v>35</v>
      </c>
      <c r="G164" t="s">
        <v>10</v>
      </c>
    </row>
    <row r="165" spans="1:7" x14ac:dyDescent="0.2">
      <c r="A165" t="s">
        <v>361</v>
      </c>
      <c r="B165" t="s">
        <v>362</v>
      </c>
      <c r="C165">
        <v>105414</v>
      </c>
      <c r="D165">
        <v>92390</v>
      </c>
      <c r="E165">
        <v>2429385</v>
      </c>
      <c r="F165" t="s">
        <v>35</v>
      </c>
      <c r="G165" t="s">
        <v>10</v>
      </c>
    </row>
    <row r="166" spans="1:7" x14ac:dyDescent="0.2">
      <c r="A166" t="s">
        <v>363</v>
      </c>
      <c r="B166" t="s">
        <v>364</v>
      </c>
      <c r="C166">
        <v>105315</v>
      </c>
      <c r="D166">
        <v>8883</v>
      </c>
      <c r="E166">
        <v>2126236</v>
      </c>
      <c r="F166" t="s">
        <v>35</v>
      </c>
      <c r="G166" t="s">
        <v>10</v>
      </c>
    </row>
    <row r="167" spans="1:7" x14ac:dyDescent="0.2">
      <c r="A167" t="s">
        <v>365</v>
      </c>
      <c r="B167" t="s">
        <v>366</v>
      </c>
      <c r="C167">
        <v>102427</v>
      </c>
      <c r="D167">
        <v>2981</v>
      </c>
      <c r="E167">
        <v>1479382</v>
      </c>
      <c r="F167" t="s">
        <v>35</v>
      </c>
      <c r="G167" t="s">
        <v>10</v>
      </c>
    </row>
    <row r="168" spans="1:7" x14ac:dyDescent="0.2">
      <c r="A168" t="s">
        <v>367</v>
      </c>
      <c r="B168" t="s">
        <v>368</v>
      </c>
      <c r="C168">
        <v>102089</v>
      </c>
      <c r="D168">
        <v>345</v>
      </c>
      <c r="E168">
        <v>823017</v>
      </c>
      <c r="F168" t="s">
        <v>35</v>
      </c>
      <c r="G168" t="s">
        <v>10</v>
      </c>
    </row>
    <row r="169" spans="1:7" x14ac:dyDescent="0.2">
      <c r="A169" t="s">
        <v>369</v>
      </c>
      <c r="B169" t="s">
        <v>370</v>
      </c>
      <c r="C169">
        <v>97597</v>
      </c>
      <c r="D169">
        <v>72502</v>
      </c>
      <c r="E169">
        <v>1754395</v>
      </c>
      <c r="F169" t="s">
        <v>35</v>
      </c>
      <c r="G169" t="s">
        <v>10</v>
      </c>
    </row>
    <row r="170" spans="1:7" x14ac:dyDescent="0.2">
      <c r="A170" t="s">
        <v>371</v>
      </c>
      <c r="B170" t="s">
        <v>372</v>
      </c>
      <c r="C170">
        <v>96992</v>
      </c>
      <c r="D170">
        <v>122</v>
      </c>
      <c r="E170">
        <v>594701</v>
      </c>
      <c r="F170" t="s">
        <v>35</v>
      </c>
      <c r="G170" t="s">
        <v>10</v>
      </c>
    </row>
    <row r="171" spans="1:7" x14ac:dyDescent="0.2">
      <c r="A171" t="s">
        <v>373</v>
      </c>
      <c r="B171" t="s">
        <v>374</v>
      </c>
      <c r="C171">
        <v>96359</v>
      </c>
      <c r="D171">
        <v>97396</v>
      </c>
      <c r="E171">
        <v>1885557</v>
      </c>
      <c r="F171" t="s">
        <v>35</v>
      </c>
      <c r="G171" t="s">
        <v>10</v>
      </c>
    </row>
    <row r="172" spans="1:7" x14ac:dyDescent="0.2">
      <c r="A172" t="s">
        <v>375</v>
      </c>
      <c r="B172" t="s">
        <v>376</v>
      </c>
      <c r="C172">
        <v>94358</v>
      </c>
      <c r="D172">
        <v>8095</v>
      </c>
      <c r="E172">
        <v>561782</v>
      </c>
      <c r="F172" t="s">
        <v>35</v>
      </c>
      <c r="G172" t="s">
        <v>10</v>
      </c>
    </row>
    <row r="173" spans="1:7" x14ac:dyDescent="0.2">
      <c r="A173" t="s">
        <v>377</v>
      </c>
      <c r="B173" t="s">
        <v>378</v>
      </c>
      <c r="C173">
        <v>94063</v>
      </c>
      <c r="D173">
        <v>15559</v>
      </c>
      <c r="E173">
        <v>853839</v>
      </c>
      <c r="F173" t="s">
        <v>35</v>
      </c>
      <c r="G173" t="s">
        <v>10</v>
      </c>
    </row>
    <row r="174" spans="1:7" x14ac:dyDescent="0.2">
      <c r="A174" t="s">
        <v>379</v>
      </c>
      <c r="B174" t="s">
        <v>380</v>
      </c>
      <c r="C174">
        <v>93428</v>
      </c>
      <c r="D174">
        <v>0</v>
      </c>
      <c r="E174">
        <v>1338120</v>
      </c>
      <c r="F174" t="s">
        <v>35</v>
      </c>
      <c r="G174" t="s">
        <v>10</v>
      </c>
    </row>
    <row r="175" spans="1:7" x14ac:dyDescent="0.2">
      <c r="A175" t="s">
        <v>381</v>
      </c>
      <c r="B175" t="s">
        <v>382</v>
      </c>
      <c r="C175">
        <v>93121</v>
      </c>
      <c r="D175">
        <v>4437</v>
      </c>
      <c r="E175">
        <v>1360475</v>
      </c>
      <c r="F175" t="s">
        <v>35</v>
      </c>
      <c r="G175" t="s">
        <v>10</v>
      </c>
    </row>
    <row r="176" spans="1:7" x14ac:dyDescent="0.2">
      <c r="A176" t="s">
        <v>383</v>
      </c>
      <c r="B176" t="s">
        <v>384</v>
      </c>
      <c r="C176">
        <v>91667</v>
      </c>
      <c r="D176">
        <v>7486</v>
      </c>
      <c r="E176">
        <v>1345440</v>
      </c>
      <c r="F176" t="s">
        <v>35</v>
      </c>
      <c r="G176" t="s">
        <v>10</v>
      </c>
    </row>
    <row r="177" spans="1:7" x14ac:dyDescent="0.2">
      <c r="A177" t="s">
        <v>385</v>
      </c>
      <c r="B177" t="s">
        <v>386</v>
      </c>
      <c r="C177">
        <v>91369</v>
      </c>
      <c r="D177">
        <v>448</v>
      </c>
      <c r="E177">
        <v>1300899</v>
      </c>
      <c r="F177" t="s">
        <v>35</v>
      </c>
      <c r="G177" t="s">
        <v>10</v>
      </c>
    </row>
    <row r="178" spans="1:7" x14ac:dyDescent="0.2">
      <c r="A178" t="s">
        <v>387</v>
      </c>
      <c r="B178" t="s">
        <v>388</v>
      </c>
      <c r="C178">
        <v>91365</v>
      </c>
      <c r="D178">
        <v>895</v>
      </c>
      <c r="E178">
        <v>1683615</v>
      </c>
      <c r="F178" t="s">
        <v>35</v>
      </c>
      <c r="G178" t="s">
        <v>10</v>
      </c>
    </row>
    <row r="179" spans="1:7" x14ac:dyDescent="0.2">
      <c r="A179" t="s">
        <v>389</v>
      </c>
      <c r="B179" t="s">
        <v>390</v>
      </c>
      <c r="C179">
        <v>90563</v>
      </c>
      <c r="D179">
        <v>16495</v>
      </c>
      <c r="E179">
        <v>572532</v>
      </c>
      <c r="F179" t="s">
        <v>35</v>
      </c>
      <c r="G179" t="s">
        <v>10</v>
      </c>
    </row>
    <row r="180" spans="1:7" x14ac:dyDescent="0.2">
      <c r="A180" t="s">
        <v>391</v>
      </c>
      <c r="B180" t="s">
        <v>392</v>
      </c>
      <c r="C180">
        <v>90516</v>
      </c>
      <c r="D180">
        <v>61112</v>
      </c>
      <c r="E180">
        <v>1740848</v>
      </c>
      <c r="F180" t="s">
        <v>35</v>
      </c>
      <c r="G180" t="s">
        <v>10</v>
      </c>
    </row>
    <row r="181" spans="1:7" x14ac:dyDescent="0.2">
      <c r="A181" t="s">
        <v>393</v>
      </c>
      <c r="B181" t="s">
        <v>394</v>
      </c>
      <c r="C181">
        <v>90049</v>
      </c>
      <c r="D181">
        <v>297</v>
      </c>
      <c r="E181">
        <v>1286982</v>
      </c>
      <c r="F181" t="s">
        <v>35</v>
      </c>
      <c r="G181" t="s">
        <v>10</v>
      </c>
    </row>
    <row r="182" spans="1:7" x14ac:dyDescent="0.2">
      <c r="A182" t="s">
        <v>395</v>
      </c>
      <c r="B182" t="s">
        <v>396</v>
      </c>
      <c r="C182">
        <v>89550</v>
      </c>
      <c r="D182">
        <v>150464</v>
      </c>
      <c r="E182">
        <v>4294364</v>
      </c>
      <c r="F182" t="s">
        <v>35</v>
      </c>
      <c r="G182" t="s">
        <v>10</v>
      </c>
    </row>
    <row r="183" spans="1:7" x14ac:dyDescent="0.2">
      <c r="A183" t="s">
        <v>397</v>
      </c>
      <c r="B183" t="s">
        <v>398</v>
      </c>
      <c r="C183">
        <v>88913</v>
      </c>
      <c r="D183">
        <v>2972</v>
      </c>
      <c r="E183">
        <v>16020</v>
      </c>
      <c r="F183" t="s">
        <v>35</v>
      </c>
      <c r="G183" t="s">
        <v>10</v>
      </c>
    </row>
    <row r="184" spans="1:7" x14ac:dyDescent="0.2">
      <c r="A184" t="s">
        <v>399</v>
      </c>
      <c r="B184" t="s">
        <v>400</v>
      </c>
      <c r="C184">
        <v>88098</v>
      </c>
      <c r="D184">
        <v>270050</v>
      </c>
      <c r="E184">
        <v>3205745</v>
      </c>
      <c r="F184" t="s">
        <v>35</v>
      </c>
      <c r="G184" t="s">
        <v>10</v>
      </c>
    </row>
    <row r="185" spans="1:7" x14ac:dyDescent="0.2">
      <c r="A185" t="s">
        <v>401</v>
      </c>
      <c r="B185" t="s">
        <v>402</v>
      </c>
      <c r="C185">
        <v>87827</v>
      </c>
      <c r="D185">
        <v>113</v>
      </c>
      <c r="E185">
        <v>1252514</v>
      </c>
      <c r="F185" t="s">
        <v>35</v>
      </c>
      <c r="G185" t="s">
        <v>10</v>
      </c>
    </row>
    <row r="186" spans="1:7" x14ac:dyDescent="0.2">
      <c r="A186" t="s">
        <v>403</v>
      </c>
      <c r="B186" t="s">
        <v>404</v>
      </c>
      <c r="C186">
        <v>87625</v>
      </c>
      <c r="D186">
        <v>645</v>
      </c>
      <c r="E186">
        <v>861733</v>
      </c>
      <c r="F186" t="s">
        <v>35</v>
      </c>
      <c r="G186" t="s">
        <v>10</v>
      </c>
    </row>
    <row r="187" spans="1:7" x14ac:dyDescent="0.2">
      <c r="A187" t="s">
        <v>405</v>
      </c>
      <c r="B187" t="s">
        <v>406</v>
      </c>
      <c r="C187">
        <v>86981</v>
      </c>
      <c r="D187">
        <v>162</v>
      </c>
      <c r="E187">
        <v>39136</v>
      </c>
      <c r="F187" t="s">
        <v>35</v>
      </c>
      <c r="G187" t="s">
        <v>10</v>
      </c>
    </row>
    <row r="188" spans="1:7" x14ac:dyDescent="0.2">
      <c r="A188" t="s">
        <v>407</v>
      </c>
      <c r="B188" t="s">
        <v>408</v>
      </c>
      <c r="C188">
        <v>85289</v>
      </c>
      <c r="D188">
        <v>2662</v>
      </c>
      <c r="E188">
        <v>1844966</v>
      </c>
      <c r="F188" t="s">
        <v>35</v>
      </c>
      <c r="G188" t="s">
        <v>10</v>
      </c>
    </row>
    <row r="189" spans="1:7" x14ac:dyDescent="0.2">
      <c r="A189" t="s">
        <v>409</v>
      </c>
      <c r="B189" t="s">
        <v>410</v>
      </c>
      <c r="C189">
        <v>84321</v>
      </c>
      <c r="D189">
        <v>169841</v>
      </c>
      <c r="E189">
        <v>2613303</v>
      </c>
      <c r="F189" t="s">
        <v>35</v>
      </c>
      <c r="G189" t="s">
        <v>10</v>
      </c>
    </row>
    <row r="190" spans="1:7" x14ac:dyDescent="0.2">
      <c r="A190" t="s">
        <v>411</v>
      </c>
      <c r="B190" t="s">
        <v>412</v>
      </c>
      <c r="C190">
        <v>83849</v>
      </c>
      <c r="D190">
        <v>3411</v>
      </c>
      <c r="E190">
        <v>1221868</v>
      </c>
      <c r="F190" t="s">
        <v>35</v>
      </c>
      <c r="G190" t="s">
        <v>10</v>
      </c>
    </row>
    <row r="191" spans="1:7" x14ac:dyDescent="0.2">
      <c r="A191" t="s">
        <v>413</v>
      </c>
      <c r="B191" t="s">
        <v>414</v>
      </c>
      <c r="C191">
        <v>83006</v>
      </c>
      <c r="D191">
        <v>272</v>
      </c>
      <c r="E191">
        <v>38935</v>
      </c>
      <c r="F191" t="s">
        <v>35</v>
      </c>
      <c r="G191" t="s">
        <v>10</v>
      </c>
    </row>
    <row r="192" spans="1:7" x14ac:dyDescent="0.2">
      <c r="A192" t="s">
        <v>415</v>
      </c>
      <c r="B192" t="s">
        <v>416</v>
      </c>
      <c r="C192">
        <v>82639</v>
      </c>
      <c r="D192">
        <v>141084</v>
      </c>
      <c r="E192">
        <v>2126267</v>
      </c>
      <c r="F192" t="s">
        <v>35</v>
      </c>
      <c r="G192" t="s">
        <v>10</v>
      </c>
    </row>
    <row r="193" spans="1:7" x14ac:dyDescent="0.2">
      <c r="A193" t="s">
        <v>417</v>
      </c>
      <c r="B193" t="s">
        <v>418</v>
      </c>
      <c r="C193">
        <v>81558</v>
      </c>
      <c r="D193">
        <v>8384</v>
      </c>
      <c r="E193">
        <v>1255692</v>
      </c>
      <c r="F193" t="s">
        <v>35</v>
      </c>
      <c r="G193" t="s">
        <v>10</v>
      </c>
    </row>
    <row r="194" spans="1:7" x14ac:dyDescent="0.2">
      <c r="A194" t="s">
        <v>419</v>
      </c>
      <c r="B194" t="s">
        <v>420</v>
      </c>
      <c r="C194">
        <v>80391</v>
      </c>
      <c r="D194">
        <v>119483</v>
      </c>
      <c r="E194">
        <v>2034077</v>
      </c>
      <c r="F194" t="s">
        <v>35</v>
      </c>
      <c r="G194" t="s">
        <v>10</v>
      </c>
    </row>
    <row r="195" spans="1:7" x14ac:dyDescent="0.2">
      <c r="A195" t="s">
        <v>421</v>
      </c>
      <c r="B195" t="s">
        <v>422</v>
      </c>
      <c r="C195">
        <v>80304</v>
      </c>
      <c r="D195">
        <v>8</v>
      </c>
      <c r="E195">
        <v>1357813</v>
      </c>
      <c r="F195" t="s">
        <v>35</v>
      </c>
      <c r="G195" t="s">
        <v>10</v>
      </c>
    </row>
    <row r="196" spans="1:7" x14ac:dyDescent="0.2">
      <c r="A196" t="s">
        <v>423</v>
      </c>
      <c r="B196" t="s">
        <v>424</v>
      </c>
      <c r="C196">
        <v>79836</v>
      </c>
      <c r="D196">
        <v>10581</v>
      </c>
      <c r="E196">
        <v>575934</v>
      </c>
      <c r="F196" t="s">
        <v>35</v>
      </c>
      <c r="G196" t="s">
        <v>10</v>
      </c>
    </row>
    <row r="197" spans="1:7" x14ac:dyDescent="0.2">
      <c r="A197" t="s">
        <v>425</v>
      </c>
      <c r="B197" t="s">
        <v>426</v>
      </c>
      <c r="C197">
        <v>77398</v>
      </c>
      <c r="D197">
        <v>49794</v>
      </c>
      <c r="E197">
        <v>1216741</v>
      </c>
      <c r="F197" t="s">
        <v>35</v>
      </c>
      <c r="G197" t="s">
        <v>10</v>
      </c>
    </row>
    <row r="198" spans="1:7" x14ac:dyDescent="0.2">
      <c r="A198" t="s">
        <v>427</v>
      </c>
      <c r="B198" t="s">
        <v>428</v>
      </c>
      <c r="C198">
        <v>76453</v>
      </c>
      <c r="D198">
        <v>787</v>
      </c>
      <c r="E198">
        <v>1098252</v>
      </c>
      <c r="F198" t="s">
        <v>35</v>
      </c>
      <c r="G198" t="s">
        <v>10</v>
      </c>
    </row>
    <row r="199" spans="1:7" x14ac:dyDescent="0.2">
      <c r="A199" t="s">
        <v>429</v>
      </c>
      <c r="B199" t="s">
        <v>430</v>
      </c>
      <c r="C199">
        <v>75624</v>
      </c>
      <c r="D199">
        <v>40921</v>
      </c>
      <c r="E199">
        <v>757045</v>
      </c>
      <c r="F199" t="s">
        <v>35</v>
      </c>
      <c r="G199" t="s">
        <v>10</v>
      </c>
    </row>
    <row r="200" spans="1:7" x14ac:dyDescent="0.2">
      <c r="A200" t="s">
        <v>431</v>
      </c>
      <c r="B200" t="s">
        <v>432</v>
      </c>
      <c r="C200">
        <v>75152</v>
      </c>
      <c r="D200">
        <v>9383</v>
      </c>
      <c r="E200">
        <v>1087381</v>
      </c>
      <c r="F200" t="s">
        <v>35</v>
      </c>
      <c r="G200" t="s">
        <v>10</v>
      </c>
    </row>
    <row r="201" spans="1:7" x14ac:dyDescent="0.2">
      <c r="A201" t="s">
        <v>433</v>
      </c>
      <c r="B201" t="s">
        <v>434</v>
      </c>
      <c r="C201">
        <v>74774</v>
      </c>
      <c r="D201">
        <v>89699</v>
      </c>
      <c r="E201">
        <v>1712044</v>
      </c>
      <c r="F201" t="s">
        <v>35</v>
      </c>
      <c r="G201" t="s">
        <v>10</v>
      </c>
    </row>
    <row r="202" spans="1:7" x14ac:dyDescent="0.2">
      <c r="A202" t="s">
        <v>435</v>
      </c>
      <c r="B202" t="s">
        <v>436</v>
      </c>
      <c r="C202">
        <v>74184</v>
      </c>
      <c r="D202">
        <v>145347</v>
      </c>
      <c r="E202">
        <v>2432974</v>
      </c>
      <c r="F202" t="s">
        <v>35</v>
      </c>
      <c r="G202" t="s">
        <v>10</v>
      </c>
    </row>
    <row r="203" spans="1:7" x14ac:dyDescent="0.2">
      <c r="A203" t="s">
        <v>437</v>
      </c>
      <c r="B203" t="s">
        <v>438</v>
      </c>
      <c r="C203">
        <v>73608</v>
      </c>
      <c r="D203">
        <v>49</v>
      </c>
      <c r="E203">
        <v>1077849</v>
      </c>
      <c r="F203" t="s">
        <v>35</v>
      </c>
      <c r="G203" t="s">
        <v>10</v>
      </c>
    </row>
    <row r="204" spans="1:7" x14ac:dyDescent="0.2">
      <c r="A204" t="s">
        <v>439</v>
      </c>
      <c r="B204" t="s">
        <v>440</v>
      </c>
      <c r="C204">
        <v>72162</v>
      </c>
      <c r="D204">
        <v>14</v>
      </c>
      <c r="E204">
        <v>807278</v>
      </c>
      <c r="F204" t="s">
        <v>35</v>
      </c>
      <c r="G204" t="s">
        <v>10</v>
      </c>
    </row>
    <row r="205" spans="1:7" x14ac:dyDescent="0.2">
      <c r="A205" t="s">
        <v>441</v>
      </c>
      <c r="B205" t="s">
        <v>442</v>
      </c>
      <c r="C205">
        <v>71737</v>
      </c>
      <c r="D205">
        <v>538</v>
      </c>
      <c r="E205">
        <v>1025733</v>
      </c>
      <c r="F205" t="s">
        <v>35</v>
      </c>
      <c r="G205" t="s">
        <v>10</v>
      </c>
    </row>
    <row r="206" spans="1:7" x14ac:dyDescent="0.2">
      <c r="A206" t="s">
        <v>443</v>
      </c>
      <c r="B206" t="s">
        <v>444</v>
      </c>
      <c r="C206">
        <v>71536</v>
      </c>
      <c r="D206">
        <v>468</v>
      </c>
      <c r="E206">
        <v>1024622</v>
      </c>
      <c r="F206" t="s">
        <v>35</v>
      </c>
      <c r="G206" t="s">
        <v>10</v>
      </c>
    </row>
    <row r="207" spans="1:7" x14ac:dyDescent="0.2">
      <c r="A207" t="s">
        <v>445</v>
      </c>
      <c r="B207" t="s">
        <v>446</v>
      </c>
      <c r="C207">
        <v>71475</v>
      </c>
      <c r="D207">
        <v>3225</v>
      </c>
      <c r="E207">
        <v>1279268</v>
      </c>
      <c r="F207" t="s">
        <v>35</v>
      </c>
      <c r="G207" t="s">
        <v>10</v>
      </c>
    </row>
    <row r="208" spans="1:7" x14ac:dyDescent="0.2">
      <c r="A208" t="s">
        <v>447</v>
      </c>
      <c r="B208" t="s">
        <v>448</v>
      </c>
      <c r="C208">
        <v>70961</v>
      </c>
      <c r="D208">
        <v>384</v>
      </c>
      <c r="E208">
        <v>1010281</v>
      </c>
      <c r="F208" t="s">
        <v>35</v>
      </c>
      <c r="G208" t="s">
        <v>10</v>
      </c>
    </row>
    <row r="209" spans="1:7" x14ac:dyDescent="0.2">
      <c r="A209" t="s">
        <v>449</v>
      </c>
      <c r="B209" t="s">
        <v>450</v>
      </c>
      <c r="C209">
        <v>69130</v>
      </c>
      <c r="D209">
        <v>903</v>
      </c>
      <c r="E209">
        <v>988076</v>
      </c>
      <c r="F209" t="s">
        <v>35</v>
      </c>
      <c r="G209" t="s">
        <v>10</v>
      </c>
    </row>
    <row r="210" spans="1:7" x14ac:dyDescent="0.2">
      <c r="A210" t="s">
        <v>451</v>
      </c>
      <c r="B210" t="s">
        <v>452</v>
      </c>
      <c r="C210">
        <v>69097</v>
      </c>
      <c r="D210">
        <v>30691</v>
      </c>
      <c r="E210">
        <v>1199261</v>
      </c>
      <c r="F210" t="s">
        <v>35</v>
      </c>
      <c r="G210" t="s">
        <v>10</v>
      </c>
    </row>
    <row r="211" spans="1:7" x14ac:dyDescent="0.2">
      <c r="A211" t="s">
        <v>453</v>
      </c>
      <c r="B211" t="s">
        <v>454</v>
      </c>
      <c r="C211">
        <v>67241</v>
      </c>
      <c r="D211">
        <v>0</v>
      </c>
      <c r="E211">
        <v>960007</v>
      </c>
      <c r="F211" t="s">
        <v>35</v>
      </c>
      <c r="G211" t="s">
        <v>10</v>
      </c>
    </row>
    <row r="212" spans="1:7" x14ac:dyDescent="0.2">
      <c r="A212" t="s">
        <v>455</v>
      </c>
      <c r="B212" t="s">
        <v>456</v>
      </c>
      <c r="C212">
        <v>67209</v>
      </c>
      <c r="D212">
        <v>794</v>
      </c>
      <c r="E212">
        <v>971637</v>
      </c>
      <c r="F212" t="s">
        <v>35</v>
      </c>
      <c r="G212" t="s">
        <v>10</v>
      </c>
    </row>
    <row r="213" spans="1:7" x14ac:dyDescent="0.2">
      <c r="A213" t="s">
        <v>457</v>
      </c>
      <c r="B213" t="s">
        <v>458</v>
      </c>
      <c r="C213">
        <v>66416</v>
      </c>
      <c r="D213">
        <v>3251</v>
      </c>
      <c r="E213">
        <v>902918</v>
      </c>
      <c r="F213" t="s">
        <v>35</v>
      </c>
      <c r="G213" t="s">
        <v>10</v>
      </c>
    </row>
    <row r="214" spans="1:7" x14ac:dyDescent="0.2">
      <c r="A214" t="s">
        <v>459</v>
      </c>
      <c r="B214" t="s">
        <v>460</v>
      </c>
      <c r="C214">
        <v>66324</v>
      </c>
      <c r="D214">
        <v>251300</v>
      </c>
      <c r="E214">
        <v>2327693</v>
      </c>
      <c r="F214" t="s">
        <v>35</v>
      </c>
      <c r="G214" t="s">
        <v>10</v>
      </c>
    </row>
    <row r="215" spans="1:7" x14ac:dyDescent="0.2">
      <c r="A215" t="s">
        <v>461</v>
      </c>
      <c r="B215" t="s">
        <v>462</v>
      </c>
      <c r="C215">
        <v>66143</v>
      </c>
      <c r="D215">
        <v>32447</v>
      </c>
      <c r="E215">
        <v>1429713</v>
      </c>
      <c r="F215" t="s">
        <v>35</v>
      </c>
      <c r="G215" t="s">
        <v>10</v>
      </c>
    </row>
    <row r="216" spans="1:7" x14ac:dyDescent="0.2">
      <c r="A216" t="s">
        <v>463</v>
      </c>
      <c r="B216" t="s">
        <v>464</v>
      </c>
      <c r="C216">
        <v>64515</v>
      </c>
      <c r="D216">
        <v>16625</v>
      </c>
      <c r="E216">
        <v>293215</v>
      </c>
      <c r="F216" t="s">
        <v>35</v>
      </c>
      <c r="G216" t="s">
        <v>10</v>
      </c>
    </row>
    <row r="217" spans="1:7" x14ac:dyDescent="0.2">
      <c r="A217" t="s">
        <v>465</v>
      </c>
      <c r="B217" t="s">
        <v>466</v>
      </c>
      <c r="C217">
        <v>64404</v>
      </c>
      <c r="D217">
        <v>16</v>
      </c>
      <c r="E217">
        <v>458018</v>
      </c>
      <c r="F217" t="s">
        <v>35</v>
      </c>
      <c r="G217" t="s">
        <v>10</v>
      </c>
    </row>
    <row r="218" spans="1:7" x14ac:dyDescent="0.2">
      <c r="A218" t="s">
        <v>467</v>
      </c>
      <c r="B218" t="s">
        <v>468</v>
      </c>
      <c r="C218">
        <v>64233</v>
      </c>
      <c r="D218">
        <v>0</v>
      </c>
      <c r="E218">
        <v>1192640</v>
      </c>
      <c r="F218" t="s">
        <v>35</v>
      </c>
      <c r="G218" t="s">
        <v>10</v>
      </c>
    </row>
    <row r="219" spans="1:7" x14ac:dyDescent="0.2">
      <c r="A219" t="s">
        <v>469</v>
      </c>
      <c r="B219" t="s">
        <v>470</v>
      </c>
      <c r="C219">
        <v>63412</v>
      </c>
      <c r="D219">
        <v>106</v>
      </c>
      <c r="E219">
        <v>1045644</v>
      </c>
      <c r="F219" t="s">
        <v>35</v>
      </c>
      <c r="G219" t="s">
        <v>10</v>
      </c>
    </row>
    <row r="220" spans="1:7" x14ac:dyDescent="0.2">
      <c r="A220" t="s">
        <v>471</v>
      </c>
      <c r="B220" t="s">
        <v>472</v>
      </c>
      <c r="C220">
        <v>61744</v>
      </c>
      <c r="D220">
        <v>24359</v>
      </c>
      <c r="E220">
        <v>1383082</v>
      </c>
      <c r="F220" t="s">
        <v>35</v>
      </c>
      <c r="G220" t="s">
        <v>10</v>
      </c>
    </row>
    <row r="221" spans="1:7" x14ac:dyDescent="0.2">
      <c r="A221" t="s">
        <v>473</v>
      </c>
      <c r="B221" t="s">
        <v>474</v>
      </c>
      <c r="C221">
        <v>61684</v>
      </c>
      <c r="D221">
        <v>15</v>
      </c>
      <c r="E221">
        <v>876954</v>
      </c>
      <c r="F221" t="s">
        <v>35</v>
      </c>
      <c r="G221" t="s">
        <v>10</v>
      </c>
    </row>
    <row r="222" spans="1:7" x14ac:dyDescent="0.2">
      <c r="A222" t="s">
        <v>475</v>
      </c>
      <c r="B222" t="s">
        <v>476</v>
      </c>
      <c r="C222">
        <v>61682</v>
      </c>
      <c r="D222">
        <v>27505</v>
      </c>
      <c r="E222">
        <v>1378515</v>
      </c>
      <c r="F222" t="s">
        <v>35</v>
      </c>
      <c r="G222" t="s">
        <v>10</v>
      </c>
    </row>
    <row r="223" spans="1:7" x14ac:dyDescent="0.2">
      <c r="A223" t="s">
        <v>477</v>
      </c>
      <c r="B223" t="s">
        <v>478</v>
      </c>
      <c r="C223">
        <v>61514</v>
      </c>
      <c r="D223">
        <v>5025</v>
      </c>
      <c r="E223">
        <v>64628</v>
      </c>
      <c r="F223" t="s">
        <v>35</v>
      </c>
      <c r="G223" t="s">
        <v>10</v>
      </c>
    </row>
    <row r="224" spans="1:7" x14ac:dyDescent="0.2">
      <c r="A224" t="s">
        <v>479</v>
      </c>
      <c r="B224" t="s">
        <v>480</v>
      </c>
      <c r="C224">
        <v>61397</v>
      </c>
      <c r="D224">
        <v>82075</v>
      </c>
      <c r="E224">
        <v>2273545</v>
      </c>
      <c r="F224" t="s">
        <v>35</v>
      </c>
      <c r="G224" t="s">
        <v>10</v>
      </c>
    </row>
    <row r="225" spans="1:7" x14ac:dyDescent="0.2">
      <c r="A225" t="s">
        <v>481</v>
      </c>
      <c r="B225" t="s">
        <v>482</v>
      </c>
      <c r="C225">
        <v>60939</v>
      </c>
      <c r="D225">
        <v>21270</v>
      </c>
      <c r="E225">
        <v>1427758</v>
      </c>
      <c r="F225" t="s">
        <v>35</v>
      </c>
      <c r="G225" t="s">
        <v>10</v>
      </c>
    </row>
    <row r="226" spans="1:7" x14ac:dyDescent="0.2">
      <c r="A226" t="s">
        <v>483</v>
      </c>
      <c r="B226" t="s">
        <v>484</v>
      </c>
      <c r="C226">
        <v>60624</v>
      </c>
      <c r="D226">
        <v>26387</v>
      </c>
      <c r="E226">
        <v>982757</v>
      </c>
      <c r="F226" t="s">
        <v>35</v>
      </c>
      <c r="G226" t="s">
        <v>10</v>
      </c>
    </row>
    <row r="227" spans="1:7" x14ac:dyDescent="0.2">
      <c r="A227" t="s">
        <v>485</v>
      </c>
      <c r="B227" t="s">
        <v>486</v>
      </c>
      <c r="C227">
        <v>59885</v>
      </c>
      <c r="D227">
        <v>55</v>
      </c>
      <c r="E227">
        <v>7246</v>
      </c>
      <c r="F227" t="s">
        <v>35</v>
      </c>
      <c r="G227" t="s">
        <v>10</v>
      </c>
    </row>
    <row r="228" spans="1:7" x14ac:dyDescent="0.2">
      <c r="A228" t="s">
        <v>487</v>
      </c>
      <c r="B228" t="s">
        <v>488</v>
      </c>
      <c r="C228">
        <v>59767</v>
      </c>
      <c r="D228">
        <v>0</v>
      </c>
      <c r="E228">
        <v>15788</v>
      </c>
      <c r="F228" t="s">
        <v>35</v>
      </c>
      <c r="G228" t="s">
        <v>10</v>
      </c>
    </row>
    <row r="229" spans="1:7" x14ac:dyDescent="0.2">
      <c r="A229" t="s">
        <v>489</v>
      </c>
      <c r="B229" t="s">
        <v>490</v>
      </c>
      <c r="C229">
        <v>59552</v>
      </c>
      <c r="D229">
        <v>248</v>
      </c>
      <c r="E229">
        <v>850046</v>
      </c>
      <c r="F229" t="s">
        <v>35</v>
      </c>
      <c r="G229" t="s">
        <v>10</v>
      </c>
    </row>
    <row r="230" spans="1:7" x14ac:dyDescent="0.2">
      <c r="A230" t="s">
        <v>491</v>
      </c>
      <c r="B230" t="s">
        <v>492</v>
      </c>
      <c r="C230">
        <v>58608</v>
      </c>
      <c r="D230">
        <v>294998</v>
      </c>
      <c r="E230">
        <v>1839333</v>
      </c>
      <c r="F230" t="s">
        <v>35</v>
      </c>
      <c r="G230" t="s">
        <v>10</v>
      </c>
    </row>
    <row r="231" spans="1:7" x14ac:dyDescent="0.2">
      <c r="A231" t="s">
        <v>493</v>
      </c>
      <c r="B231" t="s">
        <v>494</v>
      </c>
      <c r="C231">
        <v>58534</v>
      </c>
      <c r="D231">
        <v>2</v>
      </c>
      <c r="E231">
        <v>843155</v>
      </c>
      <c r="F231" t="s">
        <v>35</v>
      </c>
      <c r="G231" t="s">
        <v>10</v>
      </c>
    </row>
    <row r="232" spans="1:7" x14ac:dyDescent="0.2">
      <c r="A232" t="s">
        <v>495</v>
      </c>
      <c r="B232" t="s">
        <v>496</v>
      </c>
      <c r="C232">
        <v>57523</v>
      </c>
      <c r="D232">
        <v>146</v>
      </c>
      <c r="E232">
        <v>822022</v>
      </c>
      <c r="F232" t="s">
        <v>35</v>
      </c>
      <c r="G232" t="s">
        <v>10</v>
      </c>
    </row>
    <row r="233" spans="1:7" x14ac:dyDescent="0.2">
      <c r="A233" t="s">
        <v>497</v>
      </c>
      <c r="B233" t="s">
        <v>498</v>
      </c>
      <c r="C233">
        <v>56956</v>
      </c>
      <c r="D233">
        <v>144992</v>
      </c>
      <c r="E233">
        <v>1530080</v>
      </c>
      <c r="F233" t="s">
        <v>35</v>
      </c>
      <c r="G233" t="s">
        <v>10</v>
      </c>
    </row>
    <row r="234" spans="1:7" x14ac:dyDescent="0.2">
      <c r="A234" t="s">
        <v>499</v>
      </c>
      <c r="B234" t="s">
        <v>500</v>
      </c>
      <c r="C234">
        <v>56883</v>
      </c>
      <c r="D234">
        <v>2019</v>
      </c>
      <c r="E234">
        <v>819269</v>
      </c>
      <c r="F234" t="s">
        <v>35</v>
      </c>
      <c r="G234" t="s">
        <v>10</v>
      </c>
    </row>
    <row r="235" spans="1:7" x14ac:dyDescent="0.2">
      <c r="A235" t="s">
        <v>501</v>
      </c>
      <c r="B235" t="s">
        <v>502</v>
      </c>
      <c r="C235">
        <v>56787</v>
      </c>
      <c r="D235">
        <v>194</v>
      </c>
      <c r="E235">
        <v>832767</v>
      </c>
      <c r="F235" t="s">
        <v>35</v>
      </c>
      <c r="G235" t="s">
        <v>10</v>
      </c>
    </row>
    <row r="236" spans="1:7" x14ac:dyDescent="0.2">
      <c r="A236" t="s">
        <v>503</v>
      </c>
      <c r="B236" t="s">
        <v>504</v>
      </c>
      <c r="C236">
        <v>56581</v>
      </c>
      <c r="D236">
        <v>86</v>
      </c>
      <c r="E236">
        <v>805208</v>
      </c>
      <c r="F236" t="s">
        <v>35</v>
      </c>
      <c r="G236" t="s">
        <v>10</v>
      </c>
    </row>
    <row r="237" spans="1:7" x14ac:dyDescent="0.2">
      <c r="A237" t="s">
        <v>505</v>
      </c>
      <c r="B237" t="s">
        <v>506</v>
      </c>
      <c r="C237">
        <v>56544</v>
      </c>
      <c r="D237">
        <v>135053</v>
      </c>
      <c r="E237">
        <v>1723684</v>
      </c>
      <c r="F237" t="s">
        <v>35</v>
      </c>
      <c r="G237" t="s">
        <v>10</v>
      </c>
    </row>
    <row r="238" spans="1:7" x14ac:dyDescent="0.2">
      <c r="A238" t="s">
        <v>507</v>
      </c>
      <c r="B238" t="s">
        <v>508</v>
      </c>
      <c r="C238">
        <v>56143</v>
      </c>
      <c r="D238">
        <v>12895</v>
      </c>
      <c r="E238">
        <v>866517</v>
      </c>
      <c r="F238" t="s">
        <v>35</v>
      </c>
      <c r="G238" t="s">
        <v>10</v>
      </c>
    </row>
    <row r="239" spans="1:7" x14ac:dyDescent="0.2">
      <c r="A239" t="s">
        <v>509</v>
      </c>
      <c r="B239" t="s">
        <v>510</v>
      </c>
      <c r="C239">
        <v>55860</v>
      </c>
      <c r="D239">
        <v>1699</v>
      </c>
      <c r="E239">
        <v>810542</v>
      </c>
      <c r="F239" t="s">
        <v>35</v>
      </c>
      <c r="G239" t="s">
        <v>10</v>
      </c>
    </row>
    <row r="240" spans="1:7" x14ac:dyDescent="0.2">
      <c r="A240" t="s">
        <v>511</v>
      </c>
      <c r="B240" t="s">
        <v>512</v>
      </c>
      <c r="C240">
        <v>55799</v>
      </c>
      <c r="D240">
        <v>399847</v>
      </c>
      <c r="E240">
        <v>3223614</v>
      </c>
      <c r="F240" t="s">
        <v>35</v>
      </c>
      <c r="G240" t="s">
        <v>10</v>
      </c>
    </row>
    <row r="241" spans="1:7" x14ac:dyDescent="0.2">
      <c r="A241" t="s">
        <v>513</v>
      </c>
      <c r="B241" t="s">
        <v>514</v>
      </c>
      <c r="C241">
        <v>55593</v>
      </c>
      <c r="D241">
        <v>281973</v>
      </c>
      <c r="E241">
        <v>2494914</v>
      </c>
      <c r="F241" t="s">
        <v>35</v>
      </c>
      <c r="G241" t="s">
        <v>10</v>
      </c>
    </row>
    <row r="242" spans="1:7" x14ac:dyDescent="0.2">
      <c r="A242" t="s">
        <v>515</v>
      </c>
      <c r="B242" t="s">
        <v>516</v>
      </c>
      <c r="C242">
        <v>55046</v>
      </c>
      <c r="D242">
        <v>209272</v>
      </c>
      <c r="E242">
        <v>3510280</v>
      </c>
      <c r="F242" t="s">
        <v>35</v>
      </c>
      <c r="G242" t="s">
        <v>10</v>
      </c>
    </row>
    <row r="243" spans="1:7" x14ac:dyDescent="0.2">
      <c r="A243" t="s">
        <v>517</v>
      </c>
      <c r="B243" t="s">
        <v>518</v>
      </c>
      <c r="C243">
        <v>54853</v>
      </c>
      <c r="D243">
        <v>58</v>
      </c>
      <c r="E243">
        <v>788901</v>
      </c>
      <c r="F243" t="s">
        <v>35</v>
      </c>
      <c r="G243" t="s">
        <v>10</v>
      </c>
    </row>
    <row r="244" spans="1:7" x14ac:dyDescent="0.2">
      <c r="A244" t="s">
        <v>519</v>
      </c>
      <c r="B244" t="s">
        <v>520</v>
      </c>
      <c r="C244">
        <v>54134</v>
      </c>
      <c r="D244">
        <v>0</v>
      </c>
      <c r="E244">
        <v>400437</v>
      </c>
      <c r="F244" t="s">
        <v>35</v>
      </c>
      <c r="G244" t="s">
        <v>10</v>
      </c>
    </row>
    <row r="245" spans="1:7" x14ac:dyDescent="0.2">
      <c r="A245" t="s">
        <v>521</v>
      </c>
      <c r="B245" t="s">
        <v>522</v>
      </c>
      <c r="C245">
        <v>54024</v>
      </c>
      <c r="D245">
        <v>0</v>
      </c>
      <c r="E245">
        <v>1048401</v>
      </c>
      <c r="F245" t="s">
        <v>35</v>
      </c>
      <c r="G245" t="s">
        <v>10</v>
      </c>
    </row>
    <row r="246" spans="1:7" x14ac:dyDescent="0.2">
      <c r="A246" t="s">
        <v>523</v>
      </c>
      <c r="B246" t="s">
        <v>524</v>
      </c>
      <c r="C246">
        <v>52942</v>
      </c>
      <c r="D246">
        <v>124582</v>
      </c>
      <c r="E246">
        <v>1437676</v>
      </c>
      <c r="F246" t="s">
        <v>35</v>
      </c>
      <c r="G246" t="s">
        <v>10</v>
      </c>
    </row>
    <row r="247" spans="1:7" x14ac:dyDescent="0.2">
      <c r="A247" t="s">
        <v>525</v>
      </c>
      <c r="B247" t="s">
        <v>526</v>
      </c>
      <c r="C247">
        <v>52910</v>
      </c>
      <c r="D247">
        <v>51363</v>
      </c>
      <c r="E247">
        <v>1258149</v>
      </c>
      <c r="F247" t="s">
        <v>35</v>
      </c>
      <c r="G247" t="s">
        <v>10</v>
      </c>
    </row>
    <row r="248" spans="1:7" x14ac:dyDescent="0.2">
      <c r="A248" t="s">
        <v>527</v>
      </c>
      <c r="B248" t="s">
        <v>528</v>
      </c>
      <c r="C248">
        <v>52879</v>
      </c>
      <c r="D248">
        <v>14254</v>
      </c>
      <c r="E248">
        <v>860472</v>
      </c>
      <c r="F248" t="s">
        <v>35</v>
      </c>
      <c r="G248" t="s">
        <v>10</v>
      </c>
    </row>
    <row r="249" spans="1:7" x14ac:dyDescent="0.2">
      <c r="A249" t="s">
        <v>529</v>
      </c>
      <c r="B249" t="s">
        <v>530</v>
      </c>
      <c r="C249">
        <v>52575</v>
      </c>
      <c r="D249">
        <v>111095</v>
      </c>
      <c r="E249">
        <v>1560904</v>
      </c>
      <c r="F249" t="s">
        <v>35</v>
      </c>
      <c r="G249" t="s">
        <v>10</v>
      </c>
    </row>
    <row r="250" spans="1:7" x14ac:dyDescent="0.2">
      <c r="A250" t="s">
        <v>531</v>
      </c>
      <c r="B250" t="s">
        <v>532</v>
      </c>
      <c r="C250">
        <v>52573</v>
      </c>
      <c r="D250">
        <v>100309</v>
      </c>
      <c r="E250">
        <v>694010</v>
      </c>
      <c r="F250" t="s">
        <v>35</v>
      </c>
      <c r="G250" t="s">
        <v>10</v>
      </c>
    </row>
    <row r="251" spans="1:7" x14ac:dyDescent="0.2">
      <c r="A251" t="s">
        <v>533</v>
      </c>
      <c r="B251" t="s">
        <v>534</v>
      </c>
      <c r="C251">
        <v>52255</v>
      </c>
      <c r="D251">
        <v>1948</v>
      </c>
      <c r="E251">
        <v>752608</v>
      </c>
      <c r="F251" t="s">
        <v>35</v>
      </c>
      <c r="G251" t="s">
        <v>10</v>
      </c>
    </row>
    <row r="252" spans="1:7" x14ac:dyDescent="0.2">
      <c r="A252" t="s">
        <v>535</v>
      </c>
      <c r="B252" t="s">
        <v>536</v>
      </c>
      <c r="C252">
        <v>51988</v>
      </c>
      <c r="D252">
        <v>15152</v>
      </c>
      <c r="E252">
        <v>181722</v>
      </c>
      <c r="F252" t="s">
        <v>35</v>
      </c>
      <c r="G252" t="s">
        <v>10</v>
      </c>
    </row>
    <row r="253" spans="1:7" x14ac:dyDescent="0.2">
      <c r="A253" t="s">
        <v>537</v>
      </c>
      <c r="B253" t="s">
        <v>538</v>
      </c>
      <c r="C253">
        <v>51570</v>
      </c>
      <c r="D253">
        <v>29627</v>
      </c>
      <c r="E253">
        <v>615942</v>
      </c>
      <c r="F253" t="s">
        <v>35</v>
      </c>
      <c r="G253" t="s">
        <v>10</v>
      </c>
    </row>
    <row r="254" spans="1:7" x14ac:dyDescent="0.2">
      <c r="A254" t="s">
        <v>539</v>
      </c>
      <c r="B254" t="s">
        <v>540</v>
      </c>
      <c r="C254">
        <v>51489</v>
      </c>
      <c r="D254">
        <v>592</v>
      </c>
      <c r="E254">
        <v>42446</v>
      </c>
      <c r="F254" t="s">
        <v>35</v>
      </c>
      <c r="G254" t="s">
        <v>10</v>
      </c>
    </row>
    <row r="255" spans="1:7" x14ac:dyDescent="0.2">
      <c r="A255" t="s">
        <v>541</v>
      </c>
      <c r="B255" t="s">
        <v>542</v>
      </c>
      <c r="C255">
        <v>51052</v>
      </c>
      <c r="D255">
        <v>71471</v>
      </c>
      <c r="E255">
        <v>1181048</v>
      </c>
      <c r="F255" t="s">
        <v>35</v>
      </c>
      <c r="G255" t="s">
        <v>10</v>
      </c>
    </row>
    <row r="256" spans="1:7" x14ac:dyDescent="0.2">
      <c r="A256" t="s">
        <v>543</v>
      </c>
      <c r="B256" t="s">
        <v>544</v>
      </c>
      <c r="C256">
        <v>50842</v>
      </c>
      <c r="D256">
        <v>151</v>
      </c>
      <c r="E256">
        <v>5967554</v>
      </c>
      <c r="F256" t="s">
        <v>35</v>
      </c>
      <c r="G256" t="s">
        <v>10</v>
      </c>
    </row>
    <row r="257" spans="1:7" x14ac:dyDescent="0.2">
      <c r="A257" t="s">
        <v>545</v>
      </c>
      <c r="B257" t="s">
        <v>546</v>
      </c>
      <c r="C257">
        <v>50326</v>
      </c>
      <c r="D257">
        <v>3009</v>
      </c>
      <c r="E257">
        <v>768939</v>
      </c>
      <c r="F257" t="s">
        <v>35</v>
      </c>
      <c r="G257" t="s">
        <v>10</v>
      </c>
    </row>
    <row r="258" spans="1:7" x14ac:dyDescent="0.2">
      <c r="A258" t="s">
        <v>547</v>
      </c>
      <c r="B258" t="s">
        <v>548</v>
      </c>
      <c r="C258">
        <v>50161</v>
      </c>
      <c r="D258">
        <v>37358</v>
      </c>
      <c r="E258">
        <v>923823</v>
      </c>
      <c r="F258" t="s">
        <v>35</v>
      </c>
      <c r="G258" t="s">
        <v>10</v>
      </c>
    </row>
    <row r="259" spans="1:7" x14ac:dyDescent="0.2">
      <c r="A259" t="s">
        <v>549</v>
      </c>
      <c r="B259" t="s">
        <v>550</v>
      </c>
      <c r="C259">
        <v>50067</v>
      </c>
      <c r="D259">
        <v>54231</v>
      </c>
      <c r="E259">
        <v>969689</v>
      </c>
      <c r="F259" t="s">
        <v>35</v>
      </c>
      <c r="G259" t="s">
        <v>10</v>
      </c>
    </row>
    <row r="260" spans="1:7" x14ac:dyDescent="0.2">
      <c r="A260" t="s">
        <v>551</v>
      </c>
      <c r="B260" t="s">
        <v>552</v>
      </c>
      <c r="C260">
        <v>49785</v>
      </c>
      <c r="D260">
        <v>8851</v>
      </c>
      <c r="E260">
        <v>16422901</v>
      </c>
      <c r="F260" t="s">
        <v>35</v>
      </c>
      <c r="G260" t="s">
        <v>10</v>
      </c>
    </row>
    <row r="261" spans="1:7" x14ac:dyDescent="0.2">
      <c r="A261" t="s">
        <v>553</v>
      </c>
      <c r="B261" t="s">
        <v>554</v>
      </c>
      <c r="C261">
        <v>49259</v>
      </c>
      <c r="D261">
        <v>15378</v>
      </c>
      <c r="E261">
        <v>1023024</v>
      </c>
      <c r="F261" t="s">
        <v>35</v>
      </c>
      <c r="G261" t="s">
        <v>10</v>
      </c>
    </row>
    <row r="262" spans="1:7" x14ac:dyDescent="0.2">
      <c r="A262" t="s">
        <v>555</v>
      </c>
      <c r="B262" t="s">
        <v>556</v>
      </c>
      <c r="C262">
        <v>48371</v>
      </c>
      <c r="D262">
        <v>2592</v>
      </c>
      <c r="E262">
        <v>890996</v>
      </c>
      <c r="F262" t="s">
        <v>35</v>
      </c>
      <c r="G262" t="s">
        <v>10</v>
      </c>
    </row>
    <row r="263" spans="1:7" x14ac:dyDescent="0.2">
      <c r="A263" t="s">
        <v>557</v>
      </c>
      <c r="B263" t="s">
        <v>558</v>
      </c>
      <c r="C263">
        <v>47879</v>
      </c>
      <c r="D263">
        <v>21056</v>
      </c>
      <c r="E263">
        <v>750587</v>
      </c>
      <c r="F263" t="s">
        <v>35</v>
      </c>
      <c r="G263" t="s">
        <v>10</v>
      </c>
    </row>
    <row r="264" spans="1:7" x14ac:dyDescent="0.2">
      <c r="A264" t="s">
        <v>559</v>
      </c>
      <c r="B264" t="s">
        <v>560</v>
      </c>
      <c r="C264">
        <v>47053</v>
      </c>
      <c r="D264">
        <v>3152</v>
      </c>
      <c r="E264">
        <v>690205</v>
      </c>
      <c r="F264" t="s">
        <v>35</v>
      </c>
      <c r="G264" t="s">
        <v>10</v>
      </c>
    </row>
    <row r="265" spans="1:7" x14ac:dyDescent="0.2">
      <c r="A265" t="s">
        <v>561</v>
      </c>
      <c r="B265" t="s">
        <v>562</v>
      </c>
      <c r="C265">
        <v>46420</v>
      </c>
      <c r="D265">
        <v>38908</v>
      </c>
      <c r="E265">
        <v>897455</v>
      </c>
      <c r="F265" t="s">
        <v>35</v>
      </c>
      <c r="G265" t="s">
        <v>10</v>
      </c>
    </row>
    <row r="266" spans="1:7" x14ac:dyDescent="0.2">
      <c r="A266" t="s">
        <v>563</v>
      </c>
      <c r="B266" t="s">
        <v>564</v>
      </c>
      <c r="C266">
        <v>46323</v>
      </c>
      <c r="D266">
        <v>9744</v>
      </c>
      <c r="E266">
        <v>497916</v>
      </c>
      <c r="F266" t="s">
        <v>35</v>
      </c>
      <c r="G266" t="s">
        <v>10</v>
      </c>
    </row>
    <row r="267" spans="1:7" x14ac:dyDescent="0.2">
      <c r="A267" t="s">
        <v>565</v>
      </c>
      <c r="B267" t="s">
        <v>566</v>
      </c>
      <c r="C267">
        <v>45946</v>
      </c>
      <c r="D267">
        <v>22435</v>
      </c>
      <c r="E267">
        <v>538321</v>
      </c>
      <c r="F267" t="s">
        <v>35</v>
      </c>
      <c r="G267" t="s">
        <v>10</v>
      </c>
    </row>
    <row r="268" spans="1:7" x14ac:dyDescent="0.2">
      <c r="A268" t="s">
        <v>567</v>
      </c>
      <c r="B268" t="s">
        <v>568</v>
      </c>
      <c r="C268">
        <v>45771</v>
      </c>
      <c r="D268">
        <v>60107</v>
      </c>
      <c r="E268">
        <v>642655</v>
      </c>
      <c r="F268" t="s">
        <v>35</v>
      </c>
      <c r="G268" t="s">
        <v>10</v>
      </c>
    </row>
    <row r="269" spans="1:7" x14ac:dyDescent="0.2">
      <c r="A269" t="s">
        <v>569</v>
      </c>
      <c r="B269" t="s">
        <v>570</v>
      </c>
      <c r="C269">
        <v>41428</v>
      </c>
      <c r="D269">
        <v>85354</v>
      </c>
      <c r="E269">
        <v>1202603</v>
      </c>
      <c r="F269" t="s">
        <v>35</v>
      </c>
      <c r="G269" t="s">
        <v>10</v>
      </c>
    </row>
    <row r="270" spans="1:7" x14ac:dyDescent="0.2">
      <c r="A270" t="s">
        <v>571</v>
      </c>
      <c r="B270" t="s">
        <v>572</v>
      </c>
      <c r="C270">
        <v>37797</v>
      </c>
      <c r="D270">
        <v>36179</v>
      </c>
      <c r="E270">
        <v>484003</v>
      </c>
      <c r="F270" t="s">
        <v>35</v>
      </c>
      <c r="G270" t="s">
        <v>10</v>
      </c>
    </row>
    <row r="271" spans="1:7" x14ac:dyDescent="0.2">
      <c r="A271" t="s">
        <v>573</v>
      </c>
      <c r="B271" t="s">
        <v>574</v>
      </c>
      <c r="C271">
        <v>37440</v>
      </c>
      <c r="D271">
        <v>296118</v>
      </c>
      <c r="E271">
        <v>2973052</v>
      </c>
      <c r="F271" t="s">
        <v>35</v>
      </c>
      <c r="G271" t="s">
        <v>10</v>
      </c>
    </row>
    <row r="272" spans="1:7" x14ac:dyDescent="0.2">
      <c r="A272" t="s">
        <v>575</v>
      </c>
      <c r="B272" t="s">
        <v>576</v>
      </c>
      <c r="C272">
        <v>36948</v>
      </c>
      <c r="D272">
        <v>152661</v>
      </c>
      <c r="E272">
        <v>1453179</v>
      </c>
      <c r="F272" t="s">
        <v>35</v>
      </c>
      <c r="G272" t="s">
        <v>10</v>
      </c>
    </row>
    <row r="273" spans="1:7" x14ac:dyDescent="0.2">
      <c r="A273" t="s">
        <v>577</v>
      </c>
      <c r="B273" t="s">
        <v>578</v>
      </c>
      <c r="C273">
        <v>36544</v>
      </c>
      <c r="D273">
        <v>28065</v>
      </c>
      <c r="E273">
        <v>739239</v>
      </c>
      <c r="F273" t="s">
        <v>35</v>
      </c>
      <c r="G273" t="s">
        <v>10</v>
      </c>
    </row>
    <row r="274" spans="1:7" x14ac:dyDescent="0.2">
      <c r="A274" t="s">
        <v>579</v>
      </c>
      <c r="B274" t="s">
        <v>580</v>
      </c>
      <c r="C274">
        <v>36229</v>
      </c>
      <c r="D274">
        <v>108848</v>
      </c>
      <c r="E274">
        <v>1337790</v>
      </c>
      <c r="F274" t="s">
        <v>35</v>
      </c>
      <c r="G274" t="s">
        <v>10</v>
      </c>
    </row>
    <row r="275" spans="1:7" x14ac:dyDescent="0.2">
      <c r="A275" t="s">
        <v>581</v>
      </c>
      <c r="B275" t="s">
        <v>582</v>
      </c>
      <c r="C275">
        <v>35464</v>
      </c>
      <c r="D275">
        <v>93418</v>
      </c>
      <c r="E275">
        <v>1082445</v>
      </c>
      <c r="F275" t="s">
        <v>35</v>
      </c>
      <c r="G275" t="s">
        <v>10</v>
      </c>
    </row>
    <row r="276" spans="1:7" x14ac:dyDescent="0.2">
      <c r="A276" t="s">
        <v>583</v>
      </c>
      <c r="B276" t="s">
        <v>584</v>
      </c>
      <c r="C276">
        <v>35104</v>
      </c>
      <c r="D276">
        <v>234004</v>
      </c>
      <c r="E276">
        <v>1659218</v>
      </c>
      <c r="F276" t="s">
        <v>35</v>
      </c>
      <c r="G276" t="s">
        <v>10</v>
      </c>
    </row>
    <row r="277" spans="1:7" x14ac:dyDescent="0.2">
      <c r="A277" t="s">
        <v>585</v>
      </c>
      <c r="B277" t="s">
        <v>586</v>
      </c>
      <c r="C277">
        <v>34721</v>
      </c>
      <c r="D277">
        <v>16781</v>
      </c>
      <c r="E277">
        <v>445008</v>
      </c>
      <c r="F277" t="s">
        <v>35</v>
      </c>
      <c r="G277" t="s">
        <v>10</v>
      </c>
    </row>
    <row r="278" spans="1:7" x14ac:dyDescent="0.2">
      <c r="A278" t="s">
        <v>587</v>
      </c>
      <c r="B278" t="s">
        <v>588</v>
      </c>
      <c r="C278">
        <v>34585</v>
      </c>
      <c r="D278">
        <v>52168</v>
      </c>
      <c r="E278">
        <v>923258</v>
      </c>
      <c r="F278" t="s">
        <v>35</v>
      </c>
      <c r="G278" t="s">
        <v>10</v>
      </c>
    </row>
    <row r="279" spans="1:7" x14ac:dyDescent="0.2">
      <c r="A279" t="s">
        <v>589</v>
      </c>
      <c r="B279" t="s">
        <v>590</v>
      </c>
      <c r="C279">
        <v>33686</v>
      </c>
      <c r="D279">
        <v>608839</v>
      </c>
      <c r="E279">
        <v>4668101</v>
      </c>
      <c r="F279" t="s">
        <v>35</v>
      </c>
      <c r="G279" t="s">
        <v>10</v>
      </c>
    </row>
    <row r="280" spans="1:7" x14ac:dyDescent="0.2">
      <c r="A280" t="s">
        <v>591</v>
      </c>
      <c r="B280" t="s">
        <v>592</v>
      </c>
      <c r="C280">
        <v>32695</v>
      </c>
      <c r="D280">
        <v>28587</v>
      </c>
      <c r="E280">
        <v>686247</v>
      </c>
      <c r="F280" t="s">
        <v>35</v>
      </c>
      <c r="G280" t="s">
        <v>10</v>
      </c>
    </row>
    <row r="281" spans="1:7" x14ac:dyDescent="0.2">
      <c r="A281" t="s">
        <v>593</v>
      </c>
      <c r="B281" t="s">
        <v>594</v>
      </c>
      <c r="C281">
        <v>32618</v>
      </c>
      <c r="D281">
        <v>22166</v>
      </c>
      <c r="E281">
        <v>741043</v>
      </c>
      <c r="F281" t="s">
        <v>35</v>
      </c>
      <c r="G281" t="s">
        <v>10</v>
      </c>
    </row>
    <row r="282" spans="1:7" x14ac:dyDescent="0.2">
      <c r="A282" t="s">
        <v>595</v>
      </c>
      <c r="B282" t="s">
        <v>596</v>
      </c>
      <c r="C282">
        <v>32060</v>
      </c>
      <c r="D282">
        <v>186170</v>
      </c>
      <c r="E282">
        <v>1284427</v>
      </c>
      <c r="F282" t="s">
        <v>35</v>
      </c>
      <c r="G282" t="s">
        <v>10</v>
      </c>
    </row>
    <row r="283" spans="1:7" x14ac:dyDescent="0.2">
      <c r="A283" t="s">
        <v>597</v>
      </c>
      <c r="B283" t="s">
        <v>598</v>
      </c>
      <c r="C283">
        <v>31670</v>
      </c>
      <c r="D283">
        <v>24762</v>
      </c>
      <c r="E283">
        <v>727746</v>
      </c>
      <c r="F283" t="s">
        <v>35</v>
      </c>
      <c r="G283" t="s">
        <v>10</v>
      </c>
    </row>
    <row r="284" spans="1:7" x14ac:dyDescent="0.2">
      <c r="A284" t="s">
        <v>599</v>
      </c>
      <c r="B284" t="s">
        <v>600</v>
      </c>
      <c r="C284">
        <v>31655</v>
      </c>
      <c r="D284">
        <v>103303</v>
      </c>
      <c r="E284">
        <v>1700937</v>
      </c>
      <c r="F284" t="s">
        <v>35</v>
      </c>
      <c r="G284" t="s">
        <v>10</v>
      </c>
    </row>
    <row r="285" spans="1:7" x14ac:dyDescent="0.2">
      <c r="A285" t="s">
        <v>601</v>
      </c>
      <c r="B285" t="s">
        <v>602</v>
      </c>
      <c r="C285">
        <v>31489</v>
      </c>
      <c r="D285">
        <v>29883</v>
      </c>
      <c r="E285">
        <v>599879</v>
      </c>
      <c r="F285" t="s">
        <v>35</v>
      </c>
      <c r="G285" t="s">
        <v>10</v>
      </c>
    </row>
    <row r="286" spans="1:7" x14ac:dyDescent="0.2">
      <c r="A286" t="s">
        <v>603</v>
      </c>
      <c r="B286" t="s">
        <v>604</v>
      </c>
      <c r="C286">
        <v>31159</v>
      </c>
      <c r="D286">
        <v>43823</v>
      </c>
      <c r="E286">
        <v>1183134</v>
      </c>
      <c r="F286" t="s">
        <v>35</v>
      </c>
      <c r="G286" t="s">
        <v>10</v>
      </c>
    </row>
    <row r="287" spans="1:7" x14ac:dyDescent="0.2">
      <c r="A287" t="s">
        <v>605</v>
      </c>
      <c r="B287" t="s">
        <v>606</v>
      </c>
      <c r="C287">
        <v>31153</v>
      </c>
      <c r="D287">
        <v>112676</v>
      </c>
      <c r="E287">
        <v>1073547</v>
      </c>
      <c r="F287" t="s">
        <v>35</v>
      </c>
      <c r="G287" t="s">
        <v>10</v>
      </c>
    </row>
    <row r="288" spans="1:7" x14ac:dyDescent="0.2">
      <c r="A288" t="s">
        <v>607</v>
      </c>
      <c r="B288" t="s">
        <v>608</v>
      </c>
      <c r="C288">
        <v>30909</v>
      </c>
      <c r="D288">
        <v>55613</v>
      </c>
      <c r="E288">
        <v>264752</v>
      </c>
      <c r="F288" t="s">
        <v>35</v>
      </c>
      <c r="G288" t="s">
        <v>10</v>
      </c>
    </row>
    <row r="289" spans="1:7" x14ac:dyDescent="0.2">
      <c r="A289" t="s">
        <v>609</v>
      </c>
      <c r="B289" t="s">
        <v>610</v>
      </c>
      <c r="C289">
        <v>30728</v>
      </c>
      <c r="D289">
        <v>56564</v>
      </c>
      <c r="E289">
        <v>2753289</v>
      </c>
      <c r="F289" t="s">
        <v>35</v>
      </c>
      <c r="G289" t="s">
        <v>10</v>
      </c>
    </row>
    <row r="290" spans="1:7" x14ac:dyDescent="0.2">
      <c r="A290" t="s">
        <v>611</v>
      </c>
      <c r="B290" t="s">
        <v>612</v>
      </c>
      <c r="C290">
        <v>30465</v>
      </c>
      <c r="D290">
        <v>856726</v>
      </c>
      <c r="E290">
        <v>4933447</v>
      </c>
      <c r="F290" t="s">
        <v>35</v>
      </c>
      <c r="G290" t="s">
        <v>10</v>
      </c>
    </row>
    <row r="291" spans="1:7" x14ac:dyDescent="0.2">
      <c r="A291" t="s">
        <v>613</v>
      </c>
      <c r="B291" t="s">
        <v>614</v>
      </c>
      <c r="C291">
        <v>30440</v>
      </c>
      <c r="D291">
        <v>84724</v>
      </c>
      <c r="E291">
        <v>1410702</v>
      </c>
      <c r="F291" t="s">
        <v>35</v>
      </c>
      <c r="G291" t="s">
        <v>10</v>
      </c>
    </row>
    <row r="292" spans="1:7" x14ac:dyDescent="0.2">
      <c r="A292" t="s">
        <v>615</v>
      </c>
      <c r="B292" t="s">
        <v>616</v>
      </c>
      <c r="C292">
        <v>29738</v>
      </c>
      <c r="D292">
        <v>21592</v>
      </c>
      <c r="E292">
        <v>702861</v>
      </c>
      <c r="F292" t="s">
        <v>35</v>
      </c>
      <c r="G292" t="s">
        <v>10</v>
      </c>
    </row>
    <row r="293" spans="1:7" x14ac:dyDescent="0.2">
      <c r="A293" t="s">
        <v>617</v>
      </c>
      <c r="B293" t="s">
        <v>618</v>
      </c>
      <c r="C293">
        <v>28715</v>
      </c>
      <c r="D293">
        <v>46433</v>
      </c>
      <c r="E293">
        <v>791972</v>
      </c>
      <c r="F293" t="s">
        <v>35</v>
      </c>
      <c r="G293" t="s">
        <v>10</v>
      </c>
    </row>
    <row r="294" spans="1:7" x14ac:dyDescent="0.2">
      <c r="A294" t="s">
        <v>619</v>
      </c>
      <c r="B294" t="s">
        <v>620</v>
      </c>
      <c r="C294">
        <v>28547</v>
      </c>
      <c r="D294">
        <v>37422</v>
      </c>
      <c r="E294">
        <v>590684</v>
      </c>
      <c r="F294" t="s">
        <v>35</v>
      </c>
      <c r="G294" t="s">
        <v>10</v>
      </c>
    </row>
    <row r="295" spans="1:7" x14ac:dyDescent="0.2">
      <c r="A295" t="s">
        <v>621</v>
      </c>
      <c r="B295" t="s">
        <v>622</v>
      </c>
      <c r="C295">
        <v>28394</v>
      </c>
      <c r="D295">
        <v>31348</v>
      </c>
      <c r="E295">
        <v>686387</v>
      </c>
      <c r="F295" t="s">
        <v>35</v>
      </c>
      <c r="G295" t="s">
        <v>10</v>
      </c>
    </row>
    <row r="296" spans="1:7" x14ac:dyDescent="0.2">
      <c r="A296" t="s">
        <v>623</v>
      </c>
      <c r="B296" t="s">
        <v>624</v>
      </c>
      <c r="C296">
        <v>27694</v>
      </c>
      <c r="D296">
        <v>70846</v>
      </c>
      <c r="E296">
        <v>851477</v>
      </c>
      <c r="F296" t="s">
        <v>35</v>
      </c>
      <c r="G296" t="s">
        <v>10</v>
      </c>
    </row>
    <row r="297" spans="1:7" x14ac:dyDescent="0.2">
      <c r="A297" t="s">
        <v>625</v>
      </c>
      <c r="B297" t="s">
        <v>626</v>
      </c>
      <c r="C297">
        <v>26999</v>
      </c>
      <c r="D297">
        <v>45006</v>
      </c>
      <c r="E297">
        <v>824192</v>
      </c>
      <c r="F297" t="s">
        <v>35</v>
      </c>
      <c r="G297" t="s">
        <v>10</v>
      </c>
    </row>
    <row r="298" spans="1:7" x14ac:dyDescent="0.2">
      <c r="A298" t="s">
        <v>627</v>
      </c>
      <c r="B298" t="s">
        <v>628</v>
      </c>
      <c r="C298">
        <v>26796</v>
      </c>
      <c r="D298">
        <v>64894</v>
      </c>
      <c r="E298">
        <v>829432</v>
      </c>
      <c r="F298" t="s">
        <v>35</v>
      </c>
      <c r="G298" t="s">
        <v>10</v>
      </c>
    </row>
    <row r="299" spans="1:7" x14ac:dyDescent="0.2">
      <c r="A299" t="s">
        <v>629</v>
      </c>
      <c r="B299" t="s">
        <v>630</v>
      </c>
      <c r="C299">
        <v>25919</v>
      </c>
      <c r="D299">
        <v>526612</v>
      </c>
      <c r="E299">
        <v>2857422</v>
      </c>
      <c r="F299" t="s">
        <v>35</v>
      </c>
      <c r="G299" t="s">
        <v>10</v>
      </c>
    </row>
    <row r="300" spans="1:7" x14ac:dyDescent="0.2">
      <c r="A300" t="s">
        <v>631</v>
      </c>
      <c r="B300" t="s">
        <v>632</v>
      </c>
      <c r="C300">
        <v>25884</v>
      </c>
      <c r="D300">
        <v>46484</v>
      </c>
      <c r="E300">
        <v>598732</v>
      </c>
      <c r="F300" t="s">
        <v>35</v>
      </c>
      <c r="G300" t="s">
        <v>10</v>
      </c>
    </row>
    <row r="301" spans="1:7" x14ac:dyDescent="0.2">
      <c r="A301" t="s">
        <v>633</v>
      </c>
      <c r="B301" t="s">
        <v>634</v>
      </c>
      <c r="C301">
        <v>24799</v>
      </c>
      <c r="D301">
        <v>41048</v>
      </c>
      <c r="E301">
        <v>507649</v>
      </c>
      <c r="F301" t="s">
        <v>35</v>
      </c>
      <c r="G301" t="s">
        <v>10</v>
      </c>
    </row>
    <row r="302" spans="1:7" x14ac:dyDescent="0.2">
      <c r="A302" t="s">
        <v>635</v>
      </c>
      <c r="B302" t="s">
        <v>636</v>
      </c>
      <c r="C302">
        <v>24163</v>
      </c>
      <c r="D302">
        <v>80469</v>
      </c>
      <c r="E302">
        <v>800497</v>
      </c>
      <c r="F302" t="s">
        <v>35</v>
      </c>
      <c r="G302" t="s">
        <v>10</v>
      </c>
    </row>
    <row r="303" spans="1:7" x14ac:dyDescent="0.2">
      <c r="A303" t="s">
        <v>637</v>
      </c>
      <c r="B303" t="s">
        <v>638</v>
      </c>
      <c r="C303">
        <v>23596</v>
      </c>
      <c r="D303">
        <v>99106</v>
      </c>
      <c r="E303">
        <v>933462</v>
      </c>
      <c r="F303" t="s">
        <v>35</v>
      </c>
      <c r="G303" t="s">
        <v>10</v>
      </c>
    </row>
    <row r="304" spans="1:7" x14ac:dyDescent="0.2">
      <c r="A304" t="s">
        <v>639</v>
      </c>
      <c r="B304" t="s">
        <v>640</v>
      </c>
      <c r="C304">
        <v>23593</v>
      </c>
      <c r="D304">
        <v>81752</v>
      </c>
      <c r="E304">
        <v>850726</v>
      </c>
      <c r="F304" t="s">
        <v>35</v>
      </c>
      <c r="G304" t="s">
        <v>10</v>
      </c>
    </row>
    <row r="305" spans="1:7" x14ac:dyDescent="0.2">
      <c r="A305" t="s">
        <v>641</v>
      </c>
      <c r="B305" t="s">
        <v>642</v>
      </c>
      <c r="C305">
        <v>23216</v>
      </c>
      <c r="D305">
        <v>77029</v>
      </c>
      <c r="E305">
        <v>754813</v>
      </c>
      <c r="F305" t="s">
        <v>35</v>
      </c>
      <c r="G305" t="s">
        <v>10</v>
      </c>
    </row>
    <row r="306" spans="1:7" x14ac:dyDescent="0.2">
      <c r="A306" t="s">
        <v>643</v>
      </c>
      <c r="B306" t="s">
        <v>644</v>
      </c>
      <c r="C306">
        <v>21590</v>
      </c>
      <c r="D306">
        <v>869850</v>
      </c>
      <c r="E306">
        <v>3939101</v>
      </c>
      <c r="F306" t="s">
        <v>35</v>
      </c>
      <c r="G306" t="s">
        <v>10</v>
      </c>
    </row>
    <row r="307" spans="1:7" x14ac:dyDescent="0.2">
      <c r="A307" t="s">
        <v>645</v>
      </c>
      <c r="B307" t="s">
        <v>646</v>
      </c>
      <c r="C307">
        <v>21352</v>
      </c>
      <c r="D307">
        <v>47825</v>
      </c>
      <c r="E307">
        <v>614068</v>
      </c>
      <c r="F307" t="s">
        <v>35</v>
      </c>
      <c r="G307" t="s">
        <v>10</v>
      </c>
    </row>
    <row r="308" spans="1:7" x14ac:dyDescent="0.2">
      <c r="A308" t="s">
        <v>647</v>
      </c>
      <c r="B308" t="s">
        <v>648</v>
      </c>
      <c r="C308">
        <v>21324</v>
      </c>
      <c r="D308">
        <v>36693</v>
      </c>
      <c r="E308">
        <v>576051</v>
      </c>
      <c r="F308" t="s">
        <v>35</v>
      </c>
      <c r="G308" t="s">
        <v>10</v>
      </c>
    </row>
    <row r="309" spans="1:7" x14ac:dyDescent="0.2">
      <c r="A309" t="s">
        <v>649</v>
      </c>
      <c r="B309" t="s">
        <v>650</v>
      </c>
      <c r="C309">
        <v>21288</v>
      </c>
      <c r="D309">
        <v>156978</v>
      </c>
      <c r="E309">
        <v>1075601</v>
      </c>
      <c r="F309" t="s">
        <v>35</v>
      </c>
      <c r="G309" t="s">
        <v>10</v>
      </c>
    </row>
    <row r="310" spans="1:7" x14ac:dyDescent="0.2">
      <c r="A310" t="s">
        <v>651</v>
      </c>
      <c r="B310" t="s">
        <v>652</v>
      </c>
      <c r="C310">
        <v>20405</v>
      </c>
      <c r="D310">
        <v>126431</v>
      </c>
      <c r="E310">
        <v>843838</v>
      </c>
      <c r="F310" t="s">
        <v>35</v>
      </c>
      <c r="G310" t="s">
        <v>10</v>
      </c>
    </row>
    <row r="311" spans="1:7" x14ac:dyDescent="0.2">
      <c r="A311" t="s">
        <v>653</v>
      </c>
      <c r="B311" t="s">
        <v>654</v>
      </c>
      <c r="C311">
        <v>20312</v>
      </c>
      <c r="D311">
        <v>91132</v>
      </c>
      <c r="E311">
        <v>790714</v>
      </c>
      <c r="F311" t="s">
        <v>35</v>
      </c>
      <c r="G311" t="s">
        <v>10</v>
      </c>
    </row>
    <row r="312" spans="1:7" x14ac:dyDescent="0.2">
      <c r="A312" t="s">
        <v>655</v>
      </c>
      <c r="B312" t="s">
        <v>656</v>
      </c>
      <c r="C312">
        <v>20208</v>
      </c>
      <c r="D312">
        <v>89591</v>
      </c>
      <c r="E312">
        <v>764000</v>
      </c>
      <c r="F312" t="s">
        <v>35</v>
      </c>
      <c r="G312" t="s">
        <v>10</v>
      </c>
    </row>
    <row r="313" spans="1:7" x14ac:dyDescent="0.2">
      <c r="A313" t="s">
        <v>657</v>
      </c>
      <c r="B313" t="s">
        <v>658</v>
      </c>
      <c r="C313">
        <v>19895</v>
      </c>
      <c r="D313">
        <v>52279</v>
      </c>
      <c r="E313">
        <v>356881</v>
      </c>
      <c r="F313" t="s">
        <v>35</v>
      </c>
      <c r="G313" t="s">
        <v>10</v>
      </c>
    </row>
    <row r="314" spans="1:7" x14ac:dyDescent="0.2">
      <c r="A314" t="s">
        <v>659</v>
      </c>
      <c r="B314" t="s">
        <v>660</v>
      </c>
      <c r="C314">
        <v>19335</v>
      </c>
      <c r="D314">
        <v>186677</v>
      </c>
      <c r="E314">
        <v>2898211</v>
      </c>
      <c r="F314" t="s">
        <v>35</v>
      </c>
      <c r="G314" t="s">
        <v>10</v>
      </c>
    </row>
    <row r="315" spans="1:7" x14ac:dyDescent="0.2">
      <c r="A315" t="s">
        <v>661</v>
      </c>
      <c r="B315" t="s">
        <v>662</v>
      </c>
      <c r="C315">
        <v>19232</v>
      </c>
      <c r="D315">
        <v>42808</v>
      </c>
      <c r="E315">
        <v>617980</v>
      </c>
      <c r="F315" t="s">
        <v>35</v>
      </c>
      <c r="G315" t="s">
        <v>10</v>
      </c>
    </row>
    <row r="316" spans="1:7" x14ac:dyDescent="0.2">
      <c r="A316" t="s">
        <v>663</v>
      </c>
      <c r="B316" t="s">
        <v>664</v>
      </c>
      <c r="C316">
        <v>19022</v>
      </c>
      <c r="D316">
        <v>897970</v>
      </c>
      <c r="E316">
        <v>4463682</v>
      </c>
      <c r="F316" t="s">
        <v>35</v>
      </c>
      <c r="G316" t="s">
        <v>10</v>
      </c>
    </row>
    <row r="317" spans="1:7" x14ac:dyDescent="0.2">
      <c r="A317" t="s">
        <v>665</v>
      </c>
      <c r="B317" t="s">
        <v>666</v>
      </c>
      <c r="C317">
        <v>17485</v>
      </c>
      <c r="D317">
        <v>40771</v>
      </c>
      <c r="E317">
        <v>596371</v>
      </c>
      <c r="F317" t="s">
        <v>35</v>
      </c>
      <c r="G317" t="s">
        <v>10</v>
      </c>
    </row>
    <row r="318" spans="1:7" x14ac:dyDescent="0.2">
      <c r="A318" t="s">
        <v>667</v>
      </c>
      <c r="B318" t="s">
        <v>668</v>
      </c>
      <c r="C318">
        <v>17441</v>
      </c>
      <c r="D318">
        <v>124916</v>
      </c>
      <c r="E318">
        <v>841899</v>
      </c>
      <c r="F318" t="s">
        <v>35</v>
      </c>
      <c r="G318" t="s">
        <v>10</v>
      </c>
    </row>
    <row r="319" spans="1:7" x14ac:dyDescent="0.2">
      <c r="A319" t="s">
        <v>669</v>
      </c>
      <c r="B319" t="s">
        <v>670</v>
      </c>
      <c r="C319">
        <v>16889</v>
      </c>
      <c r="D319">
        <v>584089</v>
      </c>
      <c r="E319">
        <v>2994644</v>
      </c>
      <c r="F319" t="s">
        <v>35</v>
      </c>
      <c r="G319" t="s">
        <v>10</v>
      </c>
    </row>
    <row r="320" spans="1:7" x14ac:dyDescent="0.2">
      <c r="A320" t="s">
        <v>671</v>
      </c>
      <c r="B320" t="s">
        <v>672</v>
      </c>
      <c r="C320">
        <v>16415</v>
      </c>
      <c r="D320">
        <v>59051</v>
      </c>
      <c r="E320">
        <v>502809</v>
      </c>
      <c r="F320" t="s">
        <v>35</v>
      </c>
      <c r="G320" t="s">
        <v>10</v>
      </c>
    </row>
    <row r="321" spans="1:7" x14ac:dyDescent="0.2">
      <c r="A321" t="s">
        <v>673</v>
      </c>
      <c r="B321" t="s">
        <v>674</v>
      </c>
      <c r="C321">
        <v>16246</v>
      </c>
      <c r="D321">
        <v>180386</v>
      </c>
      <c r="E321">
        <v>1212409</v>
      </c>
      <c r="F321" t="s">
        <v>35</v>
      </c>
      <c r="G321" t="s">
        <v>10</v>
      </c>
    </row>
    <row r="322" spans="1:7" x14ac:dyDescent="0.2">
      <c r="A322" t="s">
        <v>675</v>
      </c>
      <c r="B322" t="s">
        <v>676</v>
      </c>
      <c r="C322">
        <v>16220</v>
      </c>
      <c r="D322">
        <v>77265</v>
      </c>
      <c r="E322">
        <v>641082</v>
      </c>
      <c r="F322" t="s">
        <v>35</v>
      </c>
      <c r="G322" t="s">
        <v>10</v>
      </c>
    </row>
    <row r="323" spans="1:7" x14ac:dyDescent="0.2">
      <c r="A323" t="s">
        <v>677</v>
      </c>
      <c r="B323" t="s">
        <v>678</v>
      </c>
      <c r="C323">
        <v>15722</v>
      </c>
      <c r="D323">
        <v>98759</v>
      </c>
      <c r="E323">
        <v>737997</v>
      </c>
      <c r="F323" t="s">
        <v>35</v>
      </c>
      <c r="G323" t="s">
        <v>10</v>
      </c>
    </row>
    <row r="324" spans="1:7" x14ac:dyDescent="0.2">
      <c r="A324" t="s">
        <v>679</v>
      </c>
      <c r="B324" t="s">
        <v>680</v>
      </c>
      <c r="C324">
        <v>15474</v>
      </c>
      <c r="D324">
        <v>129546</v>
      </c>
      <c r="E324">
        <v>968530</v>
      </c>
      <c r="F324" t="s">
        <v>35</v>
      </c>
      <c r="G324" t="s">
        <v>10</v>
      </c>
    </row>
    <row r="325" spans="1:7" x14ac:dyDescent="0.2">
      <c r="A325" t="s">
        <v>681</v>
      </c>
      <c r="B325" t="s">
        <v>682</v>
      </c>
      <c r="C325">
        <v>15446</v>
      </c>
      <c r="D325">
        <v>54383</v>
      </c>
      <c r="E325">
        <v>435600</v>
      </c>
      <c r="F325" t="s">
        <v>35</v>
      </c>
      <c r="G325" t="s">
        <v>10</v>
      </c>
    </row>
    <row r="326" spans="1:7" x14ac:dyDescent="0.2">
      <c r="A326" t="s">
        <v>683</v>
      </c>
      <c r="B326" t="s">
        <v>684</v>
      </c>
      <c r="C326">
        <v>15216</v>
      </c>
      <c r="D326">
        <v>44182</v>
      </c>
      <c r="E326">
        <v>479151</v>
      </c>
      <c r="F326" t="s">
        <v>35</v>
      </c>
      <c r="G326" t="s">
        <v>10</v>
      </c>
    </row>
    <row r="327" spans="1:7" x14ac:dyDescent="0.2">
      <c r="A327" t="s">
        <v>685</v>
      </c>
      <c r="B327" t="s">
        <v>686</v>
      </c>
      <c r="C327">
        <v>15143</v>
      </c>
      <c r="D327">
        <v>54935</v>
      </c>
      <c r="E327">
        <v>580272</v>
      </c>
      <c r="F327" t="s">
        <v>35</v>
      </c>
      <c r="G327" t="s">
        <v>10</v>
      </c>
    </row>
    <row r="328" spans="1:7" x14ac:dyDescent="0.2">
      <c r="A328" t="s">
        <v>687</v>
      </c>
      <c r="B328" t="s">
        <v>688</v>
      </c>
      <c r="C328">
        <v>14935</v>
      </c>
      <c r="D328">
        <v>103883</v>
      </c>
      <c r="E328">
        <v>854005</v>
      </c>
      <c r="F328" t="s">
        <v>35</v>
      </c>
      <c r="G328" t="s">
        <v>10</v>
      </c>
    </row>
    <row r="329" spans="1:7" x14ac:dyDescent="0.2">
      <c r="A329" t="s">
        <v>689</v>
      </c>
      <c r="B329" t="s">
        <v>690</v>
      </c>
      <c r="C329">
        <v>14711</v>
      </c>
      <c r="D329">
        <v>48241</v>
      </c>
      <c r="E329">
        <v>558223</v>
      </c>
      <c r="F329" t="s">
        <v>35</v>
      </c>
      <c r="G329" t="s">
        <v>10</v>
      </c>
    </row>
    <row r="330" spans="1:7" x14ac:dyDescent="0.2">
      <c r="A330" t="s">
        <v>691</v>
      </c>
      <c r="B330" t="s">
        <v>692</v>
      </c>
      <c r="C330">
        <v>14624</v>
      </c>
      <c r="D330">
        <v>56078</v>
      </c>
      <c r="E330">
        <v>507548</v>
      </c>
      <c r="F330" t="s">
        <v>35</v>
      </c>
      <c r="G330" t="s">
        <v>10</v>
      </c>
    </row>
    <row r="331" spans="1:7" x14ac:dyDescent="0.2">
      <c r="A331" t="s">
        <v>693</v>
      </c>
      <c r="B331" t="s">
        <v>694</v>
      </c>
      <c r="C331">
        <v>14399</v>
      </c>
      <c r="D331">
        <v>43655</v>
      </c>
      <c r="E331">
        <v>421507</v>
      </c>
      <c r="F331" t="s">
        <v>35</v>
      </c>
      <c r="G331" t="s">
        <v>10</v>
      </c>
    </row>
    <row r="332" spans="1:7" x14ac:dyDescent="0.2">
      <c r="A332" t="s">
        <v>695</v>
      </c>
      <c r="B332" t="s">
        <v>696</v>
      </c>
      <c r="C332">
        <v>14162</v>
      </c>
      <c r="D332">
        <v>76878</v>
      </c>
      <c r="E332">
        <v>675538</v>
      </c>
      <c r="F332" t="s">
        <v>35</v>
      </c>
      <c r="G332" t="s">
        <v>10</v>
      </c>
    </row>
    <row r="333" spans="1:7" x14ac:dyDescent="0.2">
      <c r="A333" t="s">
        <v>697</v>
      </c>
      <c r="B333" t="s">
        <v>698</v>
      </c>
      <c r="C333">
        <v>14014</v>
      </c>
      <c r="D333">
        <v>121929</v>
      </c>
      <c r="E333">
        <v>840705</v>
      </c>
      <c r="F333" t="s">
        <v>35</v>
      </c>
      <c r="G333" t="s">
        <v>10</v>
      </c>
    </row>
    <row r="334" spans="1:7" x14ac:dyDescent="0.2">
      <c r="A334" t="s">
        <v>699</v>
      </c>
      <c r="B334" t="s">
        <v>700</v>
      </c>
      <c r="C334">
        <v>13197</v>
      </c>
      <c r="D334">
        <v>40751</v>
      </c>
      <c r="E334">
        <v>280891</v>
      </c>
      <c r="F334" t="s">
        <v>35</v>
      </c>
      <c r="G334" t="s">
        <v>10</v>
      </c>
    </row>
    <row r="335" spans="1:7" x14ac:dyDescent="0.2">
      <c r="A335" t="s">
        <v>701</v>
      </c>
      <c r="B335" t="s">
        <v>702</v>
      </c>
      <c r="C335">
        <v>13190</v>
      </c>
      <c r="D335">
        <v>54387</v>
      </c>
      <c r="E335">
        <v>435430</v>
      </c>
      <c r="F335" t="s">
        <v>35</v>
      </c>
      <c r="G335" t="s">
        <v>10</v>
      </c>
    </row>
    <row r="336" spans="1:7" x14ac:dyDescent="0.2">
      <c r="A336" t="s">
        <v>703</v>
      </c>
      <c r="B336" t="s">
        <v>704</v>
      </c>
      <c r="C336">
        <v>12659</v>
      </c>
      <c r="D336">
        <v>48443</v>
      </c>
      <c r="E336">
        <v>586652</v>
      </c>
      <c r="F336" t="s">
        <v>35</v>
      </c>
      <c r="G336" t="s">
        <v>10</v>
      </c>
    </row>
    <row r="337" spans="1:7" x14ac:dyDescent="0.2">
      <c r="A337" t="s">
        <v>705</v>
      </c>
      <c r="B337" t="s">
        <v>706</v>
      </c>
      <c r="C337">
        <v>12560</v>
      </c>
      <c r="D337">
        <v>87411</v>
      </c>
      <c r="E337">
        <v>615337</v>
      </c>
      <c r="F337" t="s">
        <v>35</v>
      </c>
      <c r="G337" t="s">
        <v>10</v>
      </c>
    </row>
    <row r="338" spans="1:7" x14ac:dyDescent="0.2">
      <c r="A338" t="s">
        <v>707</v>
      </c>
      <c r="B338" t="s">
        <v>708</v>
      </c>
      <c r="C338">
        <v>12035</v>
      </c>
      <c r="D338">
        <v>186447</v>
      </c>
      <c r="E338">
        <v>1094218</v>
      </c>
      <c r="F338" t="s">
        <v>35</v>
      </c>
      <c r="G338" t="s">
        <v>10</v>
      </c>
    </row>
    <row r="339" spans="1:7" x14ac:dyDescent="0.2">
      <c r="A339" t="s">
        <v>709</v>
      </c>
      <c r="B339" t="s">
        <v>710</v>
      </c>
      <c r="C339">
        <v>11714</v>
      </c>
      <c r="D339">
        <v>66965</v>
      </c>
      <c r="E339">
        <v>510216</v>
      </c>
      <c r="F339" t="s">
        <v>35</v>
      </c>
      <c r="G339" t="s">
        <v>10</v>
      </c>
    </row>
    <row r="340" spans="1:7" x14ac:dyDescent="0.2">
      <c r="A340" t="s">
        <v>711</v>
      </c>
      <c r="B340" t="s">
        <v>712</v>
      </c>
      <c r="C340">
        <v>11520</v>
      </c>
      <c r="D340">
        <v>180161</v>
      </c>
      <c r="E340">
        <v>1142282</v>
      </c>
      <c r="F340" t="s">
        <v>35</v>
      </c>
      <c r="G340" t="s">
        <v>10</v>
      </c>
    </row>
    <row r="341" spans="1:7" x14ac:dyDescent="0.2">
      <c r="A341" t="s">
        <v>713</v>
      </c>
      <c r="B341" t="s">
        <v>714</v>
      </c>
      <c r="C341">
        <v>11271</v>
      </c>
      <c r="D341">
        <v>89506</v>
      </c>
      <c r="E341">
        <v>701310</v>
      </c>
      <c r="F341" t="s">
        <v>35</v>
      </c>
      <c r="G341" t="s">
        <v>10</v>
      </c>
    </row>
    <row r="342" spans="1:7" x14ac:dyDescent="0.2">
      <c r="A342" t="s">
        <v>715</v>
      </c>
      <c r="B342" t="s">
        <v>716</v>
      </c>
      <c r="C342">
        <v>10947</v>
      </c>
      <c r="D342">
        <v>66871</v>
      </c>
      <c r="E342">
        <v>573144</v>
      </c>
      <c r="F342" t="s">
        <v>35</v>
      </c>
      <c r="G342" t="s">
        <v>10</v>
      </c>
    </row>
    <row r="343" spans="1:7" x14ac:dyDescent="0.2">
      <c r="A343" t="s">
        <v>717</v>
      </c>
      <c r="B343" t="s">
        <v>718</v>
      </c>
      <c r="C343">
        <v>10827</v>
      </c>
      <c r="D343">
        <v>99414</v>
      </c>
      <c r="E343">
        <v>716067</v>
      </c>
      <c r="F343" t="s">
        <v>35</v>
      </c>
      <c r="G343" t="s">
        <v>10</v>
      </c>
    </row>
    <row r="344" spans="1:7" x14ac:dyDescent="0.2">
      <c r="A344" t="s">
        <v>719</v>
      </c>
      <c r="B344" t="s">
        <v>720</v>
      </c>
      <c r="C344">
        <v>10826</v>
      </c>
      <c r="D344">
        <v>656083</v>
      </c>
      <c r="E344">
        <v>3361037</v>
      </c>
      <c r="F344" t="s">
        <v>35</v>
      </c>
      <c r="G344" t="s">
        <v>10</v>
      </c>
    </row>
    <row r="345" spans="1:7" x14ac:dyDescent="0.2">
      <c r="A345" t="s">
        <v>721</v>
      </c>
      <c r="B345" t="s">
        <v>722</v>
      </c>
      <c r="C345">
        <v>10377</v>
      </c>
      <c r="D345">
        <v>54981</v>
      </c>
      <c r="E345">
        <v>452216</v>
      </c>
      <c r="F345" t="s">
        <v>35</v>
      </c>
      <c r="G345" t="s">
        <v>10</v>
      </c>
    </row>
    <row r="346" spans="1:7" x14ac:dyDescent="0.2">
      <c r="A346" t="s">
        <v>723</v>
      </c>
      <c r="B346" t="s">
        <v>724</v>
      </c>
      <c r="C346">
        <v>10369</v>
      </c>
      <c r="D346">
        <v>476680</v>
      </c>
      <c r="E346">
        <v>2485710</v>
      </c>
      <c r="F346" t="s">
        <v>35</v>
      </c>
      <c r="G346" t="s">
        <v>10</v>
      </c>
    </row>
    <row r="347" spans="1:7" x14ac:dyDescent="0.2">
      <c r="A347" t="s">
        <v>725</v>
      </c>
      <c r="B347" t="s">
        <v>726</v>
      </c>
      <c r="C347">
        <v>10358</v>
      </c>
      <c r="D347">
        <v>1251885</v>
      </c>
      <c r="E347">
        <v>6237414</v>
      </c>
      <c r="F347" t="s">
        <v>35</v>
      </c>
      <c r="G347" t="s">
        <v>10</v>
      </c>
    </row>
    <row r="348" spans="1:7" x14ac:dyDescent="0.2">
      <c r="A348" t="s">
        <v>727</v>
      </c>
      <c r="B348" t="s">
        <v>728</v>
      </c>
      <c r="C348">
        <v>10317</v>
      </c>
      <c r="D348">
        <v>40365</v>
      </c>
      <c r="E348">
        <v>350328</v>
      </c>
      <c r="F348" t="s">
        <v>35</v>
      </c>
      <c r="G348" t="s">
        <v>10</v>
      </c>
    </row>
    <row r="349" spans="1:7" x14ac:dyDescent="0.2">
      <c r="A349" t="s">
        <v>729</v>
      </c>
      <c r="B349" t="s">
        <v>730</v>
      </c>
      <c r="C349">
        <v>10093</v>
      </c>
      <c r="D349">
        <v>83809</v>
      </c>
      <c r="E349">
        <v>608345</v>
      </c>
      <c r="F349" t="s">
        <v>35</v>
      </c>
      <c r="G349" t="s">
        <v>10</v>
      </c>
    </row>
    <row r="350" spans="1:7" x14ac:dyDescent="0.2">
      <c r="A350" t="s">
        <v>731</v>
      </c>
      <c r="B350" t="s">
        <v>732</v>
      </c>
      <c r="C350">
        <v>9307</v>
      </c>
      <c r="D350">
        <v>65624</v>
      </c>
      <c r="E350">
        <v>471431</v>
      </c>
      <c r="F350" t="s">
        <v>35</v>
      </c>
      <c r="G350" t="s">
        <v>10</v>
      </c>
    </row>
    <row r="351" spans="1:7" x14ac:dyDescent="0.2">
      <c r="A351" t="s">
        <v>733</v>
      </c>
      <c r="B351" t="s">
        <v>734</v>
      </c>
      <c r="C351">
        <v>9246</v>
      </c>
      <c r="D351">
        <v>73863</v>
      </c>
      <c r="E351">
        <v>536474</v>
      </c>
      <c r="F351" t="s">
        <v>35</v>
      </c>
      <c r="G351" t="s">
        <v>10</v>
      </c>
    </row>
    <row r="352" spans="1:7" x14ac:dyDescent="0.2">
      <c r="A352" t="s">
        <v>735</v>
      </c>
      <c r="B352" t="s">
        <v>736</v>
      </c>
      <c r="C352">
        <v>9233</v>
      </c>
      <c r="D352">
        <v>44539</v>
      </c>
      <c r="E352">
        <v>341093</v>
      </c>
      <c r="F352" t="s">
        <v>35</v>
      </c>
      <c r="G352" t="s">
        <v>10</v>
      </c>
    </row>
    <row r="353" spans="1:7" x14ac:dyDescent="0.2">
      <c r="A353" t="s">
        <v>737</v>
      </c>
      <c r="B353" t="s">
        <v>738</v>
      </c>
      <c r="C353">
        <v>8945</v>
      </c>
      <c r="D353">
        <v>90681</v>
      </c>
      <c r="E353">
        <v>587125</v>
      </c>
      <c r="F353" t="s">
        <v>35</v>
      </c>
      <c r="G353" t="s">
        <v>10</v>
      </c>
    </row>
    <row r="354" spans="1:7" x14ac:dyDescent="0.2">
      <c r="A354" t="s">
        <v>739</v>
      </c>
      <c r="B354" t="s">
        <v>740</v>
      </c>
      <c r="C354">
        <v>8492</v>
      </c>
      <c r="D354">
        <v>50621</v>
      </c>
      <c r="E354">
        <v>435466</v>
      </c>
      <c r="F354" t="s">
        <v>35</v>
      </c>
      <c r="G354" t="s">
        <v>10</v>
      </c>
    </row>
    <row r="355" spans="1:7" x14ac:dyDescent="0.2">
      <c r="A355" t="s">
        <v>741</v>
      </c>
      <c r="B355" t="s">
        <v>742</v>
      </c>
      <c r="C355">
        <v>8169</v>
      </c>
      <c r="D355">
        <v>74280</v>
      </c>
      <c r="E355">
        <v>548311</v>
      </c>
      <c r="F355" t="s">
        <v>35</v>
      </c>
      <c r="G355" t="s">
        <v>10</v>
      </c>
    </row>
    <row r="356" spans="1:7" x14ac:dyDescent="0.2">
      <c r="A356" t="s">
        <v>743</v>
      </c>
      <c r="B356" t="s">
        <v>744</v>
      </c>
      <c r="C356">
        <v>7915</v>
      </c>
      <c r="D356">
        <v>51188</v>
      </c>
      <c r="E356">
        <v>386315</v>
      </c>
      <c r="F356" t="s">
        <v>35</v>
      </c>
      <c r="G356" t="s">
        <v>10</v>
      </c>
    </row>
    <row r="357" spans="1:7" x14ac:dyDescent="0.2">
      <c r="A357" t="s">
        <v>745</v>
      </c>
      <c r="B357" t="s">
        <v>746</v>
      </c>
      <c r="C357">
        <v>7768</v>
      </c>
      <c r="D357">
        <v>65326</v>
      </c>
      <c r="E357">
        <v>473773</v>
      </c>
      <c r="F357" t="s">
        <v>35</v>
      </c>
      <c r="G357" t="s">
        <v>10</v>
      </c>
    </row>
    <row r="358" spans="1:7" x14ac:dyDescent="0.2">
      <c r="A358" t="s">
        <v>747</v>
      </c>
      <c r="B358" t="s">
        <v>748</v>
      </c>
      <c r="C358">
        <v>7733</v>
      </c>
      <c r="D358">
        <v>104651</v>
      </c>
      <c r="E358">
        <v>850483</v>
      </c>
      <c r="F358" t="s">
        <v>35</v>
      </c>
      <c r="G358" t="s">
        <v>10</v>
      </c>
    </row>
    <row r="359" spans="1:7" x14ac:dyDescent="0.2">
      <c r="A359" t="s">
        <v>749</v>
      </c>
      <c r="B359" t="s">
        <v>750</v>
      </c>
      <c r="C359">
        <v>7723</v>
      </c>
      <c r="D359">
        <v>168564</v>
      </c>
      <c r="E359">
        <v>1419522</v>
      </c>
      <c r="F359" t="s">
        <v>35</v>
      </c>
      <c r="G359" t="s">
        <v>10</v>
      </c>
    </row>
    <row r="360" spans="1:7" x14ac:dyDescent="0.2">
      <c r="A360" t="s">
        <v>751</v>
      </c>
      <c r="B360" t="s">
        <v>752</v>
      </c>
      <c r="C360">
        <v>7611</v>
      </c>
      <c r="D360">
        <v>86273</v>
      </c>
      <c r="E360">
        <v>1886130</v>
      </c>
      <c r="F360" t="s">
        <v>35</v>
      </c>
      <c r="G360" t="s">
        <v>10</v>
      </c>
    </row>
    <row r="361" spans="1:7" x14ac:dyDescent="0.2">
      <c r="A361" t="s">
        <v>753</v>
      </c>
      <c r="B361" t="s">
        <v>754</v>
      </c>
      <c r="C361">
        <v>7086</v>
      </c>
      <c r="D361">
        <v>69233</v>
      </c>
      <c r="E361">
        <v>465963</v>
      </c>
      <c r="F361" t="s">
        <v>35</v>
      </c>
      <c r="G361" t="s">
        <v>10</v>
      </c>
    </row>
    <row r="362" spans="1:7" x14ac:dyDescent="0.2">
      <c r="A362" t="s">
        <v>755</v>
      </c>
      <c r="B362" t="s">
        <v>756</v>
      </c>
      <c r="C362">
        <v>6970</v>
      </c>
      <c r="D362">
        <v>129798</v>
      </c>
      <c r="E362">
        <v>1348230</v>
      </c>
      <c r="F362" t="s">
        <v>35</v>
      </c>
      <c r="G362" t="s">
        <v>10</v>
      </c>
    </row>
    <row r="363" spans="1:7" x14ac:dyDescent="0.2">
      <c r="A363" t="s">
        <v>757</v>
      </c>
      <c r="B363" t="s">
        <v>758</v>
      </c>
      <c r="C363">
        <v>6640</v>
      </c>
      <c r="D363">
        <v>79919</v>
      </c>
      <c r="E363">
        <v>508579</v>
      </c>
      <c r="F363" t="s">
        <v>35</v>
      </c>
      <c r="G363" t="s">
        <v>10</v>
      </c>
    </row>
    <row r="364" spans="1:7" x14ac:dyDescent="0.2">
      <c r="A364" t="s">
        <v>759</v>
      </c>
      <c r="B364" t="s">
        <v>760</v>
      </c>
      <c r="C364">
        <v>6397</v>
      </c>
      <c r="D364">
        <v>365545</v>
      </c>
      <c r="E364">
        <v>1644557</v>
      </c>
      <c r="F364" t="s">
        <v>35</v>
      </c>
      <c r="G364" t="s">
        <v>10</v>
      </c>
    </row>
    <row r="365" spans="1:7" x14ac:dyDescent="0.2">
      <c r="A365" t="s">
        <v>761</v>
      </c>
      <c r="B365" t="s">
        <v>762</v>
      </c>
      <c r="C365">
        <v>6230</v>
      </c>
      <c r="D365">
        <v>81564</v>
      </c>
      <c r="E365">
        <v>520366</v>
      </c>
      <c r="F365" t="s">
        <v>35</v>
      </c>
      <c r="G365" t="s">
        <v>10</v>
      </c>
    </row>
    <row r="366" spans="1:7" x14ac:dyDescent="0.2">
      <c r="A366" t="s">
        <v>763</v>
      </c>
      <c r="B366" t="s">
        <v>764</v>
      </c>
      <c r="C366">
        <v>6202</v>
      </c>
      <c r="D366">
        <v>76378</v>
      </c>
      <c r="E366">
        <v>498089</v>
      </c>
      <c r="F366" t="s">
        <v>35</v>
      </c>
      <c r="G366" t="s">
        <v>10</v>
      </c>
    </row>
    <row r="367" spans="1:7" x14ac:dyDescent="0.2">
      <c r="A367" t="s">
        <v>765</v>
      </c>
      <c r="B367" t="s">
        <v>766</v>
      </c>
      <c r="C367">
        <v>5985</v>
      </c>
      <c r="D367">
        <v>107368</v>
      </c>
      <c r="E367">
        <v>682359</v>
      </c>
      <c r="F367" t="s">
        <v>35</v>
      </c>
      <c r="G367" t="s">
        <v>10</v>
      </c>
    </row>
    <row r="368" spans="1:7" x14ac:dyDescent="0.2">
      <c r="A368" t="s">
        <v>767</v>
      </c>
      <c r="B368" t="s">
        <v>768</v>
      </c>
      <c r="C368">
        <v>5886</v>
      </c>
      <c r="D368">
        <v>57664</v>
      </c>
      <c r="E368">
        <v>379991</v>
      </c>
      <c r="F368" t="s">
        <v>35</v>
      </c>
      <c r="G368" t="s">
        <v>10</v>
      </c>
    </row>
    <row r="369" spans="1:7" x14ac:dyDescent="0.2">
      <c r="A369" t="s">
        <v>769</v>
      </c>
      <c r="B369" t="s">
        <v>770</v>
      </c>
      <c r="C369">
        <v>5788</v>
      </c>
      <c r="D369">
        <v>376531</v>
      </c>
      <c r="E369">
        <v>2634493</v>
      </c>
      <c r="F369" t="s">
        <v>35</v>
      </c>
      <c r="G369" t="s">
        <v>10</v>
      </c>
    </row>
    <row r="370" spans="1:7" x14ac:dyDescent="0.2">
      <c r="A370" t="s">
        <v>771</v>
      </c>
      <c r="B370" t="s">
        <v>772</v>
      </c>
      <c r="C370">
        <v>5625</v>
      </c>
      <c r="D370">
        <v>61422</v>
      </c>
      <c r="E370">
        <v>383079</v>
      </c>
      <c r="F370" t="s">
        <v>35</v>
      </c>
      <c r="G370" t="s">
        <v>10</v>
      </c>
    </row>
    <row r="371" spans="1:7" x14ac:dyDescent="0.2">
      <c r="A371" t="s">
        <v>773</v>
      </c>
      <c r="B371" t="s">
        <v>774</v>
      </c>
      <c r="C371">
        <v>5142</v>
      </c>
      <c r="D371">
        <v>57363</v>
      </c>
      <c r="E371">
        <v>368081</v>
      </c>
      <c r="F371" t="s">
        <v>35</v>
      </c>
      <c r="G371" t="s">
        <v>10</v>
      </c>
    </row>
    <row r="372" spans="1:7" x14ac:dyDescent="0.2">
      <c r="A372" t="s">
        <v>775</v>
      </c>
      <c r="B372" t="s">
        <v>776</v>
      </c>
      <c r="C372">
        <v>5088</v>
      </c>
      <c r="D372">
        <v>62332</v>
      </c>
      <c r="E372">
        <v>390607</v>
      </c>
      <c r="F372" t="s">
        <v>35</v>
      </c>
      <c r="G372" t="s">
        <v>10</v>
      </c>
    </row>
    <row r="373" spans="1:7" x14ac:dyDescent="0.2">
      <c r="A373" t="s">
        <v>777</v>
      </c>
      <c r="B373" t="s">
        <v>778</v>
      </c>
      <c r="C373">
        <v>4927</v>
      </c>
      <c r="D373">
        <v>182047</v>
      </c>
      <c r="E373">
        <v>956456</v>
      </c>
      <c r="F373" t="s">
        <v>35</v>
      </c>
      <c r="G373" t="s">
        <v>10</v>
      </c>
    </row>
    <row r="374" spans="1:7" x14ac:dyDescent="0.2">
      <c r="A374" t="s">
        <v>779</v>
      </c>
      <c r="B374" t="s">
        <v>780</v>
      </c>
      <c r="C374">
        <v>4610</v>
      </c>
      <c r="D374">
        <v>55744</v>
      </c>
      <c r="E374">
        <v>327609</v>
      </c>
      <c r="F374" t="s">
        <v>35</v>
      </c>
      <c r="G374" t="s">
        <v>10</v>
      </c>
    </row>
    <row r="375" spans="1:7" x14ac:dyDescent="0.2">
      <c r="A375" t="s">
        <v>781</v>
      </c>
      <c r="B375" t="s">
        <v>782</v>
      </c>
      <c r="C375">
        <v>4068</v>
      </c>
      <c r="D375">
        <v>63617</v>
      </c>
      <c r="E375">
        <v>349815</v>
      </c>
      <c r="F375" t="s">
        <v>35</v>
      </c>
      <c r="G375" t="s">
        <v>10</v>
      </c>
    </row>
    <row r="376" spans="1:7" x14ac:dyDescent="0.2">
      <c r="A376" t="s">
        <v>783</v>
      </c>
      <c r="B376" t="s">
        <v>784</v>
      </c>
      <c r="C376">
        <v>3812</v>
      </c>
      <c r="D376">
        <v>275387</v>
      </c>
      <c r="E376">
        <v>1487165</v>
      </c>
      <c r="F376" t="s">
        <v>35</v>
      </c>
      <c r="G376" t="s">
        <v>10</v>
      </c>
    </row>
    <row r="377" spans="1:7" x14ac:dyDescent="0.2">
      <c r="A377" t="s">
        <v>785</v>
      </c>
      <c r="B377" t="s">
        <v>786</v>
      </c>
      <c r="C377">
        <v>3324</v>
      </c>
      <c r="D377">
        <v>85171</v>
      </c>
      <c r="E377">
        <v>463852</v>
      </c>
      <c r="F377" t="s">
        <v>35</v>
      </c>
      <c r="G377" t="s">
        <v>10</v>
      </c>
    </row>
    <row r="378" spans="1:7" x14ac:dyDescent="0.2">
      <c r="A378" t="s">
        <v>787</v>
      </c>
      <c r="B378" t="s">
        <v>788</v>
      </c>
      <c r="C378">
        <v>2911</v>
      </c>
      <c r="D378">
        <v>95170</v>
      </c>
      <c r="E378">
        <v>509558</v>
      </c>
      <c r="F378" t="s">
        <v>35</v>
      </c>
      <c r="G378" t="s">
        <v>10</v>
      </c>
    </row>
    <row r="379" spans="1:7" x14ac:dyDescent="0.2">
      <c r="A379" t="s">
        <v>789</v>
      </c>
      <c r="B379" t="s">
        <v>790</v>
      </c>
      <c r="C379">
        <v>2733</v>
      </c>
      <c r="D379">
        <v>115967</v>
      </c>
      <c r="E379">
        <v>1674502</v>
      </c>
      <c r="F379" t="s">
        <v>35</v>
      </c>
      <c r="G379" t="s">
        <v>10</v>
      </c>
    </row>
    <row r="380" spans="1:7" x14ac:dyDescent="0.2">
      <c r="A380" t="s">
        <v>791</v>
      </c>
      <c r="B380" t="s">
        <v>792</v>
      </c>
      <c r="C380">
        <v>2619</v>
      </c>
      <c r="D380">
        <v>237775</v>
      </c>
      <c r="E380">
        <v>1297780</v>
      </c>
      <c r="F380" t="s">
        <v>35</v>
      </c>
      <c r="G380" t="s">
        <v>10</v>
      </c>
    </row>
    <row r="381" spans="1:7" x14ac:dyDescent="0.2">
      <c r="A381" t="s">
        <v>793</v>
      </c>
      <c r="B381" t="s">
        <v>794</v>
      </c>
      <c r="C381">
        <v>2471</v>
      </c>
      <c r="D381">
        <v>121906</v>
      </c>
      <c r="E381">
        <v>636514</v>
      </c>
      <c r="F381" t="s">
        <v>35</v>
      </c>
      <c r="G381" t="s">
        <v>10</v>
      </c>
    </row>
    <row r="382" spans="1:7" x14ac:dyDescent="0.2">
      <c r="A382" t="s">
        <v>795</v>
      </c>
      <c r="B382" t="s">
        <v>796</v>
      </c>
      <c r="C382">
        <v>2413</v>
      </c>
      <c r="D382">
        <v>50932</v>
      </c>
      <c r="E382">
        <v>253146</v>
      </c>
      <c r="F382" t="s">
        <v>35</v>
      </c>
      <c r="G382" t="s">
        <v>10</v>
      </c>
    </row>
    <row r="383" spans="1:7" x14ac:dyDescent="0.2">
      <c r="A383" t="s">
        <v>797</v>
      </c>
      <c r="B383" t="s">
        <v>798</v>
      </c>
      <c r="C383">
        <v>2352</v>
      </c>
      <c r="D383">
        <v>348562</v>
      </c>
      <c r="E383">
        <v>1643984</v>
      </c>
      <c r="F383" t="s">
        <v>35</v>
      </c>
      <c r="G383" t="s">
        <v>10</v>
      </c>
    </row>
    <row r="384" spans="1:7" x14ac:dyDescent="0.2">
      <c r="A384" t="s">
        <v>799</v>
      </c>
      <c r="B384" t="s">
        <v>800</v>
      </c>
      <c r="C384">
        <v>2191</v>
      </c>
      <c r="D384">
        <v>100995</v>
      </c>
      <c r="E384">
        <v>556775</v>
      </c>
      <c r="F384" t="s">
        <v>35</v>
      </c>
      <c r="G384" t="s">
        <v>10</v>
      </c>
    </row>
    <row r="385" spans="1:7" x14ac:dyDescent="0.2">
      <c r="A385" t="s">
        <v>801</v>
      </c>
      <c r="B385" t="s">
        <v>802</v>
      </c>
      <c r="C385">
        <v>1896</v>
      </c>
      <c r="D385">
        <v>155780</v>
      </c>
      <c r="E385">
        <v>844628</v>
      </c>
      <c r="F385" t="s">
        <v>35</v>
      </c>
      <c r="G385" t="s">
        <v>10</v>
      </c>
    </row>
    <row r="386" spans="1:7" x14ac:dyDescent="0.2">
      <c r="A386" t="s">
        <v>803</v>
      </c>
      <c r="B386" t="s">
        <v>804</v>
      </c>
      <c r="C386">
        <v>1860</v>
      </c>
      <c r="D386">
        <v>70625</v>
      </c>
      <c r="E386">
        <v>376901</v>
      </c>
      <c r="F386" t="s">
        <v>35</v>
      </c>
      <c r="G386" t="s">
        <v>10</v>
      </c>
    </row>
    <row r="387" spans="1:7" x14ac:dyDescent="0.2">
      <c r="A387" t="s">
        <v>805</v>
      </c>
      <c r="B387" t="s">
        <v>806</v>
      </c>
      <c r="C387">
        <v>1668</v>
      </c>
      <c r="D387">
        <v>68576</v>
      </c>
      <c r="E387">
        <v>349474</v>
      </c>
      <c r="F387" t="s">
        <v>35</v>
      </c>
      <c r="G387" t="s">
        <v>10</v>
      </c>
    </row>
    <row r="388" spans="1:7" x14ac:dyDescent="0.2">
      <c r="A388" t="s">
        <v>807</v>
      </c>
      <c r="B388" t="s">
        <v>808</v>
      </c>
      <c r="C388">
        <v>1537</v>
      </c>
      <c r="D388">
        <v>372997</v>
      </c>
      <c r="E388">
        <v>1937310</v>
      </c>
      <c r="F388" t="s">
        <v>35</v>
      </c>
      <c r="G388" t="s">
        <v>10</v>
      </c>
    </row>
    <row r="389" spans="1:7" x14ac:dyDescent="0.2">
      <c r="A389" t="s">
        <v>809</v>
      </c>
      <c r="B389" t="s">
        <v>810</v>
      </c>
      <c r="C389">
        <v>1302</v>
      </c>
      <c r="D389">
        <v>60800</v>
      </c>
      <c r="E389">
        <v>355448</v>
      </c>
      <c r="F389" t="s">
        <v>35</v>
      </c>
      <c r="G389" t="s">
        <v>10</v>
      </c>
    </row>
    <row r="390" spans="1:7" x14ac:dyDescent="0.2">
      <c r="A390" t="s">
        <v>811</v>
      </c>
      <c r="B390" t="s">
        <v>812</v>
      </c>
      <c r="C390">
        <v>1106</v>
      </c>
      <c r="D390">
        <v>286428</v>
      </c>
      <c r="E390">
        <v>1392552</v>
      </c>
      <c r="F390" t="s">
        <v>35</v>
      </c>
      <c r="G390" t="s">
        <v>10</v>
      </c>
    </row>
    <row r="391" spans="1:7" x14ac:dyDescent="0.2">
      <c r="A391" t="s">
        <v>813</v>
      </c>
      <c r="B391" t="s">
        <v>814</v>
      </c>
      <c r="C391">
        <v>1100</v>
      </c>
      <c r="D391">
        <v>51363</v>
      </c>
      <c r="E391">
        <v>278245</v>
      </c>
      <c r="F391" t="s">
        <v>35</v>
      </c>
      <c r="G391" t="s">
        <v>10</v>
      </c>
    </row>
    <row r="392" spans="1:7" x14ac:dyDescent="0.2">
      <c r="A392" t="s">
        <v>815</v>
      </c>
      <c r="B392" t="s">
        <v>816</v>
      </c>
      <c r="C392">
        <v>923</v>
      </c>
      <c r="D392">
        <v>348765</v>
      </c>
      <c r="E392">
        <v>1689015</v>
      </c>
      <c r="F392" t="s">
        <v>35</v>
      </c>
      <c r="G392" t="s">
        <v>10</v>
      </c>
    </row>
    <row r="393" spans="1:7" x14ac:dyDescent="0.2">
      <c r="A393" t="s">
        <v>817</v>
      </c>
      <c r="B393" t="s">
        <v>818</v>
      </c>
      <c r="C393">
        <v>739</v>
      </c>
      <c r="D393">
        <v>305732</v>
      </c>
      <c r="E393">
        <v>1507903</v>
      </c>
      <c r="F393" t="s">
        <v>35</v>
      </c>
      <c r="G393" t="s">
        <v>10</v>
      </c>
    </row>
    <row r="394" spans="1:7" x14ac:dyDescent="0.2">
      <c r="A394" t="s">
        <v>819</v>
      </c>
      <c r="B394" t="s">
        <v>820</v>
      </c>
      <c r="C394">
        <v>711</v>
      </c>
      <c r="D394">
        <v>49366</v>
      </c>
      <c r="E394">
        <v>254464</v>
      </c>
      <c r="F394" t="s">
        <v>35</v>
      </c>
      <c r="G394" t="s">
        <v>10</v>
      </c>
    </row>
    <row r="395" spans="1:7" x14ac:dyDescent="0.2">
      <c r="A395" t="s">
        <v>821</v>
      </c>
      <c r="B395" t="s">
        <v>822</v>
      </c>
      <c r="C395">
        <v>676</v>
      </c>
      <c r="D395">
        <v>107767</v>
      </c>
      <c r="E395">
        <v>525930</v>
      </c>
      <c r="F395" t="s">
        <v>35</v>
      </c>
      <c r="G395" t="s">
        <v>10</v>
      </c>
    </row>
    <row r="396" spans="1:7" x14ac:dyDescent="0.2">
      <c r="A396" t="s">
        <v>823</v>
      </c>
      <c r="B396" t="s">
        <v>824</v>
      </c>
      <c r="C396">
        <v>444</v>
      </c>
      <c r="D396">
        <v>88358</v>
      </c>
      <c r="E396">
        <v>442299</v>
      </c>
      <c r="F396" t="s">
        <v>35</v>
      </c>
      <c r="G396" t="s">
        <v>10</v>
      </c>
    </row>
    <row r="397" spans="1:7" x14ac:dyDescent="0.2">
      <c r="A397" t="s">
        <v>825</v>
      </c>
      <c r="B397" t="s">
        <v>826</v>
      </c>
      <c r="C397">
        <v>379</v>
      </c>
      <c r="D397">
        <v>56850</v>
      </c>
      <c r="E397">
        <v>307027</v>
      </c>
      <c r="F397" t="s">
        <v>35</v>
      </c>
      <c r="G397" t="s">
        <v>10</v>
      </c>
    </row>
    <row r="398" spans="1:7" x14ac:dyDescent="0.2">
      <c r="A398" t="s">
        <v>827</v>
      </c>
      <c r="B398" t="s">
        <v>828</v>
      </c>
      <c r="C398">
        <v>324</v>
      </c>
      <c r="D398">
        <v>49991</v>
      </c>
      <c r="E398">
        <v>252016</v>
      </c>
      <c r="F398" t="s">
        <v>35</v>
      </c>
      <c r="G398" t="s">
        <v>10</v>
      </c>
    </row>
    <row r="399" spans="1:7" x14ac:dyDescent="0.2">
      <c r="A399" t="s">
        <v>829</v>
      </c>
      <c r="B399" t="s">
        <v>830</v>
      </c>
      <c r="C399">
        <v>228</v>
      </c>
      <c r="D399">
        <v>65792</v>
      </c>
      <c r="E399">
        <v>341286</v>
      </c>
      <c r="F399" t="s">
        <v>35</v>
      </c>
      <c r="G399" t="s">
        <v>10</v>
      </c>
    </row>
    <row r="400" spans="1:7" x14ac:dyDescent="0.2">
      <c r="A400" t="s">
        <v>831</v>
      </c>
      <c r="B400" t="s">
        <v>832</v>
      </c>
      <c r="C400">
        <v>199</v>
      </c>
      <c r="D400">
        <v>212744</v>
      </c>
      <c r="E400">
        <v>1052002</v>
      </c>
      <c r="F400" t="s">
        <v>35</v>
      </c>
      <c r="G400" t="s">
        <v>10</v>
      </c>
    </row>
    <row r="401" spans="1:7" x14ac:dyDescent="0.2">
      <c r="A401" t="s">
        <v>833</v>
      </c>
      <c r="B401" t="s">
        <v>834</v>
      </c>
      <c r="C401">
        <v>184</v>
      </c>
      <c r="D401">
        <v>94827</v>
      </c>
      <c r="E401">
        <v>470265</v>
      </c>
      <c r="F401" t="s">
        <v>35</v>
      </c>
      <c r="G401" t="s">
        <v>10</v>
      </c>
    </row>
    <row r="402" spans="1:7" x14ac:dyDescent="0.2">
      <c r="A402" t="s">
        <v>835</v>
      </c>
      <c r="B402" t="s">
        <v>836</v>
      </c>
      <c r="C402">
        <v>142</v>
      </c>
      <c r="D402">
        <v>69801</v>
      </c>
      <c r="E402">
        <v>326648</v>
      </c>
      <c r="F402" t="s">
        <v>35</v>
      </c>
      <c r="G402" t="s">
        <v>10</v>
      </c>
    </row>
    <row r="403" spans="1:7" x14ac:dyDescent="0.2">
      <c r="A403" t="s">
        <v>837</v>
      </c>
      <c r="B403" t="s">
        <v>838</v>
      </c>
      <c r="C403">
        <v>0</v>
      </c>
      <c r="D403">
        <v>79337</v>
      </c>
      <c r="E403">
        <v>395238</v>
      </c>
      <c r="F403" t="s">
        <v>35</v>
      </c>
      <c r="G403" t="s">
        <v>10</v>
      </c>
    </row>
    <row r="404" spans="1:7" x14ac:dyDescent="0.2">
      <c r="A404" t="s">
        <v>33</v>
      </c>
      <c r="B404" t="s">
        <v>34</v>
      </c>
      <c r="C404">
        <v>32911665</v>
      </c>
      <c r="D404">
        <v>264424</v>
      </c>
      <c r="E404">
        <v>254251076</v>
      </c>
      <c r="F404" t="s">
        <v>35</v>
      </c>
      <c r="G404" t="s">
        <v>15</v>
      </c>
    </row>
    <row r="405" spans="1:7" x14ac:dyDescent="0.2">
      <c r="A405" t="s">
        <v>36</v>
      </c>
      <c r="B405" t="s">
        <v>37</v>
      </c>
      <c r="C405">
        <v>17865749</v>
      </c>
      <c r="D405">
        <v>52790</v>
      </c>
      <c r="E405">
        <v>129391568</v>
      </c>
      <c r="F405" t="s">
        <v>35</v>
      </c>
      <c r="G405" t="s">
        <v>15</v>
      </c>
    </row>
    <row r="406" spans="1:7" x14ac:dyDescent="0.2">
      <c r="A406" t="s">
        <v>38</v>
      </c>
      <c r="B406" t="s">
        <v>39</v>
      </c>
      <c r="C406">
        <v>16473489</v>
      </c>
      <c r="D406">
        <v>198921</v>
      </c>
      <c r="E406">
        <v>132020290</v>
      </c>
      <c r="F406" t="s">
        <v>35</v>
      </c>
      <c r="G406" t="s">
        <v>15</v>
      </c>
    </row>
    <row r="407" spans="1:7" x14ac:dyDescent="0.2">
      <c r="A407" t="s">
        <v>40</v>
      </c>
      <c r="B407" t="s">
        <v>41</v>
      </c>
      <c r="C407">
        <v>15563946</v>
      </c>
      <c r="D407">
        <v>2200940</v>
      </c>
      <c r="E407">
        <v>136297764</v>
      </c>
      <c r="F407" t="s">
        <v>35</v>
      </c>
      <c r="G407" t="s">
        <v>15</v>
      </c>
    </row>
    <row r="408" spans="1:7" x14ac:dyDescent="0.2">
      <c r="A408" t="s">
        <v>42</v>
      </c>
      <c r="B408" t="s">
        <v>43</v>
      </c>
      <c r="C408">
        <v>12928601</v>
      </c>
      <c r="D408">
        <v>1863</v>
      </c>
      <c r="E408">
        <v>141585993</v>
      </c>
      <c r="F408" t="s">
        <v>35</v>
      </c>
      <c r="G408" t="s">
        <v>15</v>
      </c>
    </row>
    <row r="409" spans="1:7" x14ac:dyDescent="0.2">
      <c r="A409" t="s">
        <v>44</v>
      </c>
      <c r="B409" t="s">
        <v>45</v>
      </c>
      <c r="C409">
        <v>10333400</v>
      </c>
      <c r="D409">
        <v>7149</v>
      </c>
      <c r="E409">
        <v>83784882</v>
      </c>
      <c r="F409" t="s">
        <v>35</v>
      </c>
      <c r="G409" t="s">
        <v>15</v>
      </c>
    </row>
    <row r="410" spans="1:7" x14ac:dyDescent="0.2">
      <c r="A410" t="s">
        <v>48</v>
      </c>
      <c r="B410" t="s">
        <v>49</v>
      </c>
      <c r="C410">
        <v>9200731</v>
      </c>
      <c r="D410">
        <v>38117</v>
      </c>
      <c r="E410">
        <v>66369053</v>
      </c>
      <c r="F410" t="s">
        <v>839</v>
      </c>
      <c r="G410" t="s">
        <v>15</v>
      </c>
    </row>
    <row r="411" spans="1:7" x14ac:dyDescent="0.2">
      <c r="A411" t="s">
        <v>46</v>
      </c>
      <c r="B411" t="s">
        <v>47</v>
      </c>
      <c r="C411">
        <v>8421985</v>
      </c>
      <c r="D411">
        <v>5330</v>
      </c>
      <c r="E411">
        <v>132572647</v>
      </c>
      <c r="F411" t="s">
        <v>35</v>
      </c>
      <c r="G411" t="s">
        <v>15</v>
      </c>
    </row>
    <row r="412" spans="1:7" x14ac:dyDescent="0.2">
      <c r="A412" t="s">
        <v>51</v>
      </c>
      <c r="B412" t="s">
        <v>52</v>
      </c>
      <c r="C412">
        <v>7564804</v>
      </c>
      <c r="D412">
        <v>7075886</v>
      </c>
      <c r="E412">
        <v>148703367</v>
      </c>
      <c r="F412" t="s">
        <v>35</v>
      </c>
      <c r="G412" t="s">
        <v>15</v>
      </c>
    </row>
    <row r="413" spans="1:7" x14ac:dyDescent="0.2">
      <c r="A413" t="s">
        <v>53</v>
      </c>
      <c r="B413" t="s">
        <v>54</v>
      </c>
      <c r="C413">
        <v>7056948</v>
      </c>
      <c r="D413">
        <v>74809</v>
      </c>
      <c r="E413">
        <v>48154210</v>
      </c>
      <c r="F413" t="s">
        <v>35</v>
      </c>
      <c r="G413" t="s">
        <v>15</v>
      </c>
    </row>
    <row r="414" spans="1:7" x14ac:dyDescent="0.2">
      <c r="A414" t="s">
        <v>67</v>
      </c>
      <c r="B414" t="s">
        <v>68</v>
      </c>
      <c r="C414">
        <v>6698961</v>
      </c>
      <c r="D414">
        <v>619</v>
      </c>
      <c r="E414">
        <v>70839801</v>
      </c>
      <c r="F414" t="s">
        <v>35</v>
      </c>
      <c r="G414" t="s">
        <v>15</v>
      </c>
    </row>
    <row r="415" spans="1:7" x14ac:dyDescent="0.2">
      <c r="A415" t="s">
        <v>59</v>
      </c>
      <c r="B415" t="s">
        <v>60</v>
      </c>
      <c r="C415">
        <v>6492467</v>
      </c>
      <c r="D415">
        <v>46061</v>
      </c>
      <c r="E415">
        <v>49134660</v>
      </c>
      <c r="F415" t="s">
        <v>35</v>
      </c>
      <c r="G415" t="s">
        <v>15</v>
      </c>
    </row>
    <row r="416" spans="1:7" x14ac:dyDescent="0.2">
      <c r="A416" t="s">
        <v>69</v>
      </c>
      <c r="B416" t="s">
        <v>70</v>
      </c>
      <c r="C416">
        <v>6315820</v>
      </c>
      <c r="D416">
        <v>1365518</v>
      </c>
      <c r="E416">
        <v>57435913</v>
      </c>
      <c r="F416" t="s">
        <v>35</v>
      </c>
      <c r="G416" t="s">
        <v>15</v>
      </c>
    </row>
    <row r="417" spans="1:7" x14ac:dyDescent="0.2">
      <c r="A417" t="s">
        <v>61</v>
      </c>
      <c r="B417" t="s">
        <v>62</v>
      </c>
      <c r="C417">
        <v>6131585</v>
      </c>
      <c r="D417">
        <v>806487</v>
      </c>
      <c r="E417">
        <v>72068451</v>
      </c>
      <c r="F417" t="s">
        <v>35</v>
      </c>
      <c r="G417" t="s">
        <v>15</v>
      </c>
    </row>
    <row r="418" spans="1:7" x14ac:dyDescent="0.2">
      <c r="A418" t="s">
        <v>55</v>
      </c>
      <c r="B418" t="s">
        <v>56</v>
      </c>
      <c r="C418">
        <v>5697621</v>
      </c>
      <c r="D418">
        <v>308477</v>
      </c>
      <c r="E418">
        <v>52786134</v>
      </c>
      <c r="F418" t="s">
        <v>35</v>
      </c>
      <c r="G418" t="s">
        <v>15</v>
      </c>
    </row>
    <row r="419" spans="1:7" x14ac:dyDescent="0.2">
      <c r="A419" t="s">
        <v>63</v>
      </c>
      <c r="B419" t="s">
        <v>64</v>
      </c>
      <c r="C419">
        <v>5613762</v>
      </c>
      <c r="D419">
        <v>15890</v>
      </c>
      <c r="E419">
        <v>43032572</v>
      </c>
      <c r="F419" t="s">
        <v>839</v>
      </c>
      <c r="G419" t="s">
        <v>15</v>
      </c>
    </row>
    <row r="420" spans="1:7" x14ac:dyDescent="0.2">
      <c r="A420" t="s">
        <v>65</v>
      </c>
      <c r="B420" t="s">
        <v>66</v>
      </c>
      <c r="C420">
        <v>5607995</v>
      </c>
      <c r="D420">
        <v>3203337</v>
      </c>
      <c r="E420">
        <v>113462523</v>
      </c>
      <c r="F420" t="s">
        <v>35</v>
      </c>
      <c r="G420" t="s">
        <v>15</v>
      </c>
    </row>
    <row r="421" spans="1:7" x14ac:dyDescent="0.2">
      <c r="A421" t="s">
        <v>71</v>
      </c>
      <c r="B421" t="s">
        <v>72</v>
      </c>
      <c r="C421">
        <v>5362016</v>
      </c>
      <c r="D421">
        <v>10078</v>
      </c>
      <c r="E421">
        <v>47612838</v>
      </c>
      <c r="F421" t="s">
        <v>35</v>
      </c>
      <c r="G421" t="s">
        <v>15</v>
      </c>
    </row>
    <row r="422" spans="1:7" x14ac:dyDescent="0.2">
      <c r="A422" t="s">
        <v>75</v>
      </c>
      <c r="B422" t="s">
        <v>76</v>
      </c>
      <c r="C422">
        <v>4528002</v>
      </c>
      <c r="D422">
        <v>59740</v>
      </c>
      <c r="E422">
        <v>67075807</v>
      </c>
      <c r="F422" t="s">
        <v>35</v>
      </c>
      <c r="G422" t="s">
        <v>15</v>
      </c>
    </row>
    <row r="423" spans="1:7" x14ac:dyDescent="0.2">
      <c r="A423" t="s">
        <v>57</v>
      </c>
      <c r="B423" t="s">
        <v>58</v>
      </c>
      <c r="C423">
        <v>4233840</v>
      </c>
      <c r="D423">
        <v>733963</v>
      </c>
      <c r="E423">
        <v>44335175</v>
      </c>
      <c r="F423" t="s">
        <v>35</v>
      </c>
      <c r="G423" t="s">
        <v>15</v>
      </c>
    </row>
    <row r="424" spans="1:7" x14ac:dyDescent="0.2">
      <c r="A424" t="s">
        <v>73</v>
      </c>
      <c r="B424" t="s">
        <v>74</v>
      </c>
      <c r="C424">
        <v>4174693</v>
      </c>
      <c r="D424">
        <v>632607</v>
      </c>
      <c r="E424">
        <v>18168931</v>
      </c>
      <c r="F424" t="s">
        <v>35</v>
      </c>
      <c r="G424" t="s">
        <v>15</v>
      </c>
    </row>
    <row r="425" spans="1:7" x14ac:dyDescent="0.2">
      <c r="A425" t="s">
        <v>77</v>
      </c>
      <c r="B425" t="s">
        <v>78</v>
      </c>
      <c r="C425">
        <v>3698759</v>
      </c>
      <c r="D425">
        <v>1314290</v>
      </c>
      <c r="E425">
        <v>67483659</v>
      </c>
      <c r="F425" t="s">
        <v>35</v>
      </c>
      <c r="G425" t="s">
        <v>15</v>
      </c>
    </row>
    <row r="426" spans="1:7" x14ac:dyDescent="0.2">
      <c r="A426" t="s">
        <v>83</v>
      </c>
      <c r="B426" t="s">
        <v>84</v>
      </c>
      <c r="C426">
        <v>3094142</v>
      </c>
      <c r="D426">
        <v>555600</v>
      </c>
      <c r="E426">
        <v>40715757</v>
      </c>
      <c r="F426" t="s">
        <v>35</v>
      </c>
      <c r="G426" t="s">
        <v>15</v>
      </c>
    </row>
    <row r="427" spans="1:7" x14ac:dyDescent="0.2">
      <c r="A427" t="s">
        <v>79</v>
      </c>
      <c r="B427" t="s">
        <v>80</v>
      </c>
      <c r="C427">
        <v>3084445</v>
      </c>
      <c r="D427">
        <v>821714</v>
      </c>
      <c r="E427">
        <v>32817505</v>
      </c>
      <c r="F427" t="s">
        <v>35</v>
      </c>
      <c r="G427" t="s">
        <v>15</v>
      </c>
    </row>
    <row r="428" spans="1:7" x14ac:dyDescent="0.2">
      <c r="A428" t="s">
        <v>89</v>
      </c>
      <c r="B428" t="s">
        <v>90</v>
      </c>
      <c r="C428">
        <v>2625260</v>
      </c>
      <c r="D428">
        <v>346491</v>
      </c>
      <c r="E428">
        <v>19460179</v>
      </c>
      <c r="F428" t="s">
        <v>35</v>
      </c>
      <c r="G428" t="s">
        <v>15</v>
      </c>
    </row>
    <row r="429" spans="1:7" x14ac:dyDescent="0.2">
      <c r="A429" t="s">
        <v>85</v>
      </c>
      <c r="B429" t="s">
        <v>86</v>
      </c>
      <c r="C429">
        <v>2571989</v>
      </c>
      <c r="D429">
        <v>184380</v>
      </c>
      <c r="E429">
        <v>13151601</v>
      </c>
      <c r="F429" t="s">
        <v>35</v>
      </c>
      <c r="G429" t="s">
        <v>15</v>
      </c>
    </row>
    <row r="430" spans="1:7" x14ac:dyDescent="0.2">
      <c r="A430" t="s">
        <v>81</v>
      </c>
      <c r="B430" t="s">
        <v>82</v>
      </c>
      <c r="C430">
        <v>2425797</v>
      </c>
      <c r="D430">
        <v>164165</v>
      </c>
      <c r="E430">
        <v>18436308</v>
      </c>
      <c r="F430" t="s">
        <v>35</v>
      </c>
      <c r="G430" t="s">
        <v>15</v>
      </c>
    </row>
    <row r="431" spans="1:7" x14ac:dyDescent="0.2">
      <c r="A431" t="s">
        <v>91</v>
      </c>
      <c r="B431" t="s">
        <v>92</v>
      </c>
      <c r="C431">
        <v>2120644</v>
      </c>
      <c r="D431">
        <v>368</v>
      </c>
      <c r="E431">
        <v>39646117</v>
      </c>
      <c r="F431" t="s">
        <v>35</v>
      </c>
      <c r="G431" t="s">
        <v>15</v>
      </c>
    </row>
    <row r="432" spans="1:7" x14ac:dyDescent="0.2">
      <c r="A432" t="s">
        <v>93</v>
      </c>
      <c r="B432" t="s">
        <v>94</v>
      </c>
      <c r="C432">
        <v>2103081</v>
      </c>
      <c r="D432">
        <v>7702</v>
      </c>
      <c r="E432">
        <v>29998384</v>
      </c>
      <c r="F432" t="s">
        <v>35</v>
      </c>
      <c r="G432" t="s">
        <v>15</v>
      </c>
    </row>
    <row r="433" spans="1:7" x14ac:dyDescent="0.2">
      <c r="A433" t="s">
        <v>87</v>
      </c>
      <c r="B433" t="s">
        <v>88</v>
      </c>
      <c r="C433">
        <v>2030133</v>
      </c>
      <c r="D433">
        <v>6280</v>
      </c>
      <c r="E433">
        <v>24563543</v>
      </c>
      <c r="F433" t="s">
        <v>35</v>
      </c>
      <c r="G433" t="s">
        <v>15</v>
      </c>
    </row>
    <row r="434" spans="1:7" x14ac:dyDescent="0.2">
      <c r="A434" t="s">
        <v>840</v>
      </c>
      <c r="B434" t="s">
        <v>96</v>
      </c>
      <c r="C434">
        <v>2002222</v>
      </c>
      <c r="D434">
        <v>513963</v>
      </c>
      <c r="E434">
        <v>33272914</v>
      </c>
      <c r="F434" t="s">
        <v>35</v>
      </c>
      <c r="G434" t="s">
        <v>15</v>
      </c>
    </row>
    <row r="435" spans="1:7" x14ac:dyDescent="0.2">
      <c r="A435" t="s">
        <v>103</v>
      </c>
      <c r="B435" t="s">
        <v>104</v>
      </c>
      <c r="C435">
        <v>1936241</v>
      </c>
      <c r="D435">
        <v>0</v>
      </c>
      <c r="E435">
        <v>35997306</v>
      </c>
      <c r="F435" t="s">
        <v>35</v>
      </c>
      <c r="G435" t="s">
        <v>15</v>
      </c>
    </row>
    <row r="436" spans="1:7" x14ac:dyDescent="0.2">
      <c r="A436" t="s">
        <v>113</v>
      </c>
      <c r="B436" t="s">
        <v>114</v>
      </c>
      <c r="C436">
        <v>1905318</v>
      </c>
      <c r="D436">
        <v>141845</v>
      </c>
      <c r="E436">
        <v>24781469</v>
      </c>
      <c r="F436" t="s">
        <v>35</v>
      </c>
      <c r="G436" t="s">
        <v>15</v>
      </c>
    </row>
    <row r="437" spans="1:7" x14ac:dyDescent="0.2">
      <c r="A437" t="s">
        <v>841</v>
      </c>
      <c r="B437" t="s">
        <v>98</v>
      </c>
      <c r="C437">
        <v>1756827</v>
      </c>
      <c r="D437">
        <v>131022</v>
      </c>
      <c r="E437">
        <v>12356180</v>
      </c>
      <c r="F437" t="s">
        <v>35</v>
      </c>
      <c r="G437" t="s">
        <v>15</v>
      </c>
    </row>
    <row r="438" spans="1:7" x14ac:dyDescent="0.2">
      <c r="A438" t="s">
        <v>101</v>
      </c>
      <c r="B438" t="s">
        <v>102</v>
      </c>
      <c r="C438">
        <v>1735165</v>
      </c>
      <c r="D438">
        <v>165265</v>
      </c>
      <c r="E438">
        <v>8437782</v>
      </c>
      <c r="F438" t="s">
        <v>35</v>
      </c>
      <c r="G438" t="s">
        <v>15</v>
      </c>
    </row>
    <row r="439" spans="1:7" x14ac:dyDescent="0.2">
      <c r="A439" t="s">
        <v>842</v>
      </c>
      <c r="B439" t="s">
        <v>843</v>
      </c>
      <c r="C439">
        <v>1645894</v>
      </c>
      <c r="D439">
        <v>340</v>
      </c>
      <c r="E439">
        <v>28366523</v>
      </c>
      <c r="F439" t="s">
        <v>35</v>
      </c>
      <c r="G439" t="s">
        <v>15</v>
      </c>
    </row>
    <row r="440" spans="1:7" x14ac:dyDescent="0.2">
      <c r="A440" t="s">
        <v>105</v>
      </c>
      <c r="B440" t="s">
        <v>106</v>
      </c>
      <c r="C440">
        <v>1520899</v>
      </c>
      <c r="D440">
        <v>257729</v>
      </c>
      <c r="E440">
        <v>20195397</v>
      </c>
      <c r="F440" t="s">
        <v>35</v>
      </c>
      <c r="G440" t="s">
        <v>15</v>
      </c>
    </row>
    <row r="441" spans="1:7" x14ac:dyDescent="0.2">
      <c r="A441" t="s">
        <v>99</v>
      </c>
      <c r="B441" t="s">
        <v>100</v>
      </c>
      <c r="C441">
        <v>1506654</v>
      </c>
      <c r="D441">
        <v>27373</v>
      </c>
      <c r="E441">
        <v>19416276</v>
      </c>
      <c r="F441" t="s">
        <v>35</v>
      </c>
      <c r="G441" t="s">
        <v>15</v>
      </c>
    </row>
    <row r="442" spans="1:7" x14ac:dyDescent="0.2">
      <c r="A442" t="s">
        <v>107</v>
      </c>
      <c r="B442" t="s">
        <v>108</v>
      </c>
      <c r="C442">
        <v>1367287</v>
      </c>
      <c r="D442">
        <v>14367</v>
      </c>
      <c r="E442">
        <v>26766075</v>
      </c>
      <c r="F442" t="s">
        <v>35</v>
      </c>
      <c r="G442" t="s">
        <v>15</v>
      </c>
    </row>
    <row r="443" spans="1:7" x14ac:dyDescent="0.2">
      <c r="A443" t="s">
        <v>159</v>
      </c>
      <c r="B443" t="s">
        <v>160</v>
      </c>
      <c r="C443">
        <v>1352311</v>
      </c>
      <c r="D443">
        <v>900</v>
      </c>
      <c r="E443">
        <v>9117339</v>
      </c>
      <c r="F443" t="s">
        <v>35</v>
      </c>
      <c r="G443" t="s">
        <v>15</v>
      </c>
    </row>
    <row r="444" spans="1:7" x14ac:dyDescent="0.2">
      <c r="A444" t="s">
        <v>844</v>
      </c>
      <c r="B444" t="s">
        <v>120</v>
      </c>
      <c r="C444">
        <v>1281444</v>
      </c>
      <c r="D444">
        <v>258079</v>
      </c>
      <c r="E444">
        <v>10171480</v>
      </c>
      <c r="F444" t="s">
        <v>35</v>
      </c>
      <c r="G444" t="s">
        <v>15</v>
      </c>
    </row>
    <row r="445" spans="1:7" x14ac:dyDescent="0.2">
      <c r="A445" t="s">
        <v>135</v>
      </c>
      <c r="B445" t="s">
        <v>136</v>
      </c>
      <c r="C445">
        <v>1238252</v>
      </c>
      <c r="D445">
        <v>1835</v>
      </c>
      <c r="E445">
        <v>8413923</v>
      </c>
      <c r="F445" t="s">
        <v>35</v>
      </c>
      <c r="G445" t="s">
        <v>15</v>
      </c>
    </row>
    <row r="446" spans="1:7" x14ac:dyDescent="0.2">
      <c r="A446" t="s">
        <v>125</v>
      </c>
      <c r="B446" t="s">
        <v>126</v>
      </c>
      <c r="C446">
        <v>1228004</v>
      </c>
      <c r="D446">
        <v>137673</v>
      </c>
      <c r="E446">
        <v>8788744</v>
      </c>
      <c r="F446" t="s">
        <v>35</v>
      </c>
      <c r="G446" t="s">
        <v>15</v>
      </c>
    </row>
    <row r="447" spans="1:7" x14ac:dyDescent="0.2">
      <c r="A447" t="s">
        <v>109</v>
      </c>
      <c r="B447" t="s">
        <v>110</v>
      </c>
      <c r="C447">
        <v>1223730</v>
      </c>
      <c r="D447">
        <v>160284</v>
      </c>
      <c r="E447">
        <v>6337899</v>
      </c>
      <c r="F447" t="s">
        <v>35</v>
      </c>
      <c r="G447" t="s">
        <v>15</v>
      </c>
    </row>
    <row r="448" spans="1:7" x14ac:dyDescent="0.2">
      <c r="A448" t="s">
        <v>123</v>
      </c>
      <c r="B448" t="s">
        <v>124</v>
      </c>
      <c r="C448">
        <v>1159663</v>
      </c>
      <c r="D448">
        <v>5649626</v>
      </c>
      <c r="E448">
        <v>40365255</v>
      </c>
      <c r="F448" t="s">
        <v>35</v>
      </c>
      <c r="G448" t="s">
        <v>15</v>
      </c>
    </row>
    <row r="449" spans="1:7" x14ac:dyDescent="0.2">
      <c r="A449" t="s">
        <v>121</v>
      </c>
      <c r="B449" t="s">
        <v>122</v>
      </c>
      <c r="C449">
        <v>1111621</v>
      </c>
      <c r="D449">
        <v>146</v>
      </c>
      <c r="E449">
        <v>20476950</v>
      </c>
      <c r="F449" t="s">
        <v>35</v>
      </c>
      <c r="G449" t="s">
        <v>15</v>
      </c>
    </row>
    <row r="450" spans="1:7" x14ac:dyDescent="0.2">
      <c r="A450" t="s">
        <v>133</v>
      </c>
      <c r="B450" t="s">
        <v>134</v>
      </c>
      <c r="C450">
        <v>1073592</v>
      </c>
      <c r="D450">
        <v>323815</v>
      </c>
      <c r="E450">
        <v>13634362</v>
      </c>
      <c r="F450" t="s">
        <v>35</v>
      </c>
      <c r="G450" t="s">
        <v>15</v>
      </c>
    </row>
    <row r="451" spans="1:7" x14ac:dyDescent="0.2">
      <c r="A451" t="s">
        <v>129</v>
      </c>
      <c r="B451" t="s">
        <v>130</v>
      </c>
      <c r="C451">
        <v>1069528</v>
      </c>
      <c r="D451">
        <v>51970</v>
      </c>
      <c r="E451">
        <v>6168172</v>
      </c>
      <c r="F451" t="s">
        <v>35</v>
      </c>
      <c r="G451" t="s">
        <v>15</v>
      </c>
    </row>
    <row r="452" spans="1:7" x14ac:dyDescent="0.2">
      <c r="A452" t="s">
        <v>115</v>
      </c>
      <c r="B452" t="s">
        <v>116</v>
      </c>
      <c r="C452">
        <v>998465</v>
      </c>
      <c r="D452">
        <v>206034</v>
      </c>
      <c r="E452">
        <v>1703146</v>
      </c>
      <c r="F452" t="s">
        <v>35</v>
      </c>
      <c r="G452" t="s">
        <v>15</v>
      </c>
    </row>
    <row r="453" spans="1:7" x14ac:dyDescent="0.2">
      <c r="A453" t="s">
        <v>149</v>
      </c>
      <c r="B453" t="s">
        <v>150</v>
      </c>
      <c r="C453">
        <v>997048</v>
      </c>
      <c r="D453">
        <v>111075</v>
      </c>
      <c r="E453">
        <v>8211368</v>
      </c>
      <c r="F453" t="s">
        <v>35</v>
      </c>
      <c r="G453" t="s">
        <v>15</v>
      </c>
    </row>
    <row r="454" spans="1:7" x14ac:dyDescent="0.2">
      <c r="A454" t="s">
        <v>845</v>
      </c>
      <c r="B454" t="s">
        <v>846</v>
      </c>
      <c r="C454">
        <v>981703</v>
      </c>
      <c r="D454">
        <v>192838</v>
      </c>
      <c r="E454">
        <v>5374471</v>
      </c>
      <c r="F454" t="s">
        <v>35</v>
      </c>
      <c r="G454" t="s">
        <v>15</v>
      </c>
    </row>
    <row r="455" spans="1:7" x14ac:dyDescent="0.2">
      <c r="A455" t="s">
        <v>111</v>
      </c>
      <c r="B455" t="s">
        <v>112</v>
      </c>
      <c r="C455">
        <v>938397</v>
      </c>
      <c r="D455">
        <v>141207</v>
      </c>
      <c r="E455">
        <v>15783816</v>
      </c>
      <c r="F455" t="s">
        <v>35</v>
      </c>
      <c r="G455" t="s">
        <v>15</v>
      </c>
    </row>
    <row r="456" spans="1:7" x14ac:dyDescent="0.2">
      <c r="A456" t="s">
        <v>137</v>
      </c>
      <c r="B456" t="s">
        <v>138</v>
      </c>
      <c r="C456">
        <v>929217</v>
      </c>
      <c r="D456">
        <v>2322456</v>
      </c>
      <c r="E456">
        <v>25492265</v>
      </c>
      <c r="F456" t="s">
        <v>35</v>
      </c>
      <c r="G456" t="s">
        <v>15</v>
      </c>
    </row>
    <row r="457" spans="1:7" x14ac:dyDescent="0.2">
      <c r="A457" t="s">
        <v>157</v>
      </c>
      <c r="B457" t="s">
        <v>158</v>
      </c>
      <c r="C457">
        <v>914814</v>
      </c>
      <c r="D457">
        <v>82226</v>
      </c>
      <c r="E457">
        <v>5779020</v>
      </c>
      <c r="F457" t="s">
        <v>35</v>
      </c>
      <c r="G457" t="s">
        <v>15</v>
      </c>
    </row>
    <row r="458" spans="1:7" x14ac:dyDescent="0.2">
      <c r="A458" t="s">
        <v>139</v>
      </c>
      <c r="B458" t="s">
        <v>140</v>
      </c>
      <c r="C458">
        <v>910160</v>
      </c>
      <c r="D458">
        <v>121</v>
      </c>
      <c r="E458">
        <v>12693132</v>
      </c>
      <c r="F458" t="s">
        <v>35</v>
      </c>
      <c r="G458" t="s">
        <v>15</v>
      </c>
    </row>
    <row r="459" spans="1:7" x14ac:dyDescent="0.2">
      <c r="A459" t="s">
        <v>127</v>
      </c>
      <c r="B459" t="s">
        <v>128</v>
      </c>
      <c r="C459">
        <v>909444</v>
      </c>
      <c r="D459">
        <v>169352</v>
      </c>
      <c r="E459">
        <v>6829882</v>
      </c>
      <c r="F459" t="s">
        <v>35</v>
      </c>
      <c r="G459" t="s">
        <v>15</v>
      </c>
    </row>
    <row r="460" spans="1:7" x14ac:dyDescent="0.2">
      <c r="A460" t="s">
        <v>141</v>
      </c>
      <c r="B460" t="s">
        <v>142</v>
      </c>
      <c r="C460">
        <v>902110</v>
      </c>
      <c r="D460">
        <v>45</v>
      </c>
      <c r="E460">
        <v>11662559</v>
      </c>
      <c r="F460" t="s">
        <v>35</v>
      </c>
      <c r="G460" t="s">
        <v>15</v>
      </c>
    </row>
    <row r="461" spans="1:7" x14ac:dyDescent="0.2">
      <c r="A461" t="s">
        <v>117</v>
      </c>
      <c r="B461" t="s">
        <v>118</v>
      </c>
      <c r="C461">
        <v>900402</v>
      </c>
      <c r="D461">
        <v>50998</v>
      </c>
      <c r="E461">
        <v>16724582</v>
      </c>
      <c r="F461" t="s">
        <v>35</v>
      </c>
      <c r="G461" t="s">
        <v>15</v>
      </c>
    </row>
    <row r="462" spans="1:7" x14ac:dyDescent="0.2">
      <c r="A462" t="s">
        <v>143</v>
      </c>
      <c r="B462" t="s">
        <v>144</v>
      </c>
      <c r="C462">
        <v>826977</v>
      </c>
      <c r="D462">
        <v>485184</v>
      </c>
      <c r="E462">
        <v>18290838</v>
      </c>
      <c r="F462" t="s">
        <v>35</v>
      </c>
      <c r="G462" t="s">
        <v>15</v>
      </c>
    </row>
    <row r="463" spans="1:7" x14ac:dyDescent="0.2">
      <c r="A463" t="s">
        <v>151</v>
      </c>
      <c r="B463" t="s">
        <v>152</v>
      </c>
      <c r="C463">
        <v>783392</v>
      </c>
      <c r="D463">
        <v>3646</v>
      </c>
      <c r="E463">
        <v>9166773</v>
      </c>
      <c r="F463" t="s">
        <v>35</v>
      </c>
      <c r="G463" t="s">
        <v>15</v>
      </c>
    </row>
    <row r="464" spans="1:7" x14ac:dyDescent="0.2">
      <c r="A464" t="s">
        <v>147</v>
      </c>
      <c r="B464" t="s">
        <v>148</v>
      </c>
      <c r="C464">
        <v>770634</v>
      </c>
      <c r="D464">
        <v>80840</v>
      </c>
      <c r="E464">
        <v>11400024</v>
      </c>
      <c r="F464" t="s">
        <v>35</v>
      </c>
      <c r="G464" t="s">
        <v>15</v>
      </c>
    </row>
    <row r="465" spans="1:7" x14ac:dyDescent="0.2">
      <c r="A465" t="s">
        <v>171</v>
      </c>
      <c r="B465" t="s">
        <v>172</v>
      </c>
      <c r="C465">
        <v>755148</v>
      </c>
      <c r="D465">
        <v>650</v>
      </c>
      <c r="E465">
        <v>8302190</v>
      </c>
      <c r="F465" t="s">
        <v>35</v>
      </c>
      <c r="G465" t="s">
        <v>15</v>
      </c>
    </row>
    <row r="466" spans="1:7" x14ac:dyDescent="0.2">
      <c r="A466" t="s">
        <v>153</v>
      </c>
      <c r="B466" t="s">
        <v>154</v>
      </c>
      <c r="C466">
        <v>750285</v>
      </c>
      <c r="D466">
        <v>291511</v>
      </c>
      <c r="E466">
        <v>14070927</v>
      </c>
      <c r="F466" t="s">
        <v>35</v>
      </c>
      <c r="G466" t="s">
        <v>15</v>
      </c>
    </row>
    <row r="467" spans="1:7" x14ac:dyDescent="0.2">
      <c r="A467" t="s">
        <v>131</v>
      </c>
      <c r="B467" t="s">
        <v>132</v>
      </c>
      <c r="C467">
        <v>744268</v>
      </c>
      <c r="D467">
        <v>59360</v>
      </c>
      <c r="E467">
        <v>1746907</v>
      </c>
      <c r="F467" t="s">
        <v>35</v>
      </c>
      <c r="G467" t="s">
        <v>15</v>
      </c>
    </row>
    <row r="468" spans="1:7" x14ac:dyDescent="0.2">
      <c r="A468" t="s">
        <v>167</v>
      </c>
      <c r="B468" t="s">
        <v>168</v>
      </c>
      <c r="C468">
        <v>730412</v>
      </c>
      <c r="D468">
        <v>140969</v>
      </c>
      <c r="E468">
        <v>11815033</v>
      </c>
      <c r="F468" t="s">
        <v>35</v>
      </c>
      <c r="G468" t="s">
        <v>15</v>
      </c>
    </row>
    <row r="469" spans="1:7" x14ac:dyDescent="0.2">
      <c r="A469" t="s">
        <v>163</v>
      </c>
      <c r="B469" t="s">
        <v>164</v>
      </c>
      <c r="C469">
        <v>725761</v>
      </c>
      <c r="D469">
        <v>215043</v>
      </c>
      <c r="E469">
        <v>11729108</v>
      </c>
      <c r="F469" t="s">
        <v>35</v>
      </c>
      <c r="G469" t="s">
        <v>15</v>
      </c>
    </row>
    <row r="470" spans="1:7" x14ac:dyDescent="0.2">
      <c r="A470" t="s">
        <v>211</v>
      </c>
      <c r="B470" t="s">
        <v>212</v>
      </c>
      <c r="C470">
        <v>704979</v>
      </c>
      <c r="D470">
        <v>11055</v>
      </c>
      <c r="E470">
        <v>10798190</v>
      </c>
      <c r="F470" t="s">
        <v>35</v>
      </c>
      <c r="G470" t="s">
        <v>15</v>
      </c>
    </row>
    <row r="471" spans="1:7" x14ac:dyDescent="0.2">
      <c r="A471" t="s">
        <v>165</v>
      </c>
      <c r="B471" t="s">
        <v>166</v>
      </c>
      <c r="C471">
        <v>694821</v>
      </c>
      <c r="D471">
        <v>199121</v>
      </c>
      <c r="E471">
        <v>7125357</v>
      </c>
      <c r="F471" t="s">
        <v>35</v>
      </c>
      <c r="G471" t="s">
        <v>15</v>
      </c>
    </row>
    <row r="472" spans="1:7" x14ac:dyDescent="0.2">
      <c r="A472" t="s">
        <v>155</v>
      </c>
      <c r="B472" t="s">
        <v>156</v>
      </c>
      <c r="C472">
        <v>677738</v>
      </c>
      <c r="D472">
        <v>270170</v>
      </c>
      <c r="E472">
        <v>11820025</v>
      </c>
      <c r="F472" t="s">
        <v>35</v>
      </c>
      <c r="G472" t="s">
        <v>15</v>
      </c>
    </row>
    <row r="473" spans="1:7" x14ac:dyDescent="0.2">
      <c r="A473" t="s">
        <v>199</v>
      </c>
      <c r="B473" t="s">
        <v>200</v>
      </c>
      <c r="C473">
        <v>675247</v>
      </c>
      <c r="D473">
        <v>204</v>
      </c>
      <c r="E473">
        <v>3494395</v>
      </c>
      <c r="F473" t="s">
        <v>35</v>
      </c>
      <c r="G473" t="s">
        <v>15</v>
      </c>
    </row>
    <row r="474" spans="1:7" x14ac:dyDescent="0.2">
      <c r="A474" t="s">
        <v>847</v>
      </c>
      <c r="B474" t="s">
        <v>848</v>
      </c>
      <c r="C474">
        <v>667497</v>
      </c>
      <c r="D474">
        <v>60641</v>
      </c>
      <c r="E474">
        <v>3897920</v>
      </c>
      <c r="F474" t="s">
        <v>35</v>
      </c>
      <c r="G474" t="s">
        <v>15</v>
      </c>
    </row>
    <row r="475" spans="1:7" x14ac:dyDescent="0.2">
      <c r="A475" t="s">
        <v>161</v>
      </c>
      <c r="B475" t="s">
        <v>162</v>
      </c>
      <c r="C475">
        <v>666826</v>
      </c>
      <c r="D475">
        <v>891429</v>
      </c>
      <c r="E475">
        <v>26715525</v>
      </c>
      <c r="F475" t="s">
        <v>35</v>
      </c>
      <c r="G475" t="s">
        <v>15</v>
      </c>
    </row>
    <row r="476" spans="1:7" x14ac:dyDescent="0.2">
      <c r="A476" t="s">
        <v>169</v>
      </c>
      <c r="B476" t="s">
        <v>170</v>
      </c>
      <c r="C476">
        <v>662797</v>
      </c>
      <c r="D476">
        <v>283225</v>
      </c>
      <c r="E476">
        <v>10835054</v>
      </c>
      <c r="F476" t="s">
        <v>35</v>
      </c>
      <c r="G476" t="s">
        <v>15</v>
      </c>
    </row>
    <row r="477" spans="1:7" x14ac:dyDescent="0.2">
      <c r="A477" t="s">
        <v>187</v>
      </c>
      <c r="B477" t="s">
        <v>188</v>
      </c>
      <c r="C477">
        <v>472548</v>
      </c>
      <c r="D477">
        <v>109</v>
      </c>
      <c r="E477">
        <v>8219042</v>
      </c>
      <c r="F477" t="s">
        <v>35</v>
      </c>
      <c r="G477" t="s">
        <v>15</v>
      </c>
    </row>
    <row r="478" spans="1:7" x14ac:dyDescent="0.2">
      <c r="A478" t="s">
        <v>209</v>
      </c>
      <c r="B478" t="s">
        <v>210</v>
      </c>
      <c r="C478">
        <v>462019</v>
      </c>
      <c r="D478">
        <v>172062</v>
      </c>
      <c r="E478">
        <v>10631243</v>
      </c>
      <c r="F478" t="s">
        <v>35</v>
      </c>
      <c r="G478" t="s">
        <v>15</v>
      </c>
    </row>
    <row r="479" spans="1:7" x14ac:dyDescent="0.2">
      <c r="A479" t="s">
        <v>195</v>
      </c>
      <c r="B479" t="s">
        <v>196</v>
      </c>
      <c r="C479">
        <v>451348</v>
      </c>
      <c r="D479">
        <v>17726</v>
      </c>
      <c r="E479">
        <v>6768556</v>
      </c>
      <c r="F479" t="s">
        <v>35</v>
      </c>
      <c r="G479" t="s">
        <v>15</v>
      </c>
    </row>
    <row r="480" spans="1:7" x14ac:dyDescent="0.2">
      <c r="A480" t="s">
        <v>849</v>
      </c>
      <c r="B480" t="s">
        <v>850</v>
      </c>
      <c r="C480">
        <v>446545</v>
      </c>
      <c r="D480">
        <v>817370</v>
      </c>
      <c r="E480">
        <v>11920221</v>
      </c>
      <c r="F480" t="s">
        <v>35</v>
      </c>
      <c r="G480" t="s">
        <v>15</v>
      </c>
    </row>
    <row r="481" spans="1:7" x14ac:dyDescent="0.2">
      <c r="A481" t="s">
        <v>191</v>
      </c>
      <c r="B481" t="s">
        <v>192</v>
      </c>
      <c r="C481">
        <v>444476</v>
      </c>
      <c r="D481">
        <v>119539</v>
      </c>
      <c r="E481">
        <v>8859868</v>
      </c>
      <c r="F481" t="s">
        <v>35</v>
      </c>
      <c r="G481" t="s">
        <v>15</v>
      </c>
    </row>
    <row r="482" spans="1:7" x14ac:dyDescent="0.2">
      <c r="A482" t="s">
        <v>203</v>
      </c>
      <c r="B482" t="s">
        <v>204</v>
      </c>
      <c r="C482">
        <v>439913</v>
      </c>
      <c r="D482">
        <v>484072</v>
      </c>
      <c r="E482">
        <v>10434553</v>
      </c>
      <c r="F482" t="s">
        <v>35</v>
      </c>
      <c r="G482" t="s">
        <v>15</v>
      </c>
    </row>
    <row r="483" spans="1:7" x14ac:dyDescent="0.2">
      <c r="A483" t="s">
        <v>213</v>
      </c>
      <c r="B483" t="s">
        <v>214</v>
      </c>
      <c r="C483">
        <v>400456</v>
      </c>
      <c r="D483">
        <v>217717</v>
      </c>
      <c r="E483">
        <v>7785414</v>
      </c>
      <c r="F483" t="s">
        <v>35</v>
      </c>
      <c r="G483" t="s">
        <v>15</v>
      </c>
    </row>
    <row r="484" spans="1:7" x14ac:dyDescent="0.2">
      <c r="A484" t="s">
        <v>197</v>
      </c>
      <c r="B484" t="s">
        <v>198</v>
      </c>
      <c r="C484">
        <v>382811</v>
      </c>
      <c r="D484">
        <v>20465</v>
      </c>
      <c r="E484">
        <v>5580329</v>
      </c>
      <c r="F484" t="s">
        <v>35</v>
      </c>
      <c r="G484" t="s">
        <v>15</v>
      </c>
    </row>
    <row r="485" spans="1:7" x14ac:dyDescent="0.2">
      <c r="A485" t="s">
        <v>205</v>
      </c>
      <c r="B485" t="s">
        <v>206</v>
      </c>
      <c r="C485">
        <v>378135</v>
      </c>
      <c r="D485">
        <v>1266614</v>
      </c>
      <c r="E485">
        <v>8534725</v>
      </c>
      <c r="F485" t="s">
        <v>35</v>
      </c>
      <c r="G485" t="s">
        <v>15</v>
      </c>
    </row>
    <row r="486" spans="1:7" x14ac:dyDescent="0.2">
      <c r="A486" t="s">
        <v>179</v>
      </c>
      <c r="B486" t="s">
        <v>180</v>
      </c>
      <c r="C486">
        <v>369997</v>
      </c>
      <c r="D486">
        <v>13282</v>
      </c>
      <c r="E486">
        <v>5616290</v>
      </c>
      <c r="F486" t="s">
        <v>35</v>
      </c>
      <c r="G486" t="s">
        <v>15</v>
      </c>
    </row>
    <row r="487" spans="1:7" x14ac:dyDescent="0.2">
      <c r="A487" t="s">
        <v>185</v>
      </c>
      <c r="B487" t="s">
        <v>186</v>
      </c>
      <c r="C487">
        <v>364539</v>
      </c>
      <c r="D487">
        <v>81108</v>
      </c>
      <c r="E487">
        <v>8626612</v>
      </c>
      <c r="F487" t="s">
        <v>35</v>
      </c>
      <c r="G487" t="s">
        <v>15</v>
      </c>
    </row>
    <row r="488" spans="1:7" x14ac:dyDescent="0.2">
      <c r="A488" t="s">
        <v>245</v>
      </c>
      <c r="B488" t="s">
        <v>246</v>
      </c>
      <c r="C488">
        <v>364464</v>
      </c>
      <c r="D488">
        <v>10934</v>
      </c>
      <c r="E488">
        <v>2629938</v>
      </c>
      <c r="F488" t="s">
        <v>35</v>
      </c>
      <c r="G488" t="s">
        <v>15</v>
      </c>
    </row>
    <row r="489" spans="1:7" x14ac:dyDescent="0.2">
      <c r="A489" t="s">
        <v>201</v>
      </c>
      <c r="B489" t="s">
        <v>202</v>
      </c>
      <c r="C489">
        <v>356383</v>
      </c>
      <c r="D489">
        <v>317147</v>
      </c>
      <c r="E489">
        <v>12459464</v>
      </c>
      <c r="F489" t="s">
        <v>35</v>
      </c>
      <c r="G489" t="s">
        <v>15</v>
      </c>
    </row>
    <row r="490" spans="1:7" x14ac:dyDescent="0.2">
      <c r="A490" t="s">
        <v>225</v>
      </c>
      <c r="B490" t="s">
        <v>226</v>
      </c>
      <c r="C490">
        <v>350847</v>
      </c>
      <c r="D490">
        <v>11743</v>
      </c>
      <c r="E490">
        <v>80005</v>
      </c>
      <c r="F490" t="s">
        <v>35</v>
      </c>
      <c r="G490" t="s">
        <v>15</v>
      </c>
    </row>
    <row r="491" spans="1:7" x14ac:dyDescent="0.2">
      <c r="A491" t="s">
        <v>181</v>
      </c>
      <c r="B491" t="s">
        <v>182</v>
      </c>
      <c r="C491">
        <v>339812</v>
      </c>
      <c r="D491">
        <v>7267</v>
      </c>
      <c r="E491">
        <v>4386853</v>
      </c>
      <c r="F491" t="s">
        <v>35</v>
      </c>
      <c r="G491" t="s">
        <v>15</v>
      </c>
    </row>
    <row r="492" spans="1:7" x14ac:dyDescent="0.2">
      <c r="A492" t="s">
        <v>177</v>
      </c>
      <c r="B492" t="s">
        <v>178</v>
      </c>
      <c r="C492">
        <v>324441</v>
      </c>
      <c r="D492">
        <v>39378</v>
      </c>
      <c r="E492">
        <v>11371848</v>
      </c>
      <c r="F492" t="s">
        <v>35</v>
      </c>
      <c r="G492" t="s">
        <v>15</v>
      </c>
    </row>
    <row r="493" spans="1:7" x14ac:dyDescent="0.2">
      <c r="A493" t="s">
        <v>227</v>
      </c>
      <c r="B493" t="s">
        <v>228</v>
      </c>
      <c r="C493">
        <v>286840</v>
      </c>
      <c r="D493">
        <v>3035</v>
      </c>
      <c r="E493">
        <v>510595</v>
      </c>
      <c r="F493" t="s">
        <v>35</v>
      </c>
      <c r="G493" t="s">
        <v>15</v>
      </c>
    </row>
    <row r="494" spans="1:7" x14ac:dyDescent="0.2">
      <c r="A494" t="s">
        <v>851</v>
      </c>
      <c r="B494" t="s">
        <v>208</v>
      </c>
      <c r="C494">
        <v>276342</v>
      </c>
      <c r="D494">
        <v>49727</v>
      </c>
      <c r="E494">
        <v>3090784</v>
      </c>
      <c r="F494" t="s">
        <v>35</v>
      </c>
      <c r="G494" t="s">
        <v>15</v>
      </c>
    </row>
    <row r="495" spans="1:7" x14ac:dyDescent="0.2">
      <c r="A495" t="s">
        <v>852</v>
      </c>
      <c r="B495" t="s">
        <v>308</v>
      </c>
      <c r="C495">
        <v>274452</v>
      </c>
      <c r="D495">
        <v>35</v>
      </c>
      <c r="E495">
        <v>4746974</v>
      </c>
      <c r="F495" t="s">
        <v>35</v>
      </c>
      <c r="G495" t="s">
        <v>15</v>
      </c>
    </row>
    <row r="496" spans="1:7" x14ac:dyDescent="0.2">
      <c r="A496" t="s">
        <v>221</v>
      </c>
      <c r="B496" t="s">
        <v>222</v>
      </c>
      <c r="C496">
        <v>269598</v>
      </c>
      <c r="D496">
        <v>231010</v>
      </c>
      <c r="E496">
        <v>4105986</v>
      </c>
      <c r="F496" t="s">
        <v>35</v>
      </c>
      <c r="G496" t="s">
        <v>15</v>
      </c>
    </row>
    <row r="497" spans="1:7" x14ac:dyDescent="0.2">
      <c r="A497" t="s">
        <v>259</v>
      </c>
      <c r="B497" t="s">
        <v>260</v>
      </c>
      <c r="C497">
        <v>265558</v>
      </c>
      <c r="D497">
        <v>12045</v>
      </c>
      <c r="E497">
        <v>2416301</v>
      </c>
      <c r="F497" t="s">
        <v>35</v>
      </c>
      <c r="G497" t="s">
        <v>15</v>
      </c>
    </row>
    <row r="498" spans="1:7" x14ac:dyDescent="0.2">
      <c r="A498" t="s">
        <v>233</v>
      </c>
      <c r="B498" t="s">
        <v>234</v>
      </c>
      <c r="C498">
        <v>256901</v>
      </c>
      <c r="D498">
        <v>675850</v>
      </c>
      <c r="E498">
        <v>7396019</v>
      </c>
      <c r="F498" t="s">
        <v>35</v>
      </c>
      <c r="G498" t="s">
        <v>15</v>
      </c>
    </row>
    <row r="499" spans="1:7" x14ac:dyDescent="0.2">
      <c r="A499" t="s">
        <v>853</v>
      </c>
      <c r="B499" t="s">
        <v>854</v>
      </c>
      <c r="C499">
        <v>254227</v>
      </c>
      <c r="D499">
        <v>46442</v>
      </c>
      <c r="E499">
        <v>682527</v>
      </c>
      <c r="F499" t="s">
        <v>35</v>
      </c>
      <c r="G499" t="s">
        <v>15</v>
      </c>
    </row>
    <row r="500" spans="1:7" x14ac:dyDescent="0.2">
      <c r="A500" t="s">
        <v>215</v>
      </c>
      <c r="B500" t="s">
        <v>216</v>
      </c>
      <c r="C500">
        <v>254126</v>
      </c>
      <c r="D500">
        <v>691141</v>
      </c>
      <c r="E500">
        <v>6306595</v>
      </c>
      <c r="F500" t="s">
        <v>35</v>
      </c>
      <c r="G500" t="s">
        <v>15</v>
      </c>
    </row>
    <row r="501" spans="1:7" x14ac:dyDescent="0.2">
      <c r="A501" t="s">
        <v>219</v>
      </c>
      <c r="B501" t="s">
        <v>220</v>
      </c>
      <c r="C501">
        <v>252446</v>
      </c>
      <c r="D501">
        <v>307</v>
      </c>
      <c r="E501">
        <v>1239439</v>
      </c>
      <c r="F501" t="s">
        <v>35</v>
      </c>
      <c r="G501" t="s">
        <v>15</v>
      </c>
    </row>
    <row r="502" spans="1:7" x14ac:dyDescent="0.2">
      <c r="A502" t="s">
        <v>231</v>
      </c>
      <c r="B502" t="s">
        <v>232</v>
      </c>
      <c r="C502">
        <v>252351</v>
      </c>
      <c r="D502">
        <v>149458</v>
      </c>
      <c r="E502">
        <v>5228174</v>
      </c>
      <c r="F502" t="s">
        <v>35</v>
      </c>
      <c r="G502" t="s">
        <v>15</v>
      </c>
    </row>
    <row r="503" spans="1:7" x14ac:dyDescent="0.2">
      <c r="A503" t="s">
        <v>237</v>
      </c>
      <c r="B503" t="s">
        <v>238</v>
      </c>
      <c r="C503">
        <v>250025</v>
      </c>
      <c r="D503">
        <v>1552</v>
      </c>
      <c r="E503">
        <v>4151710</v>
      </c>
      <c r="F503" t="s">
        <v>35</v>
      </c>
      <c r="G503" t="s">
        <v>15</v>
      </c>
    </row>
    <row r="504" spans="1:7" x14ac:dyDescent="0.2">
      <c r="A504" t="s">
        <v>263</v>
      </c>
      <c r="B504" t="s">
        <v>264</v>
      </c>
      <c r="C504">
        <v>249233</v>
      </c>
      <c r="D504">
        <v>10989</v>
      </c>
      <c r="E504">
        <v>3671417</v>
      </c>
      <c r="F504" t="s">
        <v>35</v>
      </c>
      <c r="G504" t="s">
        <v>15</v>
      </c>
    </row>
    <row r="505" spans="1:7" x14ac:dyDescent="0.2">
      <c r="A505" t="s">
        <v>239</v>
      </c>
      <c r="B505" t="s">
        <v>240</v>
      </c>
      <c r="C505">
        <v>247973</v>
      </c>
      <c r="D505">
        <v>48988</v>
      </c>
      <c r="E505">
        <v>1590717</v>
      </c>
      <c r="F505" t="s">
        <v>35</v>
      </c>
      <c r="G505" t="s">
        <v>15</v>
      </c>
    </row>
    <row r="506" spans="1:7" x14ac:dyDescent="0.2">
      <c r="A506" t="s">
        <v>241</v>
      </c>
      <c r="B506" t="s">
        <v>242</v>
      </c>
      <c r="C506">
        <v>246344</v>
      </c>
      <c r="D506">
        <v>149115</v>
      </c>
      <c r="E506">
        <v>1950576</v>
      </c>
      <c r="F506" t="s">
        <v>35</v>
      </c>
      <c r="G506" t="s">
        <v>15</v>
      </c>
    </row>
    <row r="507" spans="1:7" x14ac:dyDescent="0.2">
      <c r="A507" t="s">
        <v>223</v>
      </c>
      <c r="B507" t="s">
        <v>224</v>
      </c>
      <c r="C507">
        <v>246321</v>
      </c>
      <c r="D507">
        <v>23205</v>
      </c>
      <c r="E507">
        <v>1466123</v>
      </c>
      <c r="F507" t="s">
        <v>35</v>
      </c>
      <c r="G507" t="s">
        <v>15</v>
      </c>
    </row>
    <row r="508" spans="1:7" x14ac:dyDescent="0.2">
      <c r="A508" t="s">
        <v>235</v>
      </c>
      <c r="B508" t="s">
        <v>236</v>
      </c>
      <c r="C508">
        <v>245658</v>
      </c>
      <c r="D508">
        <v>1040441</v>
      </c>
      <c r="E508">
        <v>6604853</v>
      </c>
      <c r="F508" t="s">
        <v>35</v>
      </c>
      <c r="G508" t="s">
        <v>15</v>
      </c>
    </row>
    <row r="509" spans="1:7" x14ac:dyDescent="0.2">
      <c r="A509" t="s">
        <v>229</v>
      </c>
      <c r="B509" t="s">
        <v>230</v>
      </c>
      <c r="C509">
        <v>243723</v>
      </c>
      <c r="D509">
        <v>1432</v>
      </c>
      <c r="E509">
        <v>3480758</v>
      </c>
      <c r="F509" t="s">
        <v>35</v>
      </c>
      <c r="G509" t="s">
        <v>15</v>
      </c>
    </row>
    <row r="510" spans="1:7" x14ac:dyDescent="0.2">
      <c r="A510" t="s">
        <v>261</v>
      </c>
      <c r="B510" t="s">
        <v>262</v>
      </c>
      <c r="C510">
        <v>235115</v>
      </c>
      <c r="D510">
        <v>1088</v>
      </c>
      <c r="E510">
        <v>3356601</v>
      </c>
      <c r="F510" t="s">
        <v>35</v>
      </c>
      <c r="G510" t="s">
        <v>15</v>
      </c>
    </row>
    <row r="511" spans="1:7" x14ac:dyDescent="0.2">
      <c r="A511" t="s">
        <v>251</v>
      </c>
      <c r="B511" t="s">
        <v>252</v>
      </c>
      <c r="C511">
        <v>231984</v>
      </c>
      <c r="D511">
        <v>21231</v>
      </c>
      <c r="E511">
        <v>3442277</v>
      </c>
      <c r="F511" t="s">
        <v>35</v>
      </c>
      <c r="G511" t="s">
        <v>15</v>
      </c>
    </row>
    <row r="512" spans="1:7" x14ac:dyDescent="0.2">
      <c r="A512" t="s">
        <v>253</v>
      </c>
      <c r="B512" t="s">
        <v>254</v>
      </c>
      <c r="C512">
        <v>231857</v>
      </c>
      <c r="D512">
        <v>29449</v>
      </c>
      <c r="E512">
        <v>4688264</v>
      </c>
      <c r="F512" t="s">
        <v>35</v>
      </c>
      <c r="G512" t="s">
        <v>15</v>
      </c>
    </row>
    <row r="513" spans="1:7" x14ac:dyDescent="0.2">
      <c r="A513" t="s">
        <v>267</v>
      </c>
      <c r="B513" t="s">
        <v>268</v>
      </c>
      <c r="C513">
        <v>221484</v>
      </c>
      <c r="D513">
        <v>1362502</v>
      </c>
      <c r="E513">
        <v>8375816</v>
      </c>
      <c r="F513" t="s">
        <v>35</v>
      </c>
      <c r="G513" t="s">
        <v>15</v>
      </c>
    </row>
    <row r="514" spans="1:7" x14ac:dyDescent="0.2">
      <c r="A514" t="s">
        <v>193</v>
      </c>
      <c r="B514" t="s">
        <v>194</v>
      </c>
      <c r="C514">
        <v>220974</v>
      </c>
      <c r="D514">
        <v>16272</v>
      </c>
      <c r="E514">
        <v>3240998</v>
      </c>
      <c r="F514" t="s">
        <v>35</v>
      </c>
      <c r="G514" t="s">
        <v>15</v>
      </c>
    </row>
    <row r="515" spans="1:7" x14ac:dyDescent="0.2">
      <c r="A515" t="s">
        <v>271</v>
      </c>
      <c r="B515" t="s">
        <v>272</v>
      </c>
      <c r="C515">
        <v>218872</v>
      </c>
      <c r="D515">
        <v>30074</v>
      </c>
      <c r="E515">
        <v>3291532</v>
      </c>
      <c r="F515" t="s">
        <v>35</v>
      </c>
      <c r="G515" t="s">
        <v>15</v>
      </c>
    </row>
    <row r="516" spans="1:7" x14ac:dyDescent="0.2">
      <c r="A516" t="s">
        <v>247</v>
      </c>
      <c r="B516" t="s">
        <v>248</v>
      </c>
      <c r="C516">
        <v>217850</v>
      </c>
      <c r="D516">
        <v>54846</v>
      </c>
      <c r="E516">
        <v>3423092</v>
      </c>
      <c r="F516" t="s">
        <v>35</v>
      </c>
      <c r="G516" t="s">
        <v>15</v>
      </c>
    </row>
    <row r="517" spans="1:7" x14ac:dyDescent="0.2">
      <c r="A517" t="s">
        <v>855</v>
      </c>
      <c r="B517" t="s">
        <v>320</v>
      </c>
      <c r="C517">
        <v>214184</v>
      </c>
      <c r="D517">
        <v>23</v>
      </c>
      <c r="E517">
        <v>3246886</v>
      </c>
      <c r="F517" t="s">
        <v>35</v>
      </c>
      <c r="G517" t="s">
        <v>15</v>
      </c>
    </row>
    <row r="518" spans="1:7" x14ac:dyDescent="0.2">
      <c r="A518" t="s">
        <v>243</v>
      </c>
      <c r="B518" t="s">
        <v>244</v>
      </c>
      <c r="C518">
        <v>210053</v>
      </c>
      <c r="D518">
        <v>2744</v>
      </c>
      <c r="E518">
        <v>2615331</v>
      </c>
      <c r="F518" t="s">
        <v>35</v>
      </c>
      <c r="G518" t="s">
        <v>15</v>
      </c>
    </row>
    <row r="519" spans="1:7" x14ac:dyDescent="0.2">
      <c r="A519" t="s">
        <v>257</v>
      </c>
      <c r="B519" t="s">
        <v>258</v>
      </c>
      <c r="C519">
        <v>206312</v>
      </c>
      <c r="D519">
        <v>56</v>
      </c>
      <c r="E519">
        <v>2999232</v>
      </c>
      <c r="F519" t="s">
        <v>35</v>
      </c>
      <c r="G519" t="s">
        <v>15</v>
      </c>
    </row>
    <row r="520" spans="1:7" x14ac:dyDescent="0.2">
      <c r="A520" t="s">
        <v>305</v>
      </c>
      <c r="B520" t="s">
        <v>306</v>
      </c>
      <c r="C520">
        <v>205949</v>
      </c>
      <c r="D520">
        <v>3814</v>
      </c>
      <c r="E520">
        <v>2954448</v>
      </c>
      <c r="F520" t="s">
        <v>35</v>
      </c>
      <c r="G520" t="s">
        <v>15</v>
      </c>
    </row>
    <row r="521" spans="1:7" x14ac:dyDescent="0.2">
      <c r="A521" t="s">
        <v>273</v>
      </c>
      <c r="B521" t="s">
        <v>274</v>
      </c>
      <c r="C521">
        <v>204977</v>
      </c>
      <c r="D521">
        <v>25360</v>
      </c>
      <c r="E521">
        <v>3069270</v>
      </c>
      <c r="F521" t="s">
        <v>35</v>
      </c>
      <c r="G521" t="s">
        <v>15</v>
      </c>
    </row>
    <row r="522" spans="1:7" x14ac:dyDescent="0.2">
      <c r="A522" t="s">
        <v>265</v>
      </c>
      <c r="B522" t="s">
        <v>266</v>
      </c>
      <c r="C522">
        <v>202259</v>
      </c>
      <c r="D522">
        <v>74648</v>
      </c>
      <c r="E522">
        <v>3856394</v>
      </c>
      <c r="F522" t="s">
        <v>35</v>
      </c>
      <c r="G522" t="s">
        <v>15</v>
      </c>
    </row>
    <row r="523" spans="1:7" x14ac:dyDescent="0.2">
      <c r="A523" t="s">
        <v>279</v>
      </c>
      <c r="B523" t="s">
        <v>280</v>
      </c>
      <c r="C523">
        <v>199449</v>
      </c>
      <c r="D523">
        <v>623823</v>
      </c>
      <c r="E523">
        <v>6669763</v>
      </c>
      <c r="F523" t="s">
        <v>35</v>
      </c>
      <c r="G523" t="s">
        <v>15</v>
      </c>
    </row>
    <row r="524" spans="1:7" x14ac:dyDescent="0.2">
      <c r="A524" t="s">
        <v>145</v>
      </c>
      <c r="B524" t="s">
        <v>146</v>
      </c>
      <c r="C524">
        <v>196934</v>
      </c>
      <c r="D524">
        <v>30757</v>
      </c>
      <c r="E524">
        <v>1995875</v>
      </c>
      <c r="F524" t="s">
        <v>35</v>
      </c>
      <c r="G524" t="s">
        <v>15</v>
      </c>
    </row>
    <row r="525" spans="1:7" x14ac:dyDescent="0.2">
      <c r="A525" t="s">
        <v>217</v>
      </c>
      <c r="B525" t="s">
        <v>218</v>
      </c>
      <c r="C525">
        <v>196125</v>
      </c>
      <c r="D525">
        <v>66783</v>
      </c>
      <c r="E525">
        <v>4005275</v>
      </c>
      <c r="F525" t="s">
        <v>35</v>
      </c>
      <c r="G525" t="s">
        <v>15</v>
      </c>
    </row>
    <row r="526" spans="1:7" x14ac:dyDescent="0.2">
      <c r="A526" t="s">
        <v>357</v>
      </c>
      <c r="B526" t="s">
        <v>358</v>
      </c>
      <c r="C526">
        <v>189527</v>
      </c>
      <c r="D526">
        <v>615</v>
      </c>
      <c r="E526">
        <v>1473384</v>
      </c>
      <c r="F526" t="s">
        <v>35</v>
      </c>
      <c r="G526" t="s">
        <v>15</v>
      </c>
    </row>
    <row r="527" spans="1:7" x14ac:dyDescent="0.2">
      <c r="A527" t="s">
        <v>269</v>
      </c>
      <c r="B527" t="s">
        <v>270</v>
      </c>
      <c r="C527">
        <v>184125</v>
      </c>
      <c r="D527">
        <v>33816</v>
      </c>
      <c r="E527">
        <v>3001423</v>
      </c>
      <c r="F527" t="s">
        <v>35</v>
      </c>
      <c r="G527" t="s">
        <v>15</v>
      </c>
    </row>
    <row r="528" spans="1:7" x14ac:dyDescent="0.2">
      <c r="A528" t="s">
        <v>297</v>
      </c>
      <c r="B528" t="s">
        <v>298</v>
      </c>
      <c r="C528">
        <v>180291</v>
      </c>
      <c r="D528">
        <v>110</v>
      </c>
      <c r="E528">
        <v>2610790</v>
      </c>
      <c r="F528" t="s">
        <v>35</v>
      </c>
      <c r="G528" t="s">
        <v>15</v>
      </c>
    </row>
    <row r="529" spans="1:7" x14ac:dyDescent="0.2">
      <c r="A529" t="s">
        <v>255</v>
      </c>
      <c r="B529" t="s">
        <v>256</v>
      </c>
      <c r="C529">
        <v>171706</v>
      </c>
      <c r="D529">
        <v>20</v>
      </c>
      <c r="E529">
        <v>2605183</v>
      </c>
      <c r="F529" t="s">
        <v>35</v>
      </c>
      <c r="G529" t="s">
        <v>15</v>
      </c>
    </row>
    <row r="530" spans="1:7" x14ac:dyDescent="0.2">
      <c r="A530" t="s">
        <v>281</v>
      </c>
      <c r="B530" t="s">
        <v>282</v>
      </c>
      <c r="C530">
        <v>171146</v>
      </c>
      <c r="D530">
        <v>87982</v>
      </c>
      <c r="E530">
        <v>4561767</v>
      </c>
      <c r="F530" t="s">
        <v>35</v>
      </c>
      <c r="G530" t="s">
        <v>15</v>
      </c>
    </row>
    <row r="531" spans="1:7" x14ac:dyDescent="0.2">
      <c r="A531" t="s">
        <v>291</v>
      </c>
      <c r="B531" t="s">
        <v>292</v>
      </c>
      <c r="C531">
        <v>165696</v>
      </c>
      <c r="D531">
        <v>971</v>
      </c>
      <c r="E531">
        <v>2361564</v>
      </c>
      <c r="F531" t="s">
        <v>35</v>
      </c>
      <c r="G531" t="s">
        <v>15</v>
      </c>
    </row>
    <row r="532" spans="1:7" x14ac:dyDescent="0.2">
      <c r="A532" t="s">
        <v>293</v>
      </c>
      <c r="B532" t="s">
        <v>294</v>
      </c>
      <c r="C532">
        <v>162960</v>
      </c>
      <c r="D532">
        <v>22691</v>
      </c>
      <c r="E532">
        <v>2257993</v>
      </c>
      <c r="F532" t="s">
        <v>35</v>
      </c>
      <c r="G532" t="s">
        <v>15</v>
      </c>
    </row>
    <row r="533" spans="1:7" x14ac:dyDescent="0.2">
      <c r="A533" t="s">
        <v>277</v>
      </c>
      <c r="B533" t="s">
        <v>278</v>
      </c>
      <c r="C533">
        <v>162756</v>
      </c>
      <c r="D533">
        <v>16311</v>
      </c>
      <c r="E533">
        <v>2411034</v>
      </c>
      <c r="F533" t="s">
        <v>35</v>
      </c>
      <c r="G533" t="s">
        <v>15</v>
      </c>
    </row>
    <row r="534" spans="1:7" x14ac:dyDescent="0.2">
      <c r="A534" t="s">
        <v>275</v>
      </c>
      <c r="B534" t="s">
        <v>276</v>
      </c>
      <c r="C534">
        <v>161179</v>
      </c>
      <c r="D534">
        <v>49888</v>
      </c>
      <c r="E534">
        <v>3368710</v>
      </c>
      <c r="F534" t="s">
        <v>35</v>
      </c>
      <c r="G534" t="s">
        <v>15</v>
      </c>
    </row>
    <row r="535" spans="1:7" x14ac:dyDescent="0.2">
      <c r="A535" t="s">
        <v>249</v>
      </c>
      <c r="B535" t="s">
        <v>250</v>
      </c>
      <c r="C535">
        <v>160618</v>
      </c>
      <c r="D535">
        <v>401291</v>
      </c>
      <c r="E535">
        <v>4363785</v>
      </c>
      <c r="F535" t="s">
        <v>35</v>
      </c>
      <c r="G535" t="s">
        <v>15</v>
      </c>
    </row>
    <row r="536" spans="1:7" x14ac:dyDescent="0.2">
      <c r="A536" t="s">
        <v>295</v>
      </c>
      <c r="B536" t="s">
        <v>296</v>
      </c>
      <c r="C536">
        <v>156174</v>
      </c>
      <c r="D536">
        <v>47627</v>
      </c>
      <c r="E536">
        <v>3098278</v>
      </c>
      <c r="F536" t="s">
        <v>35</v>
      </c>
      <c r="G536" t="s">
        <v>15</v>
      </c>
    </row>
    <row r="537" spans="1:7" x14ac:dyDescent="0.2">
      <c r="A537" t="s">
        <v>856</v>
      </c>
      <c r="B537" t="s">
        <v>857</v>
      </c>
      <c r="C537">
        <v>155917</v>
      </c>
      <c r="D537">
        <v>9555</v>
      </c>
      <c r="E537">
        <v>1535212</v>
      </c>
      <c r="F537" t="s">
        <v>35</v>
      </c>
      <c r="G537" t="s">
        <v>15</v>
      </c>
    </row>
    <row r="538" spans="1:7" x14ac:dyDescent="0.2">
      <c r="A538" t="s">
        <v>301</v>
      </c>
      <c r="B538" t="s">
        <v>302</v>
      </c>
      <c r="C538">
        <v>154617</v>
      </c>
      <c r="D538">
        <v>1304565</v>
      </c>
      <c r="E538">
        <v>7938923</v>
      </c>
      <c r="F538" t="s">
        <v>35</v>
      </c>
      <c r="G538" t="s">
        <v>15</v>
      </c>
    </row>
    <row r="539" spans="1:7" x14ac:dyDescent="0.2">
      <c r="A539" t="s">
        <v>299</v>
      </c>
      <c r="B539" t="s">
        <v>300</v>
      </c>
      <c r="C539">
        <v>151046</v>
      </c>
      <c r="D539">
        <v>692</v>
      </c>
      <c r="E539">
        <v>15472</v>
      </c>
      <c r="F539" t="s">
        <v>35</v>
      </c>
      <c r="G539" t="s">
        <v>15</v>
      </c>
    </row>
    <row r="540" spans="1:7" x14ac:dyDescent="0.2">
      <c r="A540" t="s">
        <v>287</v>
      </c>
      <c r="B540" t="s">
        <v>288</v>
      </c>
      <c r="C540">
        <v>150919</v>
      </c>
      <c r="D540">
        <v>42212</v>
      </c>
      <c r="E540">
        <v>42740032</v>
      </c>
      <c r="F540" t="s">
        <v>35</v>
      </c>
      <c r="G540" t="s">
        <v>15</v>
      </c>
    </row>
    <row r="541" spans="1:7" x14ac:dyDescent="0.2">
      <c r="A541" t="s">
        <v>311</v>
      </c>
      <c r="B541" t="s">
        <v>312</v>
      </c>
      <c r="C541">
        <v>148993</v>
      </c>
      <c r="D541">
        <v>19814</v>
      </c>
      <c r="E541">
        <v>2401990</v>
      </c>
      <c r="F541" t="s">
        <v>35</v>
      </c>
      <c r="G541" t="s">
        <v>15</v>
      </c>
    </row>
    <row r="542" spans="1:7" x14ac:dyDescent="0.2">
      <c r="A542" t="s">
        <v>309</v>
      </c>
      <c r="B542" t="s">
        <v>310</v>
      </c>
      <c r="C542">
        <v>147154</v>
      </c>
      <c r="D542">
        <v>133771</v>
      </c>
      <c r="E542">
        <v>3003413</v>
      </c>
      <c r="F542" t="s">
        <v>35</v>
      </c>
      <c r="G542" t="s">
        <v>15</v>
      </c>
    </row>
    <row r="543" spans="1:7" x14ac:dyDescent="0.2">
      <c r="A543" t="s">
        <v>283</v>
      </c>
      <c r="B543" t="s">
        <v>284</v>
      </c>
      <c r="C543">
        <v>144961</v>
      </c>
      <c r="D543">
        <v>883</v>
      </c>
      <c r="E543">
        <v>2360122</v>
      </c>
      <c r="F543" t="s">
        <v>35</v>
      </c>
      <c r="G543" t="s">
        <v>15</v>
      </c>
    </row>
    <row r="544" spans="1:7" x14ac:dyDescent="0.2">
      <c r="A544" t="s">
        <v>339</v>
      </c>
      <c r="B544" t="s">
        <v>340</v>
      </c>
      <c r="C544">
        <v>141354</v>
      </c>
      <c r="D544">
        <v>5836</v>
      </c>
      <c r="E544">
        <v>2042512</v>
      </c>
      <c r="F544" t="s">
        <v>35</v>
      </c>
      <c r="G544" t="s">
        <v>15</v>
      </c>
    </row>
    <row r="545" spans="1:7" x14ac:dyDescent="0.2">
      <c r="A545" t="s">
        <v>317</v>
      </c>
      <c r="B545" t="s">
        <v>318</v>
      </c>
      <c r="C545">
        <v>138625</v>
      </c>
      <c r="D545">
        <v>12739</v>
      </c>
      <c r="E545">
        <v>2039062</v>
      </c>
      <c r="F545" t="s">
        <v>35</v>
      </c>
      <c r="G545" t="s">
        <v>15</v>
      </c>
    </row>
    <row r="546" spans="1:7" x14ac:dyDescent="0.2">
      <c r="A546" t="s">
        <v>329</v>
      </c>
      <c r="B546" t="s">
        <v>330</v>
      </c>
      <c r="C546">
        <v>138324</v>
      </c>
      <c r="D546">
        <v>1715</v>
      </c>
      <c r="E546">
        <v>1314552</v>
      </c>
      <c r="F546" t="s">
        <v>35</v>
      </c>
      <c r="G546" t="s">
        <v>15</v>
      </c>
    </row>
    <row r="547" spans="1:7" x14ac:dyDescent="0.2">
      <c r="A547" t="s">
        <v>343</v>
      </c>
      <c r="B547" t="s">
        <v>344</v>
      </c>
      <c r="C547">
        <v>137227</v>
      </c>
      <c r="D547">
        <v>86868</v>
      </c>
      <c r="E547">
        <v>2397827</v>
      </c>
      <c r="F547" t="s">
        <v>35</v>
      </c>
      <c r="G547" t="s">
        <v>15</v>
      </c>
    </row>
    <row r="548" spans="1:7" x14ac:dyDescent="0.2">
      <c r="A548" t="s">
        <v>289</v>
      </c>
      <c r="B548" t="s">
        <v>290</v>
      </c>
      <c r="C548">
        <v>135340</v>
      </c>
      <c r="D548">
        <v>52431</v>
      </c>
      <c r="E548">
        <v>2789001</v>
      </c>
      <c r="F548" t="s">
        <v>35</v>
      </c>
      <c r="G548" t="s">
        <v>15</v>
      </c>
    </row>
    <row r="549" spans="1:7" x14ac:dyDescent="0.2">
      <c r="A549" t="s">
        <v>303</v>
      </c>
      <c r="B549" t="s">
        <v>304</v>
      </c>
      <c r="C549">
        <v>133997</v>
      </c>
      <c r="D549">
        <v>5146</v>
      </c>
      <c r="E549">
        <v>1926559</v>
      </c>
      <c r="F549" t="s">
        <v>35</v>
      </c>
      <c r="G549" t="s">
        <v>15</v>
      </c>
    </row>
    <row r="550" spans="1:7" x14ac:dyDescent="0.2">
      <c r="A550" t="s">
        <v>321</v>
      </c>
      <c r="B550" t="s">
        <v>322</v>
      </c>
      <c r="C550">
        <v>133829</v>
      </c>
      <c r="D550">
        <v>0</v>
      </c>
      <c r="E550">
        <v>1656729</v>
      </c>
      <c r="F550" t="s">
        <v>35</v>
      </c>
      <c r="G550" t="s">
        <v>15</v>
      </c>
    </row>
    <row r="551" spans="1:7" x14ac:dyDescent="0.2">
      <c r="A551" t="s">
        <v>341</v>
      </c>
      <c r="B551" t="s">
        <v>342</v>
      </c>
      <c r="C551">
        <v>133383</v>
      </c>
      <c r="D551">
        <v>4546</v>
      </c>
      <c r="E551">
        <v>1919260</v>
      </c>
      <c r="F551" t="s">
        <v>35</v>
      </c>
      <c r="G551" t="s">
        <v>15</v>
      </c>
    </row>
    <row r="552" spans="1:7" x14ac:dyDescent="0.2">
      <c r="A552" t="s">
        <v>335</v>
      </c>
      <c r="B552" t="s">
        <v>336</v>
      </c>
      <c r="C552">
        <v>131774</v>
      </c>
      <c r="D552">
        <v>8254</v>
      </c>
      <c r="E552">
        <v>1916336</v>
      </c>
      <c r="F552" t="s">
        <v>35</v>
      </c>
      <c r="G552" t="s">
        <v>15</v>
      </c>
    </row>
    <row r="553" spans="1:7" x14ac:dyDescent="0.2">
      <c r="A553" t="s">
        <v>285</v>
      </c>
      <c r="B553" t="s">
        <v>286</v>
      </c>
      <c r="C553">
        <v>127270</v>
      </c>
      <c r="D553">
        <v>45119</v>
      </c>
      <c r="E553">
        <v>1515858</v>
      </c>
      <c r="F553" t="s">
        <v>35</v>
      </c>
      <c r="G553" t="s">
        <v>15</v>
      </c>
    </row>
    <row r="554" spans="1:7" x14ac:dyDescent="0.2">
      <c r="A554" t="s">
        <v>858</v>
      </c>
      <c r="B554" t="s">
        <v>446</v>
      </c>
      <c r="C554">
        <v>126582</v>
      </c>
      <c r="D554">
        <v>3030</v>
      </c>
      <c r="E554">
        <v>3520864</v>
      </c>
      <c r="F554" t="s">
        <v>35</v>
      </c>
      <c r="G554" t="s">
        <v>15</v>
      </c>
    </row>
    <row r="555" spans="1:7" x14ac:dyDescent="0.2">
      <c r="A555" t="s">
        <v>481</v>
      </c>
      <c r="B555" t="s">
        <v>482</v>
      </c>
      <c r="C555">
        <v>124509</v>
      </c>
      <c r="D555">
        <v>11170</v>
      </c>
      <c r="E555">
        <v>2142418</v>
      </c>
      <c r="F555" t="s">
        <v>35</v>
      </c>
      <c r="G555" t="s">
        <v>15</v>
      </c>
    </row>
    <row r="556" spans="1:7" x14ac:dyDescent="0.2">
      <c r="A556" t="s">
        <v>327</v>
      </c>
      <c r="B556" t="s">
        <v>328</v>
      </c>
      <c r="C556">
        <v>121621</v>
      </c>
      <c r="D556">
        <v>106117</v>
      </c>
      <c r="E556">
        <v>2375303</v>
      </c>
      <c r="F556" t="s">
        <v>35</v>
      </c>
      <c r="G556" t="s">
        <v>15</v>
      </c>
    </row>
    <row r="557" spans="1:7" x14ac:dyDescent="0.2">
      <c r="A557" t="s">
        <v>325</v>
      </c>
      <c r="B557" t="s">
        <v>326</v>
      </c>
      <c r="C557">
        <v>118366</v>
      </c>
      <c r="D557">
        <v>28674</v>
      </c>
      <c r="E557">
        <v>2047775</v>
      </c>
      <c r="F557" t="s">
        <v>35</v>
      </c>
      <c r="G557" t="s">
        <v>15</v>
      </c>
    </row>
    <row r="558" spans="1:7" x14ac:dyDescent="0.2">
      <c r="A558" t="s">
        <v>333</v>
      </c>
      <c r="B558" t="s">
        <v>334</v>
      </c>
      <c r="C558">
        <v>117810</v>
      </c>
      <c r="D558">
        <v>5514</v>
      </c>
      <c r="E558">
        <v>1710078</v>
      </c>
      <c r="F558" t="s">
        <v>35</v>
      </c>
      <c r="G558" t="s">
        <v>15</v>
      </c>
    </row>
    <row r="559" spans="1:7" x14ac:dyDescent="0.2">
      <c r="A559" t="s">
        <v>353</v>
      </c>
      <c r="B559" t="s">
        <v>354</v>
      </c>
      <c r="C559">
        <v>114972</v>
      </c>
      <c r="D559">
        <v>81098</v>
      </c>
      <c r="E559">
        <v>1565463</v>
      </c>
      <c r="F559" t="s">
        <v>35</v>
      </c>
      <c r="G559" t="s">
        <v>15</v>
      </c>
    </row>
    <row r="560" spans="1:7" x14ac:dyDescent="0.2">
      <c r="A560" t="s">
        <v>359</v>
      </c>
      <c r="B560" t="s">
        <v>360</v>
      </c>
      <c r="C560">
        <v>111037</v>
      </c>
      <c r="D560">
        <v>22707</v>
      </c>
      <c r="E560">
        <v>1893363</v>
      </c>
      <c r="F560" t="s">
        <v>35</v>
      </c>
      <c r="G560" t="s">
        <v>15</v>
      </c>
    </row>
    <row r="561" spans="1:7" x14ac:dyDescent="0.2">
      <c r="A561" t="s">
        <v>859</v>
      </c>
      <c r="B561" t="s">
        <v>860</v>
      </c>
      <c r="C561">
        <v>110615</v>
      </c>
      <c r="D561">
        <v>587</v>
      </c>
      <c r="E561">
        <v>1999325</v>
      </c>
      <c r="F561" t="s">
        <v>35</v>
      </c>
      <c r="G561" t="s">
        <v>15</v>
      </c>
    </row>
    <row r="562" spans="1:7" x14ac:dyDescent="0.2">
      <c r="A562" t="s">
        <v>355</v>
      </c>
      <c r="B562" t="s">
        <v>356</v>
      </c>
      <c r="C562">
        <v>109978</v>
      </c>
      <c r="D562">
        <v>23032</v>
      </c>
      <c r="E562">
        <v>1571102</v>
      </c>
      <c r="F562" t="s">
        <v>35</v>
      </c>
      <c r="G562" t="s">
        <v>15</v>
      </c>
    </row>
    <row r="563" spans="1:7" x14ac:dyDescent="0.2">
      <c r="A563" t="s">
        <v>393</v>
      </c>
      <c r="B563" t="s">
        <v>394</v>
      </c>
      <c r="C563">
        <v>109135</v>
      </c>
      <c r="D563">
        <v>457</v>
      </c>
      <c r="E563">
        <v>1562839</v>
      </c>
      <c r="F563" t="s">
        <v>35</v>
      </c>
      <c r="G563" t="s">
        <v>15</v>
      </c>
    </row>
    <row r="564" spans="1:7" x14ac:dyDescent="0.2">
      <c r="A564" t="s">
        <v>347</v>
      </c>
      <c r="B564" t="s">
        <v>348</v>
      </c>
      <c r="C564">
        <v>108807</v>
      </c>
      <c r="D564">
        <v>36</v>
      </c>
      <c r="E564">
        <v>1488650</v>
      </c>
      <c r="F564" t="s">
        <v>35</v>
      </c>
      <c r="G564" t="s">
        <v>15</v>
      </c>
    </row>
    <row r="565" spans="1:7" x14ac:dyDescent="0.2">
      <c r="A565" t="s">
        <v>351</v>
      </c>
      <c r="B565" t="s">
        <v>352</v>
      </c>
      <c r="C565">
        <v>107454</v>
      </c>
      <c r="D565">
        <v>20754</v>
      </c>
      <c r="E565">
        <v>1680324</v>
      </c>
      <c r="F565" t="s">
        <v>35</v>
      </c>
      <c r="G565" t="s">
        <v>15</v>
      </c>
    </row>
    <row r="566" spans="1:7" x14ac:dyDescent="0.2">
      <c r="A566" t="s">
        <v>367</v>
      </c>
      <c r="B566" t="s">
        <v>368</v>
      </c>
      <c r="C566">
        <v>106199</v>
      </c>
      <c r="D566">
        <v>344</v>
      </c>
      <c r="E566">
        <v>681409</v>
      </c>
      <c r="F566" t="s">
        <v>35</v>
      </c>
      <c r="G566" t="s">
        <v>15</v>
      </c>
    </row>
    <row r="567" spans="1:7" x14ac:dyDescent="0.2">
      <c r="A567" t="s">
        <v>371</v>
      </c>
      <c r="B567" t="s">
        <v>372</v>
      </c>
      <c r="C567">
        <v>106158</v>
      </c>
      <c r="D567">
        <v>125</v>
      </c>
      <c r="E567">
        <v>585655</v>
      </c>
      <c r="F567" t="s">
        <v>35</v>
      </c>
      <c r="G567" t="s">
        <v>15</v>
      </c>
    </row>
    <row r="568" spans="1:7" x14ac:dyDescent="0.2">
      <c r="A568" t="s">
        <v>433</v>
      </c>
      <c r="B568" t="s">
        <v>434</v>
      </c>
      <c r="C568">
        <v>104640</v>
      </c>
      <c r="D568">
        <v>84257</v>
      </c>
      <c r="E568">
        <v>2078406</v>
      </c>
      <c r="F568" t="s">
        <v>35</v>
      </c>
      <c r="G568" t="s">
        <v>15</v>
      </c>
    </row>
    <row r="569" spans="1:7" x14ac:dyDescent="0.2">
      <c r="A569" t="s">
        <v>391</v>
      </c>
      <c r="B569" t="s">
        <v>392</v>
      </c>
      <c r="C569">
        <v>103962</v>
      </c>
      <c r="D569">
        <v>65694</v>
      </c>
      <c r="E569">
        <v>1957968</v>
      </c>
      <c r="F569" t="s">
        <v>35</v>
      </c>
      <c r="G569" t="s">
        <v>15</v>
      </c>
    </row>
    <row r="570" spans="1:7" x14ac:dyDescent="0.2">
      <c r="A570" t="s">
        <v>861</v>
      </c>
      <c r="B570" t="s">
        <v>862</v>
      </c>
      <c r="C570">
        <v>101900</v>
      </c>
      <c r="D570">
        <v>148004</v>
      </c>
      <c r="E570">
        <v>2272827</v>
      </c>
      <c r="F570" t="s">
        <v>35</v>
      </c>
      <c r="G570" t="s">
        <v>15</v>
      </c>
    </row>
    <row r="571" spans="1:7" x14ac:dyDescent="0.2">
      <c r="A571" t="s">
        <v>331</v>
      </c>
      <c r="B571" t="s">
        <v>332</v>
      </c>
      <c r="C571">
        <v>101659</v>
      </c>
      <c r="D571">
        <v>17811</v>
      </c>
      <c r="E571">
        <v>1602989</v>
      </c>
      <c r="F571" t="s">
        <v>35</v>
      </c>
      <c r="G571" t="s">
        <v>15</v>
      </c>
    </row>
    <row r="572" spans="1:7" x14ac:dyDescent="0.2">
      <c r="A572" t="s">
        <v>363</v>
      </c>
      <c r="B572" t="s">
        <v>364</v>
      </c>
      <c r="C572">
        <v>100786</v>
      </c>
      <c r="D572">
        <v>7915</v>
      </c>
      <c r="E572">
        <v>2026286</v>
      </c>
      <c r="F572" t="s">
        <v>35</v>
      </c>
      <c r="G572" t="s">
        <v>15</v>
      </c>
    </row>
    <row r="573" spans="1:7" x14ac:dyDescent="0.2">
      <c r="A573" t="s">
        <v>401</v>
      </c>
      <c r="B573" t="s">
        <v>402</v>
      </c>
      <c r="C573">
        <v>98207</v>
      </c>
      <c r="D573">
        <v>120</v>
      </c>
      <c r="E573">
        <v>1401666</v>
      </c>
      <c r="F573" t="s">
        <v>35</v>
      </c>
      <c r="G573" t="s">
        <v>15</v>
      </c>
    </row>
    <row r="574" spans="1:7" x14ac:dyDescent="0.2">
      <c r="A574" t="s">
        <v>863</v>
      </c>
      <c r="B574" t="s">
        <v>864</v>
      </c>
      <c r="C574">
        <v>98108</v>
      </c>
      <c r="D574">
        <v>19386</v>
      </c>
      <c r="E574">
        <v>1949787</v>
      </c>
      <c r="F574" t="s">
        <v>35</v>
      </c>
      <c r="G574" t="s">
        <v>15</v>
      </c>
    </row>
    <row r="575" spans="1:7" x14ac:dyDescent="0.2">
      <c r="A575" t="s">
        <v>381</v>
      </c>
      <c r="B575" t="s">
        <v>382</v>
      </c>
      <c r="C575">
        <v>97479</v>
      </c>
      <c r="D575">
        <v>4372</v>
      </c>
      <c r="E575">
        <v>1423798</v>
      </c>
      <c r="F575" t="s">
        <v>35</v>
      </c>
      <c r="G575" t="s">
        <v>15</v>
      </c>
    </row>
    <row r="576" spans="1:7" x14ac:dyDescent="0.2">
      <c r="A576" t="s">
        <v>323</v>
      </c>
      <c r="B576" t="s">
        <v>324</v>
      </c>
      <c r="C576">
        <v>97299</v>
      </c>
      <c r="D576">
        <v>307106</v>
      </c>
      <c r="E576">
        <v>3557392</v>
      </c>
      <c r="F576" t="s">
        <v>35</v>
      </c>
      <c r="G576" t="s">
        <v>15</v>
      </c>
    </row>
    <row r="577" spans="1:7" x14ac:dyDescent="0.2">
      <c r="A577" t="s">
        <v>389</v>
      </c>
      <c r="B577" t="s">
        <v>390</v>
      </c>
      <c r="C577">
        <v>96166</v>
      </c>
      <c r="D577">
        <v>17970</v>
      </c>
      <c r="E577">
        <v>598528</v>
      </c>
      <c r="F577" t="s">
        <v>35</v>
      </c>
      <c r="G577" t="s">
        <v>15</v>
      </c>
    </row>
    <row r="578" spans="1:7" x14ac:dyDescent="0.2">
      <c r="A578" t="s">
        <v>397</v>
      </c>
      <c r="B578" t="s">
        <v>398</v>
      </c>
      <c r="C578">
        <v>95998</v>
      </c>
      <c r="D578">
        <v>4062</v>
      </c>
      <c r="E578">
        <v>37640</v>
      </c>
      <c r="F578" t="s">
        <v>35</v>
      </c>
      <c r="G578" t="s">
        <v>15</v>
      </c>
    </row>
    <row r="579" spans="1:7" x14ac:dyDescent="0.2">
      <c r="A579" t="s">
        <v>361</v>
      </c>
      <c r="B579" t="s">
        <v>362</v>
      </c>
      <c r="C579">
        <v>95817</v>
      </c>
      <c r="D579">
        <v>81450</v>
      </c>
      <c r="E579">
        <v>2234699</v>
      </c>
      <c r="F579" t="s">
        <v>35</v>
      </c>
      <c r="G579" t="s">
        <v>15</v>
      </c>
    </row>
    <row r="580" spans="1:7" x14ac:dyDescent="0.2">
      <c r="A580" t="s">
        <v>373</v>
      </c>
      <c r="B580" t="s">
        <v>374</v>
      </c>
      <c r="C580">
        <v>95542</v>
      </c>
      <c r="D580">
        <v>95724</v>
      </c>
      <c r="E580">
        <v>1905429</v>
      </c>
      <c r="F580" t="s">
        <v>35</v>
      </c>
      <c r="G580" t="s">
        <v>15</v>
      </c>
    </row>
    <row r="581" spans="1:7" x14ac:dyDescent="0.2">
      <c r="A581" t="s">
        <v>471</v>
      </c>
      <c r="B581" t="s">
        <v>472</v>
      </c>
      <c r="C581">
        <v>93951</v>
      </c>
      <c r="D581">
        <v>192214</v>
      </c>
      <c r="E581">
        <v>2517947</v>
      </c>
      <c r="F581" t="s">
        <v>35</v>
      </c>
      <c r="G581" t="s">
        <v>15</v>
      </c>
    </row>
    <row r="582" spans="1:7" x14ac:dyDescent="0.2">
      <c r="A582" t="s">
        <v>349</v>
      </c>
      <c r="B582" t="s">
        <v>350</v>
      </c>
      <c r="C582">
        <v>93387</v>
      </c>
      <c r="D582">
        <v>0</v>
      </c>
      <c r="E582">
        <v>1389683</v>
      </c>
      <c r="F582" t="s">
        <v>35</v>
      </c>
      <c r="G582" t="s">
        <v>15</v>
      </c>
    </row>
    <row r="583" spans="1:7" x14ac:dyDescent="0.2">
      <c r="A583" t="s">
        <v>385</v>
      </c>
      <c r="B583" t="s">
        <v>386</v>
      </c>
      <c r="C583">
        <v>93374</v>
      </c>
      <c r="D583">
        <v>420</v>
      </c>
      <c r="E583">
        <v>1329378</v>
      </c>
      <c r="F583" t="s">
        <v>35</v>
      </c>
      <c r="G583" t="s">
        <v>15</v>
      </c>
    </row>
    <row r="584" spans="1:7" x14ac:dyDescent="0.2">
      <c r="A584" t="s">
        <v>337</v>
      </c>
      <c r="B584" t="s">
        <v>338</v>
      </c>
      <c r="C584">
        <v>93088</v>
      </c>
      <c r="D584">
        <v>164</v>
      </c>
      <c r="E584">
        <v>1326809</v>
      </c>
      <c r="F584" t="s">
        <v>35</v>
      </c>
      <c r="G584" t="s">
        <v>15</v>
      </c>
    </row>
    <row r="585" spans="1:7" x14ac:dyDescent="0.2">
      <c r="A585" t="s">
        <v>405</v>
      </c>
      <c r="B585" t="s">
        <v>406</v>
      </c>
      <c r="C585">
        <v>92729</v>
      </c>
      <c r="D585">
        <v>263</v>
      </c>
      <c r="E585">
        <v>48413</v>
      </c>
      <c r="F585" t="s">
        <v>35</v>
      </c>
      <c r="G585" t="s">
        <v>15</v>
      </c>
    </row>
    <row r="586" spans="1:7" x14ac:dyDescent="0.2">
      <c r="A586" t="s">
        <v>365</v>
      </c>
      <c r="B586" t="s">
        <v>366</v>
      </c>
      <c r="C586">
        <v>91706</v>
      </c>
      <c r="D586">
        <v>2556</v>
      </c>
      <c r="E586">
        <v>1325474</v>
      </c>
      <c r="F586" t="s">
        <v>35</v>
      </c>
      <c r="G586" t="s">
        <v>15</v>
      </c>
    </row>
    <row r="587" spans="1:7" x14ac:dyDescent="0.2">
      <c r="A587" t="s">
        <v>421</v>
      </c>
      <c r="B587" t="s">
        <v>422</v>
      </c>
      <c r="C587">
        <v>89857</v>
      </c>
      <c r="D587">
        <v>13</v>
      </c>
      <c r="E587">
        <v>1519583</v>
      </c>
      <c r="F587" t="s">
        <v>35</v>
      </c>
      <c r="G587" t="s">
        <v>15</v>
      </c>
    </row>
    <row r="588" spans="1:7" x14ac:dyDescent="0.2">
      <c r="A588" t="s">
        <v>465</v>
      </c>
      <c r="B588" t="s">
        <v>466</v>
      </c>
      <c r="C588">
        <v>88376</v>
      </c>
      <c r="D588">
        <v>26</v>
      </c>
      <c r="E588">
        <v>692073</v>
      </c>
      <c r="F588" t="s">
        <v>35</v>
      </c>
      <c r="G588" t="s">
        <v>15</v>
      </c>
    </row>
    <row r="589" spans="1:7" x14ac:dyDescent="0.2">
      <c r="A589" t="s">
        <v>423</v>
      </c>
      <c r="B589" t="s">
        <v>424</v>
      </c>
      <c r="C589">
        <v>87817</v>
      </c>
      <c r="D589">
        <v>11968</v>
      </c>
      <c r="E589">
        <v>684007</v>
      </c>
      <c r="F589" t="s">
        <v>35</v>
      </c>
      <c r="G589" t="s">
        <v>15</v>
      </c>
    </row>
    <row r="590" spans="1:7" x14ac:dyDescent="0.2">
      <c r="A590" t="s">
        <v>313</v>
      </c>
      <c r="B590" t="s">
        <v>314</v>
      </c>
      <c r="C590">
        <v>87795</v>
      </c>
      <c r="D590">
        <v>93615</v>
      </c>
      <c r="E590">
        <v>1729011</v>
      </c>
      <c r="F590" t="s">
        <v>35</v>
      </c>
      <c r="G590" t="s">
        <v>15</v>
      </c>
    </row>
    <row r="591" spans="1:7" x14ac:dyDescent="0.2">
      <c r="A591" t="s">
        <v>403</v>
      </c>
      <c r="B591" t="s">
        <v>404</v>
      </c>
      <c r="C591">
        <v>87354</v>
      </c>
      <c r="D591">
        <v>636</v>
      </c>
      <c r="E591">
        <v>834218</v>
      </c>
      <c r="F591" t="s">
        <v>35</v>
      </c>
      <c r="G591" t="s">
        <v>15</v>
      </c>
    </row>
    <row r="592" spans="1:7" x14ac:dyDescent="0.2">
      <c r="A592" t="s">
        <v>377</v>
      </c>
      <c r="B592" t="s">
        <v>378</v>
      </c>
      <c r="C592">
        <v>86640</v>
      </c>
      <c r="D592">
        <v>12537</v>
      </c>
      <c r="E592">
        <v>755900</v>
      </c>
      <c r="F592" t="s">
        <v>35</v>
      </c>
      <c r="G592" t="s">
        <v>15</v>
      </c>
    </row>
    <row r="593" spans="1:7" x14ac:dyDescent="0.2">
      <c r="A593" t="s">
        <v>383</v>
      </c>
      <c r="B593" t="s">
        <v>384</v>
      </c>
      <c r="C593">
        <v>86168</v>
      </c>
      <c r="D593">
        <v>8797</v>
      </c>
      <c r="E593">
        <v>1276344</v>
      </c>
      <c r="F593" t="s">
        <v>35</v>
      </c>
      <c r="G593" t="s">
        <v>15</v>
      </c>
    </row>
    <row r="594" spans="1:7" x14ac:dyDescent="0.2">
      <c r="A594" t="s">
        <v>411</v>
      </c>
      <c r="B594" t="s">
        <v>412</v>
      </c>
      <c r="C594">
        <v>84151</v>
      </c>
      <c r="D594">
        <v>3360</v>
      </c>
      <c r="E594">
        <v>1227988</v>
      </c>
      <c r="F594" t="s">
        <v>35</v>
      </c>
      <c r="G594" t="s">
        <v>15</v>
      </c>
    </row>
    <row r="595" spans="1:7" x14ac:dyDescent="0.2">
      <c r="A595" t="s">
        <v>427</v>
      </c>
      <c r="B595" t="s">
        <v>428</v>
      </c>
      <c r="C595">
        <v>83559</v>
      </c>
      <c r="D595">
        <v>691</v>
      </c>
      <c r="E595">
        <v>1194109</v>
      </c>
      <c r="F595" t="s">
        <v>35</v>
      </c>
      <c r="G595" t="s">
        <v>15</v>
      </c>
    </row>
    <row r="596" spans="1:7" x14ac:dyDescent="0.2">
      <c r="A596" t="s">
        <v>409</v>
      </c>
      <c r="B596" t="s">
        <v>410</v>
      </c>
      <c r="C596">
        <v>83512</v>
      </c>
      <c r="D596">
        <v>158771</v>
      </c>
      <c r="E596">
        <v>2588775</v>
      </c>
      <c r="F596" t="s">
        <v>35</v>
      </c>
      <c r="G596" t="s">
        <v>15</v>
      </c>
    </row>
    <row r="597" spans="1:7" x14ac:dyDescent="0.2">
      <c r="A597" t="s">
        <v>369</v>
      </c>
      <c r="B597" t="s">
        <v>370</v>
      </c>
      <c r="C597">
        <v>82153</v>
      </c>
      <c r="D597">
        <v>79211</v>
      </c>
      <c r="E597">
        <v>1604929</v>
      </c>
      <c r="F597" t="s">
        <v>35</v>
      </c>
      <c r="G597" t="s">
        <v>15</v>
      </c>
    </row>
    <row r="598" spans="1:7" x14ac:dyDescent="0.2">
      <c r="A598" t="s">
        <v>435</v>
      </c>
      <c r="B598" t="s">
        <v>436</v>
      </c>
      <c r="C598">
        <v>80696</v>
      </c>
      <c r="D598">
        <v>148150</v>
      </c>
      <c r="E598">
        <v>2614390</v>
      </c>
      <c r="F598" t="s">
        <v>35</v>
      </c>
      <c r="G598" t="s">
        <v>15</v>
      </c>
    </row>
    <row r="599" spans="1:7" x14ac:dyDescent="0.2">
      <c r="A599" t="s">
        <v>443</v>
      </c>
      <c r="B599" t="s">
        <v>444</v>
      </c>
      <c r="C599">
        <v>79540</v>
      </c>
      <c r="D599">
        <v>269</v>
      </c>
      <c r="E599">
        <v>1134887</v>
      </c>
      <c r="F599" t="s">
        <v>35</v>
      </c>
      <c r="G599" t="s">
        <v>15</v>
      </c>
    </row>
    <row r="600" spans="1:7" x14ac:dyDescent="0.2">
      <c r="A600" t="s">
        <v>557</v>
      </c>
      <c r="B600" t="s">
        <v>558</v>
      </c>
      <c r="C600">
        <v>79183</v>
      </c>
      <c r="D600">
        <v>28436</v>
      </c>
      <c r="E600">
        <v>1138544</v>
      </c>
      <c r="F600" t="s">
        <v>35</v>
      </c>
      <c r="G600" t="s">
        <v>15</v>
      </c>
    </row>
    <row r="601" spans="1:7" x14ac:dyDescent="0.2">
      <c r="A601" t="s">
        <v>399</v>
      </c>
      <c r="B601" t="s">
        <v>400</v>
      </c>
      <c r="C601">
        <v>79060</v>
      </c>
      <c r="D601">
        <v>259992</v>
      </c>
      <c r="E601">
        <v>2924328</v>
      </c>
      <c r="F601" t="s">
        <v>35</v>
      </c>
      <c r="G601" t="s">
        <v>15</v>
      </c>
    </row>
    <row r="602" spans="1:7" x14ac:dyDescent="0.2">
      <c r="A602" t="s">
        <v>865</v>
      </c>
      <c r="B602" t="s">
        <v>866</v>
      </c>
      <c r="C602">
        <v>78901</v>
      </c>
      <c r="D602">
        <v>16</v>
      </c>
      <c r="E602">
        <v>9144</v>
      </c>
      <c r="F602" t="s">
        <v>35</v>
      </c>
      <c r="G602" t="s">
        <v>15</v>
      </c>
    </row>
    <row r="603" spans="1:7" x14ac:dyDescent="0.2">
      <c r="A603" t="s">
        <v>419</v>
      </c>
      <c r="B603" t="s">
        <v>420</v>
      </c>
      <c r="C603">
        <v>75509</v>
      </c>
      <c r="D603">
        <v>116472</v>
      </c>
      <c r="E603">
        <v>1946853</v>
      </c>
      <c r="F603" t="s">
        <v>35</v>
      </c>
      <c r="G603" t="s">
        <v>15</v>
      </c>
    </row>
    <row r="604" spans="1:7" x14ac:dyDescent="0.2">
      <c r="A604" t="s">
        <v>425</v>
      </c>
      <c r="B604" t="s">
        <v>426</v>
      </c>
      <c r="C604">
        <v>75211</v>
      </c>
      <c r="D604">
        <v>49515</v>
      </c>
      <c r="E604">
        <v>1175600</v>
      </c>
      <c r="F604" t="s">
        <v>35</v>
      </c>
      <c r="G604" t="s">
        <v>15</v>
      </c>
    </row>
    <row r="605" spans="1:7" x14ac:dyDescent="0.2">
      <c r="A605" t="s">
        <v>867</v>
      </c>
      <c r="B605" t="s">
        <v>868</v>
      </c>
      <c r="C605">
        <v>74944</v>
      </c>
      <c r="D605">
        <v>6582</v>
      </c>
      <c r="E605">
        <v>553216</v>
      </c>
      <c r="F605" t="s">
        <v>35</v>
      </c>
      <c r="G605" t="s">
        <v>15</v>
      </c>
    </row>
    <row r="606" spans="1:7" x14ac:dyDescent="0.2">
      <c r="A606" t="s">
        <v>491</v>
      </c>
      <c r="B606" t="s">
        <v>492</v>
      </c>
      <c r="C606">
        <v>74007</v>
      </c>
      <c r="D606">
        <v>289214</v>
      </c>
      <c r="E606">
        <v>2026535</v>
      </c>
      <c r="F606" t="s">
        <v>35</v>
      </c>
      <c r="G606" t="s">
        <v>15</v>
      </c>
    </row>
    <row r="607" spans="1:7" x14ac:dyDescent="0.2">
      <c r="A607" t="s">
        <v>431</v>
      </c>
      <c r="B607" t="s">
        <v>432</v>
      </c>
      <c r="C607">
        <v>73704</v>
      </c>
      <c r="D607">
        <v>8401</v>
      </c>
      <c r="E607">
        <v>1068170</v>
      </c>
      <c r="F607" t="s">
        <v>35</v>
      </c>
      <c r="G607" t="s">
        <v>15</v>
      </c>
    </row>
    <row r="608" spans="1:7" x14ac:dyDescent="0.2">
      <c r="A608" t="s">
        <v>457</v>
      </c>
      <c r="B608" t="s">
        <v>458</v>
      </c>
      <c r="C608">
        <v>72441</v>
      </c>
      <c r="D608">
        <v>3814</v>
      </c>
      <c r="E608">
        <v>988227</v>
      </c>
      <c r="F608" t="s">
        <v>35</v>
      </c>
      <c r="G608" t="s">
        <v>15</v>
      </c>
    </row>
    <row r="609" spans="1:7" x14ac:dyDescent="0.2">
      <c r="A609" t="s">
        <v>869</v>
      </c>
      <c r="B609" t="s">
        <v>870</v>
      </c>
      <c r="C609">
        <v>72318</v>
      </c>
      <c r="D609">
        <v>13036</v>
      </c>
      <c r="E609">
        <v>1257408</v>
      </c>
      <c r="F609" t="s">
        <v>35</v>
      </c>
      <c r="G609" t="s">
        <v>15</v>
      </c>
    </row>
    <row r="610" spans="1:7" x14ac:dyDescent="0.2">
      <c r="A610" t="s">
        <v>483</v>
      </c>
      <c r="B610" t="s">
        <v>484</v>
      </c>
      <c r="C610">
        <v>70961</v>
      </c>
      <c r="D610">
        <v>23727</v>
      </c>
      <c r="E610">
        <v>1125337</v>
      </c>
      <c r="F610" t="s">
        <v>35</v>
      </c>
      <c r="G610" t="s">
        <v>15</v>
      </c>
    </row>
    <row r="611" spans="1:7" x14ac:dyDescent="0.2">
      <c r="A611" t="s">
        <v>461</v>
      </c>
      <c r="B611" t="s">
        <v>462</v>
      </c>
      <c r="C611">
        <v>70036</v>
      </c>
      <c r="D611">
        <v>31872</v>
      </c>
      <c r="E611">
        <v>1508943</v>
      </c>
      <c r="F611" t="s">
        <v>35</v>
      </c>
      <c r="G611" t="s">
        <v>15</v>
      </c>
    </row>
    <row r="612" spans="1:7" x14ac:dyDescent="0.2">
      <c r="A612" t="s">
        <v>429</v>
      </c>
      <c r="B612" t="s">
        <v>430</v>
      </c>
      <c r="C612">
        <v>69853</v>
      </c>
      <c r="D612">
        <v>42449</v>
      </c>
      <c r="E612">
        <v>784090</v>
      </c>
      <c r="F612" t="s">
        <v>35</v>
      </c>
      <c r="G612" t="s">
        <v>15</v>
      </c>
    </row>
    <row r="613" spans="1:7" x14ac:dyDescent="0.2">
      <c r="A613" t="s">
        <v>447</v>
      </c>
      <c r="B613" t="s">
        <v>448</v>
      </c>
      <c r="C613">
        <v>69624</v>
      </c>
      <c r="D613">
        <v>401</v>
      </c>
      <c r="E613">
        <v>991469</v>
      </c>
      <c r="F613" t="s">
        <v>35</v>
      </c>
      <c r="G613" t="s">
        <v>15</v>
      </c>
    </row>
    <row r="614" spans="1:7" x14ac:dyDescent="0.2">
      <c r="A614" t="s">
        <v>451</v>
      </c>
      <c r="B614" t="s">
        <v>452</v>
      </c>
      <c r="C614">
        <v>68905</v>
      </c>
      <c r="D614">
        <v>32248</v>
      </c>
      <c r="E614">
        <v>1203374</v>
      </c>
      <c r="F614" t="s">
        <v>35</v>
      </c>
      <c r="G614" t="s">
        <v>15</v>
      </c>
    </row>
    <row r="615" spans="1:7" x14ac:dyDescent="0.2">
      <c r="A615" t="s">
        <v>503</v>
      </c>
      <c r="B615" t="s">
        <v>504</v>
      </c>
      <c r="C615">
        <v>68490</v>
      </c>
      <c r="D615">
        <v>67</v>
      </c>
      <c r="E615">
        <v>974289</v>
      </c>
      <c r="F615" t="s">
        <v>35</v>
      </c>
      <c r="G615" t="s">
        <v>15</v>
      </c>
    </row>
    <row r="616" spans="1:7" x14ac:dyDescent="0.2">
      <c r="A616" t="s">
        <v>437</v>
      </c>
      <c r="B616" t="s">
        <v>438</v>
      </c>
      <c r="C616">
        <v>66070</v>
      </c>
      <c r="D616">
        <v>48</v>
      </c>
      <c r="E616">
        <v>971535</v>
      </c>
      <c r="F616" t="s">
        <v>35</v>
      </c>
      <c r="G616" t="s">
        <v>15</v>
      </c>
    </row>
    <row r="617" spans="1:7" x14ac:dyDescent="0.2">
      <c r="A617" t="s">
        <v>449</v>
      </c>
      <c r="B617" t="s">
        <v>450</v>
      </c>
      <c r="C617">
        <v>65504</v>
      </c>
      <c r="D617">
        <v>890</v>
      </c>
      <c r="E617">
        <v>936733</v>
      </c>
      <c r="F617" t="s">
        <v>35</v>
      </c>
      <c r="G617" t="s">
        <v>15</v>
      </c>
    </row>
    <row r="618" spans="1:7" x14ac:dyDescent="0.2">
      <c r="A618" t="s">
        <v>519</v>
      </c>
      <c r="B618" t="s">
        <v>520</v>
      </c>
      <c r="C618">
        <v>65010</v>
      </c>
      <c r="D618">
        <v>0</v>
      </c>
      <c r="E618">
        <v>410472</v>
      </c>
      <c r="F618" t="s">
        <v>35</v>
      </c>
      <c r="G618" t="s">
        <v>15</v>
      </c>
    </row>
    <row r="619" spans="1:7" x14ac:dyDescent="0.2">
      <c r="A619" t="s">
        <v>453</v>
      </c>
      <c r="B619" t="s">
        <v>454</v>
      </c>
      <c r="C619">
        <v>64988</v>
      </c>
      <c r="D619">
        <v>0</v>
      </c>
      <c r="E619">
        <v>927527</v>
      </c>
      <c r="F619" t="s">
        <v>35</v>
      </c>
      <c r="G619" t="s">
        <v>15</v>
      </c>
    </row>
    <row r="620" spans="1:7" x14ac:dyDescent="0.2">
      <c r="A620" t="s">
        <v>479</v>
      </c>
      <c r="B620" t="s">
        <v>480</v>
      </c>
      <c r="C620">
        <v>64887</v>
      </c>
      <c r="D620">
        <v>109766</v>
      </c>
      <c r="E620">
        <v>2795504</v>
      </c>
      <c r="F620" t="s">
        <v>35</v>
      </c>
      <c r="G620" t="s">
        <v>15</v>
      </c>
    </row>
    <row r="621" spans="1:7" x14ac:dyDescent="0.2">
      <c r="A621" t="s">
        <v>505</v>
      </c>
      <c r="B621" t="s">
        <v>506</v>
      </c>
      <c r="C621">
        <v>63131</v>
      </c>
      <c r="D621">
        <v>131449</v>
      </c>
      <c r="E621">
        <v>1729230</v>
      </c>
      <c r="F621" t="s">
        <v>35</v>
      </c>
      <c r="G621" t="s">
        <v>15</v>
      </c>
    </row>
    <row r="622" spans="1:7" x14ac:dyDescent="0.2">
      <c r="A622" t="s">
        <v>413</v>
      </c>
      <c r="B622" t="s">
        <v>414</v>
      </c>
      <c r="C622">
        <v>62997</v>
      </c>
      <c r="D622">
        <v>267</v>
      </c>
      <c r="E622">
        <v>30718</v>
      </c>
      <c r="F622" t="s">
        <v>35</v>
      </c>
      <c r="G622" t="s">
        <v>15</v>
      </c>
    </row>
    <row r="623" spans="1:7" x14ac:dyDescent="0.2">
      <c r="A623" t="s">
        <v>871</v>
      </c>
      <c r="B623" t="s">
        <v>396</v>
      </c>
      <c r="C623">
        <v>62598</v>
      </c>
      <c r="D623">
        <v>129591</v>
      </c>
      <c r="E623">
        <v>3558478</v>
      </c>
      <c r="F623" t="s">
        <v>35</v>
      </c>
      <c r="G623" t="s">
        <v>15</v>
      </c>
    </row>
    <row r="624" spans="1:7" x14ac:dyDescent="0.2">
      <c r="A624" t="s">
        <v>477</v>
      </c>
      <c r="B624" t="s">
        <v>478</v>
      </c>
      <c r="C624">
        <v>62139</v>
      </c>
      <c r="D624">
        <v>4255</v>
      </c>
      <c r="E624">
        <v>59188</v>
      </c>
      <c r="F624" t="s">
        <v>35</v>
      </c>
      <c r="G624" t="s">
        <v>15</v>
      </c>
    </row>
    <row r="625" spans="1:7" x14ac:dyDescent="0.2">
      <c r="A625" t="s">
        <v>497</v>
      </c>
      <c r="B625" t="s">
        <v>498</v>
      </c>
      <c r="C625">
        <v>61535</v>
      </c>
      <c r="D625">
        <v>132836</v>
      </c>
      <c r="E625">
        <v>1580803</v>
      </c>
      <c r="F625" t="s">
        <v>35</v>
      </c>
      <c r="G625" t="s">
        <v>15</v>
      </c>
    </row>
    <row r="626" spans="1:7" x14ac:dyDescent="0.2">
      <c r="A626" t="s">
        <v>872</v>
      </c>
      <c r="B626" t="s">
        <v>873</v>
      </c>
      <c r="C626">
        <v>61322</v>
      </c>
      <c r="D626">
        <v>32</v>
      </c>
      <c r="E626">
        <v>908713</v>
      </c>
      <c r="F626" t="s">
        <v>35</v>
      </c>
      <c r="G626" t="s">
        <v>15</v>
      </c>
    </row>
    <row r="627" spans="1:7" x14ac:dyDescent="0.2">
      <c r="A627" t="s">
        <v>507</v>
      </c>
      <c r="B627" t="s">
        <v>508</v>
      </c>
      <c r="C627">
        <v>61024</v>
      </c>
      <c r="D627">
        <v>19580</v>
      </c>
      <c r="E627">
        <v>976978</v>
      </c>
      <c r="F627" t="s">
        <v>35</v>
      </c>
      <c r="G627" t="s">
        <v>15</v>
      </c>
    </row>
    <row r="628" spans="1:7" x14ac:dyDescent="0.2">
      <c r="A628" t="s">
        <v>469</v>
      </c>
      <c r="B628" t="s">
        <v>470</v>
      </c>
      <c r="C628">
        <v>60753</v>
      </c>
      <c r="D628">
        <v>107</v>
      </c>
      <c r="E628">
        <v>919654</v>
      </c>
      <c r="F628" t="s">
        <v>35</v>
      </c>
      <c r="G628" t="s">
        <v>15</v>
      </c>
    </row>
    <row r="629" spans="1:7" x14ac:dyDescent="0.2">
      <c r="A629" t="s">
        <v>463</v>
      </c>
      <c r="B629" t="s">
        <v>464</v>
      </c>
      <c r="C629">
        <v>60533</v>
      </c>
      <c r="D629">
        <v>18090</v>
      </c>
      <c r="E629">
        <v>331966</v>
      </c>
      <c r="F629" t="s">
        <v>35</v>
      </c>
      <c r="G629" t="s">
        <v>15</v>
      </c>
    </row>
    <row r="630" spans="1:7" x14ac:dyDescent="0.2">
      <c r="A630" t="s">
        <v>489</v>
      </c>
      <c r="B630" t="s">
        <v>490</v>
      </c>
      <c r="C630">
        <v>60379</v>
      </c>
      <c r="D630">
        <v>196</v>
      </c>
      <c r="E630">
        <v>1069568</v>
      </c>
      <c r="F630" t="s">
        <v>35</v>
      </c>
      <c r="G630" t="s">
        <v>15</v>
      </c>
    </row>
    <row r="631" spans="1:7" x14ac:dyDescent="0.2">
      <c r="A631" t="s">
        <v>485</v>
      </c>
      <c r="B631" t="s">
        <v>486</v>
      </c>
      <c r="C631">
        <v>59895</v>
      </c>
      <c r="D631">
        <v>83</v>
      </c>
      <c r="E631">
        <v>6070</v>
      </c>
      <c r="F631" t="s">
        <v>35</v>
      </c>
      <c r="G631" t="s">
        <v>15</v>
      </c>
    </row>
    <row r="632" spans="1:7" x14ac:dyDescent="0.2">
      <c r="A632" t="s">
        <v>475</v>
      </c>
      <c r="B632" t="s">
        <v>476</v>
      </c>
      <c r="C632">
        <v>59452</v>
      </c>
      <c r="D632">
        <v>24305</v>
      </c>
      <c r="E632">
        <v>1345848</v>
      </c>
      <c r="F632" t="s">
        <v>35</v>
      </c>
      <c r="G632" t="s">
        <v>15</v>
      </c>
    </row>
    <row r="633" spans="1:7" x14ac:dyDescent="0.2">
      <c r="A633" t="s">
        <v>874</v>
      </c>
      <c r="B633" t="s">
        <v>875</v>
      </c>
      <c r="C633">
        <v>59369</v>
      </c>
      <c r="D633">
        <v>7767</v>
      </c>
      <c r="E633">
        <v>985223</v>
      </c>
      <c r="F633" t="s">
        <v>35</v>
      </c>
      <c r="G633" t="s">
        <v>15</v>
      </c>
    </row>
    <row r="634" spans="1:7" x14ac:dyDescent="0.2">
      <c r="A634" t="s">
        <v>876</v>
      </c>
      <c r="B634" t="s">
        <v>877</v>
      </c>
      <c r="C634">
        <v>58538</v>
      </c>
      <c r="D634">
        <v>20086</v>
      </c>
      <c r="E634">
        <v>1140744</v>
      </c>
      <c r="F634" t="s">
        <v>35</v>
      </c>
      <c r="G634" t="s">
        <v>15</v>
      </c>
    </row>
    <row r="635" spans="1:7" x14ac:dyDescent="0.2">
      <c r="A635" t="s">
        <v>493</v>
      </c>
      <c r="B635" t="s">
        <v>494</v>
      </c>
      <c r="C635">
        <v>58112</v>
      </c>
      <c r="D635">
        <v>794</v>
      </c>
      <c r="E635">
        <v>845746</v>
      </c>
      <c r="F635" t="s">
        <v>35</v>
      </c>
      <c r="G635" t="s">
        <v>15</v>
      </c>
    </row>
    <row r="636" spans="1:7" x14ac:dyDescent="0.2">
      <c r="A636" t="s">
        <v>878</v>
      </c>
      <c r="B636" t="s">
        <v>879</v>
      </c>
      <c r="C636">
        <v>57843</v>
      </c>
      <c r="D636">
        <v>4781</v>
      </c>
      <c r="E636">
        <v>852803</v>
      </c>
      <c r="F636" t="s">
        <v>35</v>
      </c>
      <c r="G636" t="s">
        <v>15</v>
      </c>
    </row>
    <row r="637" spans="1:7" x14ac:dyDescent="0.2">
      <c r="A637" t="s">
        <v>499</v>
      </c>
      <c r="B637" t="s">
        <v>500</v>
      </c>
      <c r="C637">
        <v>57611</v>
      </c>
      <c r="D637">
        <v>1886</v>
      </c>
      <c r="E637">
        <v>829310</v>
      </c>
      <c r="F637" t="s">
        <v>35</v>
      </c>
      <c r="G637" t="s">
        <v>15</v>
      </c>
    </row>
    <row r="638" spans="1:7" x14ac:dyDescent="0.2">
      <c r="A638" t="s">
        <v>533</v>
      </c>
      <c r="B638" t="s">
        <v>534</v>
      </c>
      <c r="C638">
        <v>57259</v>
      </c>
      <c r="D638">
        <v>2086</v>
      </c>
      <c r="E638">
        <v>825051</v>
      </c>
      <c r="F638" t="s">
        <v>35</v>
      </c>
      <c r="G638" t="s">
        <v>15</v>
      </c>
    </row>
    <row r="639" spans="1:7" x14ac:dyDescent="0.2">
      <c r="A639" t="s">
        <v>523</v>
      </c>
      <c r="B639" t="s">
        <v>524</v>
      </c>
      <c r="C639">
        <v>56351</v>
      </c>
      <c r="D639">
        <v>93362</v>
      </c>
      <c r="E639">
        <v>1350857</v>
      </c>
      <c r="F639" t="s">
        <v>35</v>
      </c>
      <c r="G639" t="s">
        <v>15</v>
      </c>
    </row>
    <row r="640" spans="1:7" x14ac:dyDescent="0.2">
      <c r="A640" t="s">
        <v>880</v>
      </c>
      <c r="B640" t="s">
        <v>881</v>
      </c>
      <c r="C640">
        <v>56129</v>
      </c>
      <c r="D640">
        <v>3423</v>
      </c>
      <c r="E640">
        <v>1123787</v>
      </c>
      <c r="F640" t="s">
        <v>35</v>
      </c>
      <c r="G640" t="s">
        <v>15</v>
      </c>
    </row>
    <row r="641" spans="1:7" x14ac:dyDescent="0.2">
      <c r="A641" t="s">
        <v>511</v>
      </c>
      <c r="B641" t="s">
        <v>512</v>
      </c>
      <c r="C641">
        <v>55966</v>
      </c>
      <c r="D641">
        <v>487582</v>
      </c>
      <c r="E641">
        <v>3766583</v>
      </c>
      <c r="F641" t="s">
        <v>35</v>
      </c>
      <c r="G641" t="s">
        <v>15</v>
      </c>
    </row>
    <row r="642" spans="1:7" x14ac:dyDescent="0.2">
      <c r="A642" t="s">
        <v>553</v>
      </c>
      <c r="B642" t="s">
        <v>554</v>
      </c>
      <c r="C642">
        <v>55737</v>
      </c>
      <c r="D642">
        <v>14423</v>
      </c>
      <c r="E642">
        <v>1159505</v>
      </c>
      <c r="F642" t="s">
        <v>35</v>
      </c>
      <c r="G642" t="s">
        <v>15</v>
      </c>
    </row>
    <row r="643" spans="1:7" x14ac:dyDescent="0.2">
      <c r="A643" t="s">
        <v>379</v>
      </c>
      <c r="B643" t="s">
        <v>380</v>
      </c>
      <c r="C643">
        <v>55136</v>
      </c>
      <c r="D643">
        <v>6</v>
      </c>
      <c r="E643">
        <v>787502</v>
      </c>
      <c r="F643" t="s">
        <v>35</v>
      </c>
      <c r="G643" t="s">
        <v>15</v>
      </c>
    </row>
    <row r="644" spans="1:7" x14ac:dyDescent="0.2">
      <c r="A644" t="s">
        <v>515</v>
      </c>
      <c r="B644" t="s">
        <v>516</v>
      </c>
      <c r="C644">
        <v>54696</v>
      </c>
      <c r="D644">
        <v>198427</v>
      </c>
      <c r="E644">
        <v>3767322</v>
      </c>
      <c r="F644" t="s">
        <v>35</v>
      </c>
      <c r="G644" t="s">
        <v>15</v>
      </c>
    </row>
    <row r="645" spans="1:7" x14ac:dyDescent="0.2">
      <c r="A645" t="s">
        <v>543</v>
      </c>
      <c r="B645" t="s">
        <v>544</v>
      </c>
      <c r="C645">
        <v>54402</v>
      </c>
      <c r="D645">
        <v>185</v>
      </c>
      <c r="E645">
        <v>6481321</v>
      </c>
      <c r="F645" t="s">
        <v>35</v>
      </c>
      <c r="G645" t="s">
        <v>15</v>
      </c>
    </row>
    <row r="646" spans="1:7" x14ac:dyDescent="0.2">
      <c r="A646" t="s">
        <v>525</v>
      </c>
      <c r="B646" t="s">
        <v>526</v>
      </c>
      <c r="C646">
        <v>53824</v>
      </c>
      <c r="D646">
        <v>49697</v>
      </c>
      <c r="E646">
        <v>1293117</v>
      </c>
      <c r="F646" t="s">
        <v>35</v>
      </c>
      <c r="G646" t="s">
        <v>15</v>
      </c>
    </row>
    <row r="647" spans="1:7" x14ac:dyDescent="0.2">
      <c r="A647" t="s">
        <v>882</v>
      </c>
      <c r="B647" t="s">
        <v>883</v>
      </c>
      <c r="C647">
        <v>53439</v>
      </c>
      <c r="D647">
        <v>2199</v>
      </c>
      <c r="E647">
        <v>770297</v>
      </c>
      <c r="F647" t="s">
        <v>35</v>
      </c>
      <c r="G647" t="s">
        <v>15</v>
      </c>
    </row>
    <row r="648" spans="1:7" x14ac:dyDescent="0.2">
      <c r="A648" t="s">
        <v>529</v>
      </c>
      <c r="B648" t="s">
        <v>530</v>
      </c>
      <c r="C648">
        <v>53367</v>
      </c>
      <c r="D648">
        <v>106584</v>
      </c>
      <c r="E648">
        <v>1636720</v>
      </c>
      <c r="F648" t="s">
        <v>35</v>
      </c>
      <c r="G648" t="s">
        <v>15</v>
      </c>
    </row>
    <row r="649" spans="1:7" x14ac:dyDescent="0.2">
      <c r="A649" t="s">
        <v>549</v>
      </c>
      <c r="B649" t="s">
        <v>550</v>
      </c>
      <c r="C649">
        <v>53068</v>
      </c>
      <c r="D649">
        <v>49620</v>
      </c>
      <c r="E649">
        <v>1018343</v>
      </c>
      <c r="F649" t="s">
        <v>35</v>
      </c>
      <c r="G649" t="s">
        <v>15</v>
      </c>
    </row>
    <row r="650" spans="1:7" x14ac:dyDescent="0.2">
      <c r="A650" t="s">
        <v>509</v>
      </c>
      <c r="B650" t="s">
        <v>510</v>
      </c>
      <c r="C650">
        <v>52212</v>
      </c>
      <c r="D650">
        <v>2462</v>
      </c>
      <c r="E650">
        <v>752794</v>
      </c>
      <c r="F650" t="s">
        <v>35</v>
      </c>
      <c r="G650" t="s">
        <v>15</v>
      </c>
    </row>
    <row r="651" spans="1:7" x14ac:dyDescent="0.2">
      <c r="A651" t="s">
        <v>565</v>
      </c>
      <c r="B651" t="s">
        <v>566</v>
      </c>
      <c r="C651">
        <v>51668</v>
      </c>
      <c r="D651">
        <v>22233</v>
      </c>
      <c r="E651">
        <v>637754</v>
      </c>
      <c r="F651" t="s">
        <v>35</v>
      </c>
      <c r="G651" t="s">
        <v>15</v>
      </c>
    </row>
    <row r="652" spans="1:7" x14ac:dyDescent="0.2">
      <c r="A652" t="s">
        <v>535</v>
      </c>
      <c r="B652" t="s">
        <v>536</v>
      </c>
      <c r="C652">
        <v>51506</v>
      </c>
      <c r="D652">
        <v>14122</v>
      </c>
      <c r="E652">
        <v>183850</v>
      </c>
      <c r="F652" t="s">
        <v>35</v>
      </c>
      <c r="G652" t="s">
        <v>15</v>
      </c>
    </row>
    <row r="653" spans="1:7" x14ac:dyDescent="0.2">
      <c r="A653" t="s">
        <v>884</v>
      </c>
      <c r="B653" t="s">
        <v>885</v>
      </c>
      <c r="C653">
        <v>51250</v>
      </c>
      <c r="D653">
        <v>15</v>
      </c>
      <c r="E653">
        <v>737032</v>
      </c>
      <c r="F653" t="s">
        <v>35</v>
      </c>
      <c r="G653" t="s">
        <v>15</v>
      </c>
    </row>
    <row r="654" spans="1:7" x14ac:dyDescent="0.2">
      <c r="A654" t="s">
        <v>487</v>
      </c>
      <c r="B654" t="s">
        <v>488</v>
      </c>
      <c r="C654">
        <v>50863</v>
      </c>
      <c r="D654">
        <v>0</v>
      </c>
      <c r="E654">
        <v>15062</v>
      </c>
      <c r="F654" t="s">
        <v>35</v>
      </c>
      <c r="G654" t="s">
        <v>15</v>
      </c>
    </row>
    <row r="655" spans="1:7" x14ac:dyDescent="0.2">
      <c r="A655" t="s">
        <v>415</v>
      </c>
      <c r="B655" t="s">
        <v>416</v>
      </c>
      <c r="C655">
        <v>49937</v>
      </c>
      <c r="D655">
        <v>70258</v>
      </c>
      <c r="E655">
        <v>1278813</v>
      </c>
      <c r="F655" t="s">
        <v>35</v>
      </c>
      <c r="G655" t="s">
        <v>15</v>
      </c>
    </row>
    <row r="656" spans="1:7" x14ac:dyDescent="0.2">
      <c r="A656" t="s">
        <v>886</v>
      </c>
      <c r="B656" t="s">
        <v>887</v>
      </c>
      <c r="C656">
        <v>49744</v>
      </c>
      <c r="D656">
        <v>3881</v>
      </c>
      <c r="E656">
        <v>736780</v>
      </c>
      <c r="F656" t="s">
        <v>35</v>
      </c>
      <c r="G656" t="s">
        <v>15</v>
      </c>
    </row>
    <row r="657" spans="1:7" x14ac:dyDescent="0.2">
      <c r="A657" t="s">
        <v>888</v>
      </c>
      <c r="B657" t="s">
        <v>889</v>
      </c>
      <c r="C657">
        <v>49686</v>
      </c>
      <c r="D657">
        <v>588</v>
      </c>
      <c r="E657">
        <v>706926</v>
      </c>
      <c r="F657" t="s">
        <v>35</v>
      </c>
      <c r="G657" t="s">
        <v>15</v>
      </c>
    </row>
    <row r="658" spans="1:7" x14ac:dyDescent="0.2">
      <c r="A658" t="s">
        <v>531</v>
      </c>
      <c r="B658" t="s">
        <v>532</v>
      </c>
      <c r="C658">
        <v>47751</v>
      </c>
      <c r="D658">
        <v>87221</v>
      </c>
      <c r="E658">
        <v>649859</v>
      </c>
      <c r="F658" t="s">
        <v>35</v>
      </c>
      <c r="G658" t="s">
        <v>15</v>
      </c>
    </row>
    <row r="659" spans="1:7" x14ac:dyDescent="0.2">
      <c r="A659" t="s">
        <v>587</v>
      </c>
      <c r="B659" t="s">
        <v>588</v>
      </c>
      <c r="C659">
        <v>47159</v>
      </c>
      <c r="D659">
        <v>74344</v>
      </c>
      <c r="E659">
        <v>1291914</v>
      </c>
      <c r="F659" t="s">
        <v>35</v>
      </c>
      <c r="G659" t="s">
        <v>15</v>
      </c>
    </row>
    <row r="660" spans="1:7" x14ac:dyDescent="0.2">
      <c r="A660" t="s">
        <v>541</v>
      </c>
      <c r="B660" t="s">
        <v>542</v>
      </c>
      <c r="C660">
        <v>46618</v>
      </c>
      <c r="D660">
        <v>59745</v>
      </c>
      <c r="E660">
        <v>1111946</v>
      </c>
      <c r="F660" t="s">
        <v>35</v>
      </c>
      <c r="G660" t="s">
        <v>15</v>
      </c>
    </row>
    <row r="661" spans="1:7" x14ac:dyDescent="0.2">
      <c r="A661" t="s">
        <v>547</v>
      </c>
      <c r="B661" t="s">
        <v>548</v>
      </c>
      <c r="C661">
        <v>46249</v>
      </c>
      <c r="D661">
        <v>32934</v>
      </c>
      <c r="E661">
        <v>843970</v>
      </c>
      <c r="F661" t="s">
        <v>35</v>
      </c>
      <c r="G661" t="s">
        <v>15</v>
      </c>
    </row>
    <row r="662" spans="1:7" x14ac:dyDescent="0.2">
      <c r="A662" t="s">
        <v>551</v>
      </c>
      <c r="B662" t="s">
        <v>552</v>
      </c>
      <c r="C662">
        <v>45832</v>
      </c>
      <c r="D662">
        <v>10095</v>
      </c>
      <c r="E662">
        <v>15417057</v>
      </c>
      <c r="F662" t="s">
        <v>35</v>
      </c>
      <c r="G662" t="s">
        <v>15</v>
      </c>
    </row>
    <row r="663" spans="1:7" x14ac:dyDescent="0.2">
      <c r="A663" t="s">
        <v>561</v>
      </c>
      <c r="B663" t="s">
        <v>562</v>
      </c>
      <c r="C663">
        <v>44710</v>
      </c>
      <c r="D663">
        <v>35120</v>
      </c>
      <c r="E663">
        <v>863494</v>
      </c>
      <c r="F663" t="s">
        <v>35</v>
      </c>
      <c r="G663" t="s">
        <v>15</v>
      </c>
    </row>
    <row r="664" spans="1:7" x14ac:dyDescent="0.2">
      <c r="A664" t="s">
        <v>527</v>
      </c>
      <c r="B664" t="s">
        <v>528</v>
      </c>
      <c r="C664">
        <v>42103</v>
      </c>
      <c r="D664">
        <v>21679</v>
      </c>
      <c r="E664">
        <v>752068</v>
      </c>
      <c r="F664" t="s">
        <v>35</v>
      </c>
      <c r="G664" t="s">
        <v>15</v>
      </c>
    </row>
    <row r="665" spans="1:7" x14ac:dyDescent="0.2">
      <c r="A665" t="s">
        <v>569</v>
      </c>
      <c r="B665" t="s">
        <v>570</v>
      </c>
      <c r="C665">
        <v>40972</v>
      </c>
      <c r="D665">
        <v>85887</v>
      </c>
      <c r="E665">
        <v>1214743</v>
      </c>
      <c r="F665" t="s">
        <v>35</v>
      </c>
      <c r="G665" t="s">
        <v>15</v>
      </c>
    </row>
    <row r="666" spans="1:7" x14ac:dyDescent="0.2">
      <c r="A666" t="s">
        <v>567</v>
      </c>
      <c r="B666" t="s">
        <v>568</v>
      </c>
      <c r="C666">
        <v>40832</v>
      </c>
      <c r="D666">
        <v>65960</v>
      </c>
      <c r="E666">
        <v>701828</v>
      </c>
      <c r="F666" t="s">
        <v>35</v>
      </c>
      <c r="G666" t="s">
        <v>15</v>
      </c>
    </row>
    <row r="667" spans="1:7" x14ac:dyDescent="0.2">
      <c r="A667" t="s">
        <v>591</v>
      </c>
      <c r="B667" t="s">
        <v>592</v>
      </c>
      <c r="C667">
        <v>40260</v>
      </c>
      <c r="D667">
        <v>31832</v>
      </c>
      <c r="E667">
        <v>881737</v>
      </c>
      <c r="F667" t="s">
        <v>35</v>
      </c>
      <c r="G667" t="s">
        <v>15</v>
      </c>
    </row>
    <row r="668" spans="1:7" x14ac:dyDescent="0.2">
      <c r="A668" t="s">
        <v>890</v>
      </c>
      <c r="B668" t="s">
        <v>891</v>
      </c>
      <c r="C668">
        <v>39226</v>
      </c>
      <c r="D668">
        <v>18776</v>
      </c>
      <c r="E668">
        <v>257731</v>
      </c>
      <c r="F668" t="s">
        <v>35</v>
      </c>
      <c r="G668" t="s">
        <v>15</v>
      </c>
    </row>
    <row r="669" spans="1:7" x14ac:dyDescent="0.2">
      <c r="A669" t="s">
        <v>417</v>
      </c>
      <c r="B669" t="s">
        <v>418</v>
      </c>
      <c r="C669">
        <v>38669</v>
      </c>
      <c r="D669">
        <v>22720</v>
      </c>
      <c r="E669">
        <v>673764</v>
      </c>
      <c r="F669" t="s">
        <v>35</v>
      </c>
      <c r="G669" t="s">
        <v>15</v>
      </c>
    </row>
    <row r="670" spans="1:7" x14ac:dyDescent="0.2">
      <c r="A670" t="s">
        <v>577</v>
      </c>
      <c r="B670" t="s">
        <v>578</v>
      </c>
      <c r="C670">
        <v>37975</v>
      </c>
      <c r="D670">
        <v>23082</v>
      </c>
      <c r="E670">
        <v>751308</v>
      </c>
      <c r="F670" t="s">
        <v>35</v>
      </c>
      <c r="G670" t="s">
        <v>15</v>
      </c>
    </row>
    <row r="671" spans="1:7" x14ac:dyDescent="0.2">
      <c r="A671" t="s">
        <v>892</v>
      </c>
      <c r="B671" t="s">
        <v>893</v>
      </c>
      <c r="C671">
        <v>37768</v>
      </c>
      <c r="D671">
        <v>24244</v>
      </c>
      <c r="E671">
        <v>614205</v>
      </c>
      <c r="F671" t="s">
        <v>35</v>
      </c>
      <c r="G671" t="s">
        <v>15</v>
      </c>
    </row>
    <row r="672" spans="1:7" x14ac:dyDescent="0.2">
      <c r="A672" t="s">
        <v>571</v>
      </c>
      <c r="B672" t="s">
        <v>572</v>
      </c>
      <c r="C672">
        <v>36540</v>
      </c>
      <c r="D672">
        <v>35408</v>
      </c>
      <c r="E672">
        <v>564868</v>
      </c>
      <c r="F672" t="s">
        <v>35</v>
      </c>
      <c r="G672" t="s">
        <v>15</v>
      </c>
    </row>
    <row r="673" spans="1:7" x14ac:dyDescent="0.2">
      <c r="A673" t="s">
        <v>599</v>
      </c>
      <c r="B673" t="s">
        <v>600</v>
      </c>
      <c r="C673">
        <v>35749</v>
      </c>
      <c r="D673">
        <v>88954</v>
      </c>
      <c r="E673">
        <v>1866770</v>
      </c>
      <c r="F673" t="s">
        <v>35</v>
      </c>
      <c r="G673" t="s">
        <v>15</v>
      </c>
    </row>
    <row r="674" spans="1:7" x14ac:dyDescent="0.2">
      <c r="A674" t="s">
        <v>595</v>
      </c>
      <c r="B674" t="s">
        <v>596</v>
      </c>
      <c r="C674">
        <v>35373</v>
      </c>
      <c r="D674">
        <v>180530</v>
      </c>
      <c r="E674">
        <v>1443375</v>
      </c>
      <c r="F674" t="s">
        <v>35</v>
      </c>
      <c r="G674" t="s">
        <v>15</v>
      </c>
    </row>
    <row r="675" spans="1:7" x14ac:dyDescent="0.2">
      <c r="A675" t="s">
        <v>583</v>
      </c>
      <c r="B675" t="s">
        <v>584</v>
      </c>
      <c r="C675">
        <v>35274</v>
      </c>
      <c r="D675">
        <v>234941</v>
      </c>
      <c r="E675">
        <v>1666662</v>
      </c>
      <c r="F675" t="s">
        <v>35</v>
      </c>
      <c r="G675" t="s">
        <v>15</v>
      </c>
    </row>
    <row r="676" spans="1:7" x14ac:dyDescent="0.2">
      <c r="A676" t="s">
        <v>513</v>
      </c>
      <c r="B676" t="s">
        <v>514</v>
      </c>
      <c r="C676">
        <v>35142</v>
      </c>
      <c r="D676">
        <v>263982</v>
      </c>
      <c r="E676">
        <v>2525531</v>
      </c>
      <c r="F676" t="s">
        <v>35</v>
      </c>
      <c r="G676" t="s">
        <v>15</v>
      </c>
    </row>
    <row r="677" spans="1:7" x14ac:dyDescent="0.2">
      <c r="A677" t="s">
        <v>589</v>
      </c>
      <c r="B677" t="s">
        <v>590</v>
      </c>
      <c r="C677">
        <v>34415</v>
      </c>
      <c r="D677">
        <v>630385</v>
      </c>
      <c r="E677">
        <v>4793950</v>
      </c>
      <c r="F677" t="s">
        <v>35</v>
      </c>
      <c r="G677" t="s">
        <v>15</v>
      </c>
    </row>
    <row r="678" spans="1:7" x14ac:dyDescent="0.2">
      <c r="A678" t="s">
        <v>573</v>
      </c>
      <c r="B678" t="s">
        <v>574</v>
      </c>
      <c r="C678">
        <v>34158</v>
      </c>
      <c r="D678">
        <v>269754</v>
      </c>
      <c r="E678">
        <v>2491852</v>
      </c>
      <c r="F678" t="s">
        <v>35</v>
      </c>
      <c r="G678" t="s">
        <v>15</v>
      </c>
    </row>
    <row r="679" spans="1:7" x14ac:dyDescent="0.2">
      <c r="A679" t="s">
        <v>597</v>
      </c>
      <c r="B679" t="s">
        <v>598</v>
      </c>
      <c r="C679">
        <v>33110</v>
      </c>
      <c r="D679">
        <v>25545</v>
      </c>
      <c r="E679">
        <v>759441</v>
      </c>
      <c r="F679" t="s">
        <v>35</v>
      </c>
      <c r="G679" t="s">
        <v>15</v>
      </c>
    </row>
    <row r="680" spans="1:7" x14ac:dyDescent="0.2">
      <c r="A680" t="s">
        <v>611</v>
      </c>
      <c r="B680" t="s">
        <v>612</v>
      </c>
      <c r="C680">
        <v>32771</v>
      </c>
      <c r="D680">
        <v>757967</v>
      </c>
      <c r="E680">
        <v>4657693</v>
      </c>
      <c r="F680" t="s">
        <v>35</v>
      </c>
      <c r="G680" t="s">
        <v>15</v>
      </c>
    </row>
    <row r="681" spans="1:7" x14ac:dyDescent="0.2">
      <c r="A681" t="s">
        <v>579</v>
      </c>
      <c r="B681" t="s">
        <v>580</v>
      </c>
      <c r="C681">
        <v>31754</v>
      </c>
      <c r="D681">
        <v>112247</v>
      </c>
      <c r="E681">
        <v>1257681</v>
      </c>
      <c r="F681" t="s">
        <v>35</v>
      </c>
      <c r="G681" t="s">
        <v>15</v>
      </c>
    </row>
    <row r="682" spans="1:7" x14ac:dyDescent="0.2">
      <c r="A682" t="s">
        <v>607</v>
      </c>
      <c r="B682" t="s">
        <v>608</v>
      </c>
      <c r="C682">
        <v>30802</v>
      </c>
      <c r="D682">
        <v>51347</v>
      </c>
      <c r="E682">
        <v>263779</v>
      </c>
      <c r="F682" t="s">
        <v>35</v>
      </c>
      <c r="G682" t="s">
        <v>15</v>
      </c>
    </row>
    <row r="683" spans="1:7" x14ac:dyDescent="0.2">
      <c r="A683" t="s">
        <v>617</v>
      </c>
      <c r="B683" t="s">
        <v>618</v>
      </c>
      <c r="C683">
        <v>30463</v>
      </c>
      <c r="D683">
        <v>46470</v>
      </c>
      <c r="E683">
        <v>839849</v>
      </c>
      <c r="F683" t="s">
        <v>35</v>
      </c>
      <c r="G683" t="s">
        <v>15</v>
      </c>
    </row>
    <row r="684" spans="1:7" x14ac:dyDescent="0.2">
      <c r="A684" t="s">
        <v>603</v>
      </c>
      <c r="B684" t="s">
        <v>604</v>
      </c>
      <c r="C684">
        <v>30298</v>
      </c>
      <c r="D684">
        <v>39900</v>
      </c>
      <c r="E684">
        <v>1188431</v>
      </c>
      <c r="F684" t="s">
        <v>35</v>
      </c>
      <c r="G684" t="s">
        <v>15</v>
      </c>
    </row>
    <row r="685" spans="1:7" x14ac:dyDescent="0.2">
      <c r="A685" t="s">
        <v>623</v>
      </c>
      <c r="B685" t="s">
        <v>624</v>
      </c>
      <c r="C685">
        <v>29754</v>
      </c>
      <c r="D685">
        <v>55227</v>
      </c>
      <c r="E685">
        <v>878364</v>
      </c>
      <c r="F685" t="s">
        <v>35</v>
      </c>
      <c r="G685" t="s">
        <v>15</v>
      </c>
    </row>
    <row r="686" spans="1:7" x14ac:dyDescent="0.2">
      <c r="A686" t="s">
        <v>613</v>
      </c>
      <c r="B686" t="s">
        <v>614</v>
      </c>
      <c r="C686">
        <v>29348</v>
      </c>
      <c r="D686">
        <v>78561</v>
      </c>
      <c r="E686">
        <v>1324331</v>
      </c>
      <c r="F686" t="s">
        <v>35</v>
      </c>
      <c r="G686" t="s">
        <v>15</v>
      </c>
    </row>
    <row r="687" spans="1:7" x14ac:dyDescent="0.2">
      <c r="A687" t="s">
        <v>631</v>
      </c>
      <c r="B687" t="s">
        <v>632</v>
      </c>
      <c r="C687">
        <v>29088</v>
      </c>
      <c r="D687">
        <v>50528</v>
      </c>
      <c r="E687">
        <v>664645</v>
      </c>
      <c r="F687" t="s">
        <v>35</v>
      </c>
      <c r="G687" t="s">
        <v>15</v>
      </c>
    </row>
    <row r="688" spans="1:7" x14ac:dyDescent="0.2">
      <c r="A688" t="s">
        <v>641</v>
      </c>
      <c r="B688" t="s">
        <v>642</v>
      </c>
      <c r="C688">
        <v>27439</v>
      </c>
      <c r="D688">
        <v>76717</v>
      </c>
      <c r="E688">
        <v>863336</v>
      </c>
      <c r="F688" t="s">
        <v>35</v>
      </c>
      <c r="G688" t="s">
        <v>15</v>
      </c>
    </row>
    <row r="689" spans="1:7" x14ac:dyDescent="0.2">
      <c r="A689" t="s">
        <v>685</v>
      </c>
      <c r="B689" t="s">
        <v>686</v>
      </c>
      <c r="C689">
        <v>27392</v>
      </c>
      <c r="D689">
        <v>38720</v>
      </c>
      <c r="E689">
        <v>412876</v>
      </c>
      <c r="F689" t="s">
        <v>35</v>
      </c>
      <c r="G689" t="s">
        <v>15</v>
      </c>
    </row>
    <row r="690" spans="1:7" x14ac:dyDescent="0.2">
      <c r="A690" t="s">
        <v>605</v>
      </c>
      <c r="B690" t="s">
        <v>606</v>
      </c>
      <c r="C690">
        <v>27003</v>
      </c>
      <c r="D690">
        <v>106288</v>
      </c>
      <c r="E690">
        <v>1004016</v>
      </c>
      <c r="F690" t="s">
        <v>35</v>
      </c>
      <c r="G690" t="s">
        <v>15</v>
      </c>
    </row>
    <row r="691" spans="1:7" x14ac:dyDescent="0.2">
      <c r="A691" t="s">
        <v>619</v>
      </c>
      <c r="B691" t="s">
        <v>620</v>
      </c>
      <c r="C691">
        <v>26515</v>
      </c>
      <c r="D691">
        <v>35274</v>
      </c>
      <c r="E691">
        <v>558345</v>
      </c>
      <c r="F691" t="s">
        <v>35</v>
      </c>
      <c r="G691" t="s">
        <v>15</v>
      </c>
    </row>
    <row r="692" spans="1:7" x14ac:dyDescent="0.2">
      <c r="A692" t="s">
        <v>629</v>
      </c>
      <c r="B692" t="s">
        <v>630</v>
      </c>
      <c r="C692">
        <v>26515</v>
      </c>
      <c r="D692">
        <v>510922</v>
      </c>
      <c r="E692">
        <v>2964646</v>
      </c>
      <c r="F692" t="s">
        <v>35</v>
      </c>
      <c r="G692" t="s">
        <v>15</v>
      </c>
    </row>
    <row r="693" spans="1:7" x14ac:dyDescent="0.2">
      <c r="A693" t="s">
        <v>627</v>
      </c>
      <c r="B693" t="s">
        <v>628</v>
      </c>
      <c r="C693">
        <v>26391</v>
      </c>
      <c r="D693">
        <v>62999</v>
      </c>
      <c r="E693">
        <v>821156</v>
      </c>
      <c r="F693" t="s">
        <v>35</v>
      </c>
      <c r="G693" t="s">
        <v>15</v>
      </c>
    </row>
    <row r="694" spans="1:7" x14ac:dyDescent="0.2">
      <c r="A694" t="s">
        <v>625</v>
      </c>
      <c r="B694" t="s">
        <v>626</v>
      </c>
      <c r="C694">
        <v>26025</v>
      </c>
      <c r="D694">
        <v>40462</v>
      </c>
      <c r="E694">
        <v>802459</v>
      </c>
      <c r="F694" t="s">
        <v>35</v>
      </c>
      <c r="G694" t="s">
        <v>15</v>
      </c>
    </row>
    <row r="695" spans="1:7" x14ac:dyDescent="0.2">
      <c r="A695" t="s">
        <v>894</v>
      </c>
      <c r="B695" t="s">
        <v>895</v>
      </c>
      <c r="C695">
        <v>24835</v>
      </c>
      <c r="D695">
        <v>35416</v>
      </c>
      <c r="E695">
        <v>660488</v>
      </c>
      <c r="F695" t="s">
        <v>35</v>
      </c>
      <c r="G695" t="s">
        <v>15</v>
      </c>
    </row>
    <row r="696" spans="1:7" x14ac:dyDescent="0.2">
      <c r="A696" t="s">
        <v>896</v>
      </c>
      <c r="B696" t="s">
        <v>897</v>
      </c>
      <c r="C696">
        <v>24690</v>
      </c>
      <c r="D696">
        <v>29424</v>
      </c>
      <c r="E696">
        <v>510647</v>
      </c>
      <c r="F696" t="s">
        <v>35</v>
      </c>
      <c r="G696" t="s">
        <v>15</v>
      </c>
    </row>
    <row r="697" spans="1:7" x14ac:dyDescent="0.2">
      <c r="A697" t="s">
        <v>621</v>
      </c>
      <c r="B697" t="s">
        <v>622</v>
      </c>
      <c r="C697">
        <v>24551</v>
      </c>
      <c r="D697">
        <v>35630</v>
      </c>
      <c r="E697">
        <v>624209</v>
      </c>
      <c r="F697" t="s">
        <v>35</v>
      </c>
      <c r="G697" t="s">
        <v>15</v>
      </c>
    </row>
    <row r="698" spans="1:7" x14ac:dyDescent="0.2">
      <c r="A698" t="s">
        <v>643</v>
      </c>
      <c r="B698" t="s">
        <v>644</v>
      </c>
      <c r="C698">
        <v>24007</v>
      </c>
      <c r="D698">
        <v>776098</v>
      </c>
      <c r="E698">
        <v>3822972</v>
      </c>
      <c r="F698" t="s">
        <v>35</v>
      </c>
      <c r="G698" t="s">
        <v>15</v>
      </c>
    </row>
    <row r="699" spans="1:7" x14ac:dyDescent="0.2">
      <c r="A699" t="s">
        <v>537</v>
      </c>
      <c r="B699" t="s">
        <v>538</v>
      </c>
      <c r="C699">
        <v>23756</v>
      </c>
      <c r="D699">
        <v>37807</v>
      </c>
      <c r="E699">
        <v>612779</v>
      </c>
      <c r="F699" t="s">
        <v>35</v>
      </c>
      <c r="G699" t="s">
        <v>15</v>
      </c>
    </row>
    <row r="700" spans="1:7" x14ac:dyDescent="0.2">
      <c r="A700" t="s">
        <v>581</v>
      </c>
      <c r="B700" t="s">
        <v>582</v>
      </c>
      <c r="C700">
        <v>23545</v>
      </c>
      <c r="D700">
        <v>60262</v>
      </c>
      <c r="E700">
        <v>730268</v>
      </c>
      <c r="F700" t="s">
        <v>35</v>
      </c>
      <c r="G700" t="s">
        <v>15</v>
      </c>
    </row>
    <row r="701" spans="1:7" x14ac:dyDescent="0.2">
      <c r="A701" t="s">
        <v>657</v>
      </c>
      <c r="B701" t="s">
        <v>658</v>
      </c>
      <c r="C701">
        <v>23522</v>
      </c>
      <c r="D701">
        <v>55492</v>
      </c>
      <c r="E701">
        <v>387427</v>
      </c>
      <c r="F701" t="s">
        <v>35</v>
      </c>
      <c r="G701" t="s">
        <v>15</v>
      </c>
    </row>
    <row r="702" spans="1:7" x14ac:dyDescent="0.2">
      <c r="A702" t="s">
        <v>575</v>
      </c>
      <c r="B702" t="s">
        <v>576</v>
      </c>
      <c r="C702">
        <v>23115</v>
      </c>
      <c r="D702">
        <v>153703</v>
      </c>
      <c r="E702">
        <v>1255337</v>
      </c>
      <c r="F702" t="s">
        <v>35</v>
      </c>
      <c r="G702" t="s">
        <v>15</v>
      </c>
    </row>
    <row r="703" spans="1:7" x14ac:dyDescent="0.2">
      <c r="A703" t="s">
        <v>637</v>
      </c>
      <c r="B703" t="s">
        <v>638</v>
      </c>
      <c r="C703">
        <v>22484</v>
      </c>
      <c r="D703">
        <v>99922</v>
      </c>
      <c r="E703">
        <v>935984</v>
      </c>
      <c r="F703" t="s">
        <v>35</v>
      </c>
      <c r="G703" t="s">
        <v>15</v>
      </c>
    </row>
    <row r="704" spans="1:7" x14ac:dyDescent="0.2">
      <c r="A704" t="s">
        <v>663</v>
      </c>
      <c r="B704" t="s">
        <v>664</v>
      </c>
      <c r="C704">
        <v>22399</v>
      </c>
      <c r="D704">
        <v>885734</v>
      </c>
      <c r="E704">
        <v>4414085</v>
      </c>
      <c r="F704" t="s">
        <v>35</v>
      </c>
      <c r="G704" t="s">
        <v>15</v>
      </c>
    </row>
    <row r="705" spans="1:7" x14ac:dyDescent="0.2">
      <c r="A705" t="s">
        <v>639</v>
      </c>
      <c r="B705" t="s">
        <v>640</v>
      </c>
      <c r="C705">
        <v>22297</v>
      </c>
      <c r="D705">
        <v>76131</v>
      </c>
      <c r="E705">
        <v>812558</v>
      </c>
      <c r="F705" t="s">
        <v>35</v>
      </c>
      <c r="G705" t="s">
        <v>15</v>
      </c>
    </row>
    <row r="706" spans="1:7" x14ac:dyDescent="0.2">
      <c r="A706" t="s">
        <v>659</v>
      </c>
      <c r="B706" t="s">
        <v>660</v>
      </c>
      <c r="C706">
        <v>20747</v>
      </c>
      <c r="D706">
        <v>185458</v>
      </c>
      <c r="E706">
        <v>2907535</v>
      </c>
      <c r="F706" t="s">
        <v>35</v>
      </c>
      <c r="G706" t="s">
        <v>15</v>
      </c>
    </row>
    <row r="707" spans="1:7" x14ac:dyDescent="0.2">
      <c r="A707" t="s">
        <v>647</v>
      </c>
      <c r="B707" t="s">
        <v>648</v>
      </c>
      <c r="C707">
        <v>20039</v>
      </c>
      <c r="D707">
        <v>31712</v>
      </c>
      <c r="E707">
        <v>512370</v>
      </c>
      <c r="F707" t="s">
        <v>35</v>
      </c>
      <c r="G707" t="s">
        <v>15</v>
      </c>
    </row>
    <row r="708" spans="1:7" x14ac:dyDescent="0.2">
      <c r="A708" t="s">
        <v>651</v>
      </c>
      <c r="B708" t="s">
        <v>652</v>
      </c>
      <c r="C708">
        <v>19903</v>
      </c>
      <c r="D708">
        <v>129396</v>
      </c>
      <c r="E708">
        <v>893294</v>
      </c>
      <c r="F708" t="s">
        <v>35</v>
      </c>
      <c r="G708" t="s">
        <v>15</v>
      </c>
    </row>
    <row r="709" spans="1:7" x14ac:dyDescent="0.2">
      <c r="A709" t="s">
        <v>898</v>
      </c>
      <c r="B709" t="s">
        <v>650</v>
      </c>
      <c r="C709">
        <v>18824</v>
      </c>
      <c r="D709">
        <v>161500</v>
      </c>
      <c r="E709">
        <v>1122944</v>
      </c>
      <c r="F709" t="s">
        <v>35</v>
      </c>
      <c r="G709" t="s">
        <v>15</v>
      </c>
    </row>
    <row r="710" spans="1:7" x14ac:dyDescent="0.2">
      <c r="A710" t="s">
        <v>609</v>
      </c>
      <c r="B710" t="s">
        <v>610</v>
      </c>
      <c r="C710">
        <v>18453</v>
      </c>
      <c r="D710">
        <v>50411</v>
      </c>
      <c r="E710">
        <v>2333681</v>
      </c>
      <c r="F710" t="s">
        <v>35</v>
      </c>
      <c r="G710" t="s">
        <v>15</v>
      </c>
    </row>
    <row r="711" spans="1:7" x14ac:dyDescent="0.2">
      <c r="A711" t="s">
        <v>653</v>
      </c>
      <c r="B711" t="s">
        <v>654</v>
      </c>
      <c r="C711">
        <v>18242</v>
      </c>
      <c r="D711">
        <v>86797</v>
      </c>
      <c r="E711">
        <v>759524</v>
      </c>
      <c r="F711" t="s">
        <v>35</v>
      </c>
      <c r="G711" t="s">
        <v>15</v>
      </c>
    </row>
    <row r="712" spans="1:7" x14ac:dyDescent="0.2">
      <c r="A712" t="s">
        <v>671</v>
      </c>
      <c r="B712" t="s">
        <v>672</v>
      </c>
      <c r="C712">
        <v>17634</v>
      </c>
      <c r="D712">
        <v>62477</v>
      </c>
      <c r="E712">
        <v>554024</v>
      </c>
      <c r="F712" t="s">
        <v>35</v>
      </c>
      <c r="G712" t="s">
        <v>15</v>
      </c>
    </row>
    <row r="713" spans="1:7" x14ac:dyDescent="0.2">
      <c r="A713" t="s">
        <v>661</v>
      </c>
      <c r="B713" t="s">
        <v>662</v>
      </c>
      <c r="C713">
        <v>17431</v>
      </c>
      <c r="D713">
        <v>42609</v>
      </c>
      <c r="E713">
        <v>567846</v>
      </c>
      <c r="F713" t="s">
        <v>35</v>
      </c>
      <c r="G713" t="s">
        <v>15</v>
      </c>
    </row>
    <row r="714" spans="1:7" x14ac:dyDescent="0.2">
      <c r="A714" t="s">
        <v>645</v>
      </c>
      <c r="B714" t="s">
        <v>646</v>
      </c>
      <c r="C714">
        <v>17066</v>
      </c>
      <c r="D714">
        <v>56341</v>
      </c>
      <c r="E714">
        <v>585137</v>
      </c>
      <c r="F714" t="s">
        <v>35</v>
      </c>
      <c r="G714" t="s">
        <v>15</v>
      </c>
    </row>
    <row r="715" spans="1:7" x14ac:dyDescent="0.2">
      <c r="A715" t="s">
        <v>681</v>
      </c>
      <c r="B715" t="s">
        <v>682</v>
      </c>
      <c r="C715">
        <v>16809</v>
      </c>
      <c r="D715">
        <v>54485</v>
      </c>
      <c r="E715">
        <v>460352</v>
      </c>
      <c r="F715" t="s">
        <v>35</v>
      </c>
      <c r="G715" t="s">
        <v>15</v>
      </c>
    </row>
    <row r="716" spans="1:7" x14ac:dyDescent="0.2">
      <c r="A716" t="s">
        <v>669</v>
      </c>
      <c r="B716" t="s">
        <v>670</v>
      </c>
      <c r="C716">
        <v>16141</v>
      </c>
      <c r="D716">
        <v>579018</v>
      </c>
      <c r="E716">
        <v>3209490</v>
      </c>
      <c r="F716" t="s">
        <v>35</v>
      </c>
      <c r="G716" t="s">
        <v>15</v>
      </c>
    </row>
    <row r="717" spans="1:7" x14ac:dyDescent="0.2">
      <c r="A717" t="s">
        <v>679</v>
      </c>
      <c r="B717" t="s">
        <v>680</v>
      </c>
      <c r="C717">
        <v>16136</v>
      </c>
      <c r="D717">
        <v>131592</v>
      </c>
      <c r="E717">
        <v>1017356</v>
      </c>
      <c r="F717" t="s">
        <v>35</v>
      </c>
      <c r="G717" t="s">
        <v>15</v>
      </c>
    </row>
    <row r="718" spans="1:7" x14ac:dyDescent="0.2">
      <c r="A718" t="s">
        <v>655</v>
      </c>
      <c r="B718" t="s">
        <v>656</v>
      </c>
      <c r="C718">
        <v>15951</v>
      </c>
      <c r="D718">
        <v>79159</v>
      </c>
      <c r="E718">
        <v>651893</v>
      </c>
      <c r="F718" t="s">
        <v>35</v>
      </c>
      <c r="G718" t="s">
        <v>15</v>
      </c>
    </row>
    <row r="719" spans="1:7" x14ac:dyDescent="0.2">
      <c r="A719" t="s">
        <v>673</v>
      </c>
      <c r="B719" t="s">
        <v>674</v>
      </c>
      <c r="C719">
        <v>15797</v>
      </c>
      <c r="D719">
        <v>168149</v>
      </c>
      <c r="E719">
        <v>1201779</v>
      </c>
      <c r="F719" t="s">
        <v>35</v>
      </c>
      <c r="G719" t="s">
        <v>15</v>
      </c>
    </row>
    <row r="720" spans="1:7" x14ac:dyDescent="0.2">
      <c r="A720" t="s">
        <v>677</v>
      </c>
      <c r="B720" t="s">
        <v>678</v>
      </c>
      <c r="C720">
        <v>14901</v>
      </c>
      <c r="D720">
        <v>92066</v>
      </c>
      <c r="E720">
        <v>724172</v>
      </c>
      <c r="F720" t="s">
        <v>35</v>
      </c>
      <c r="G720" t="s">
        <v>15</v>
      </c>
    </row>
    <row r="721" spans="1:7" x14ac:dyDescent="0.2">
      <c r="A721" t="s">
        <v>695</v>
      </c>
      <c r="B721" t="s">
        <v>696</v>
      </c>
      <c r="C721">
        <v>14733</v>
      </c>
      <c r="D721">
        <v>71441</v>
      </c>
      <c r="E721">
        <v>675392</v>
      </c>
      <c r="F721" t="s">
        <v>35</v>
      </c>
      <c r="G721" t="s">
        <v>15</v>
      </c>
    </row>
    <row r="722" spans="1:7" x14ac:dyDescent="0.2">
      <c r="A722" t="s">
        <v>693</v>
      </c>
      <c r="B722" t="s">
        <v>694</v>
      </c>
      <c r="C722">
        <v>14601</v>
      </c>
      <c r="D722">
        <v>44044</v>
      </c>
      <c r="E722">
        <v>442407</v>
      </c>
      <c r="F722" t="s">
        <v>35</v>
      </c>
      <c r="G722" t="s">
        <v>15</v>
      </c>
    </row>
    <row r="723" spans="1:7" x14ac:dyDescent="0.2">
      <c r="A723" t="s">
        <v>635</v>
      </c>
      <c r="B723" t="s">
        <v>636</v>
      </c>
      <c r="C723">
        <v>14338</v>
      </c>
      <c r="D723">
        <v>64050</v>
      </c>
      <c r="E723">
        <v>549773</v>
      </c>
      <c r="F723" t="s">
        <v>35</v>
      </c>
      <c r="G723" t="s">
        <v>15</v>
      </c>
    </row>
    <row r="724" spans="1:7" x14ac:dyDescent="0.2">
      <c r="A724" t="s">
        <v>675</v>
      </c>
      <c r="B724" t="s">
        <v>676</v>
      </c>
      <c r="C724">
        <v>14323</v>
      </c>
      <c r="D724">
        <v>73191</v>
      </c>
      <c r="E724">
        <v>620562</v>
      </c>
      <c r="F724" t="s">
        <v>35</v>
      </c>
      <c r="G724" t="s">
        <v>15</v>
      </c>
    </row>
    <row r="725" spans="1:7" x14ac:dyDescent="0.2">
      <c r="A725" t="s">
        <v>705</v>
      </c>
      <c r="B725" t="s">
        <v>706</v>
      </c>
      <c r="C725">
        <v>13585</v>
      </c>
      <c r="D725">
        <v>96007</v>
      </c>
      <c r="E725">
        <v>704609</v>
      </c>
      <c r="F725" t="s">
        <v>35</v>
      </c>
      <c r="G725" t="s">
        <v>15</v>
      </c>
    </row>
    <row r="726" spans="1:7" x14ac:dyDescent="0.2">
      <c r="A726" t="s">
        <v>699</v>
      </c>
      <c r="B726" t="s">
        <v>700</v>
      </c>
      <c r="C726">
        <v>13328</v>
      </c>
      <c r="D726">
        <v>48061</v>
      </c>
      <c r="E726">
        <v>336631</v>
      </c>
      <c r="F726" t="s">
        <v>35</v>
      </c>
      <c r="G726" t="s">
        <v>15</v>
      </c>
    </row>
    <row r="727" spans="1:7" x14ac:dyDescent="0.2">
      <c r="A727" t="s">
        <v>719</v>
      </c>
      <c r="B727" t="s">
        <v>720</v>
      </c>
      <c r="C727">
        <v>13058</v>
      </c>
      <c r="D727">
        <v>613641</v>
      </c>
      <c r="E727">
        <v>3391370</v>
      </c>
      <c r="F727" t="s">
        <v>35</v>
      </c>
      <c r="G727" t="s">
        <v>15</v>
      </c>
    </row>
    <row r="728" spans="1:7" x14ac:dyDescent="0.2">
      <c r="A728" t="s">
        <v>691</v>
      </c>
      <c r="B728" t="s">
        <v>692</v>
      </c>
      <c r="C728">
        <v>13046</v>
      </c>
      <c r="D728">
        <v>66101</v>
      </c>
      <c r="E728">
        <v>540430</v>
      </c>
      <c r="F728" t="s">
        <v>35</v>
      </c>
      <c r="G728" t="s">
        <v>15</v>
      </c>
    </row>
    <row r="729" spans="1:7" x14ac:dyDescent="0.2">
      <c r="A729" t="s">
        <v>713</v>
      </c>
      <c r="B729" t="s">
        <v>714</v>
      </c>
      <c r="C729">
        <v>12972</v>
      </c>
      <c r="D729">
        <v>99408</v>
      </c>
      <c r="E729">
        <v>797367</v>
      </c>
      <c r="F729" t="s">
        <v>35</v>
      </c>
      <c r="G729" t="s">
        <v>15</v>
      </c>
    </row>
    <row r="730" spans="1:7" x14ac:dyDescent="0.2">
      <c r="A730" t="s">
        <v>689</v>
      </c>
      <c r="B730" t="s">
        <v>690</v>
      </c>
      <c r="C730">
        <v>12682</v>
      </c>
      <c r="D730">
        <v>48997</v>
      </c>
      <c r="E730">
        <v>527431</v>
      </c>
      <c r="F730" t="s">
        <v>35</v>
      </c>
      <c r="G730" t="s">
        <v>15</v>
      </c>
    </row>
    <row r="731" spans="1:7" x14ac:dyDescent="0.2">
      <c r="A731" t="s">
        <v>703</v>
      </c>
      <c r="B731" t="s">
        <v>704</v>
      </c>
      <c r="C731">
        <v>11848</v>
      </c>
      <c r="D731">
        <v>48563</v>
      </c>
      <c r="E731">
        <v>558048</v>
      </c>
      <c r="F731" t="s">
        <v>35</v>
      </c>
      <c r="G731" t="s">
        <v>15</v>
      </c>
    </row>
    <row r="732" spans="1:7" x14ac:dyDescent="0.2">
      <c r="A732" t="s">
        <v>837</v>
      </c>
      <c r="B732" t="s">
        <v>838</v>
      </c>
      <c r="C732">
        <v>11771</v>
      </c>
      <c r="D732">
        <v>78631</v>
      </c>
      <c r="E732">
        <v>584115</v>
      </c>
      <c r="F732" t="s">
        <v>35</v>
      </c>
      <c r="G732" t="s">
        <v>15</v>
      </c>
    </row>
    <row r="733" spans="1:7" x14ac:dyDescent="0.2">
      <c r="A733" t="s">
        <v>741</v>
      </c>
      <c r="B733" t="s">
        <v>742</v>
      </c>
      <c r="C733">
        <v>11625</v>
      </c>
      <c r="D733">
        <v>76279</v>
      </c>
      <c r="E733">
        <v>627855</v>
      </c>
      <c r="F733" t="s">
        <v>35</v>
      </c>
      <c r="G733" t="s">
        <v>15</v>
      </c>
    </row>
    <row r="734" spans="1:7" x14ac:dyDescent="0.2">
      <c r="A734" t="s">
        <v>717</v>
      </c>
      <c r="B734" t="s">
        <v>718</v>
      </c>
      <c r="C734">
        <v>11610</v>
      </c>
      <c r="D734">
        <v>102398</v>
      </c>
      <c r="E734">
        <v>767016</v>
      </c>
      <c r="F734" t="s">
        <v>35</v>
      </c>
      <c r="G734" t="s">
        <v>15</v>
      </c>
    </row>
    <row r="735" spans="1:7" x14ac:dyDescent="0.2">
      <c r="A735" t="s">
        <v>687</v>
      </c>
      <c r="B735" t="s">
        <v>688</v>
      </c>
      <c r="C735">
        <v>11298</v>
      </c>
      <c r="D735">
        <v>110906</v>
      </c>
      <c r="E735">
        <v>846768</v>
      </c>
      <c r="F735" t="s">
        <v>35</v>
      </c>
      <c r="G735" t="s">
        <v>15</v>
      </c>
    </row>
    <row r="736" spans="1:7" x14ac:dyDescent="0.2">
      <c r="A736" t="s">
        <v>697</v>
      </c>
      <c r="B736" t="s">
        <v>698</v>
      </c>
      <c r="C736">
        <v>10999</v>
      </c>
      <c r="D736">
        <v>105301</v>
      </c>
      <c r="E736">
        <v>740577</v>
      </c>
      <c r="F736" t="s">
        <v>35</v>
      </c>
      <c r="G736" t="s">
        <v>15</v>
      </c>
    </row>
    <row r="737" spans="1:7" x14ac:dyDescent="0.2">
      <c r="A737" t="s">
        <v>715</v>
      </c>
      <c r="B737" t="s">
        <v>716</v>
      </c>
      <c r="C737">
        <v>10769</v>
      </c>
      <c r="D737">
        <v>65084</v>
      </c>
      <c r="E737">
        <v>581846</v>
      </c>
      <c r="F737" t="s">
        <v>35</v>
      </c>
      <c r="G737" t="s">
        <v>15</v>
      </c>
    </row>
    <row r="738" spans="1:7" x14ac:dyDescent="0.2">
      <c r="A738" t="s">
        <v>733</v>
      </c>
      <c r="B738" t="s">
        <v>734</v>
      </c>
      <c r="C738">
        <v>10698</v>
      </c>
      <c r="D738">
        <v>73899</v>
      </c>
      <c r="E738">
        <v>562930</v>
      </c>
      <c r="F738" t="s">
        <v>35</v>
      </c>
      <c r="G738" t="s">
        <v>15</v>
      </c>
    </row>
    <row r="739" spans="1:7" x14ac:dyDescent="0.2">
      <c r="A739" t="s">
        <v>721</v>
      </c>
      <c r="B739" t="s">
        <v>722</v>
      </c>
      <c r="C739">
        <v>10493</v>
      </c>
      <c r="D739">
        <v>63040</v>
      </c>
      <c r="E739">
        <v>517189</v>
      </c>
      <c r="F739" t="s">
        <v>35</v>
      </c>
      <c r="G739" t="s">
        <v>15</v>
      </c>
    </row>
    <row r="740" spans="1:7" x14ac:dyDescent="0.2">
      <c r="A740" t="s">
        <v>723</v>
      </c>
      <c r="B740" t="s">
        <v>724</v>
      </c>
      <c r="C740">
        <v>10475</v>
      </c>
      <c r="D740">
        <v>439003</v>
      </c>
      <c r="E740">
        <v>2468442</v>
      </c>
      <c r="F740" t="s">
        <v>35</v>
      </c>
      <c r="G740" t="s">
        <v>15</v>
      </c>
    </row>
    <row r="741" spans="1:7" x14ac:dyDescent="0.2">
      <c r="A741" t="s">
        <v>701</v>
      </c>
      <c r="B741" t="s">
        <v>702</v>
      </c>
      <c r="C741">
        <v>10175</v>
      </c>
      <c r="D741">
        <v>55801</v>
      </c>
      <c r="E741">
        <v>399531</v>
      </c>
      <c r="F741" t="s">
        <v>35</v>
      </c>
      <c r="G741" t="s">
        <v>15</v>
      </c>
    </row>
    <row r="742" spans="1:7" x14ac:dyDescent="0.2">
      <c r="A742" t="s">
        <v>711</v>
      </c>
      <c r="B742" t="s">
        <v>712</v>
      </c>
      <c r="C742">
        <v>10046</v>
      </c>
      <c r="D742">
        <v>179604</v>
      </c>
      <c r="E742">
        <v>1149016</v>
      </c>
      <c r="F742" t="s">
        <v>35</v>
      </c>
      <c r="G742" t="s">
        <v>15</v>
      </c>
    </row>
    <row r="743" spans="1:7" x14ac:dyDescent="0.2">
      <c r="A743" t="s">
        <v>735</v>
      </c>
      <c r="B743" t="s">
        <v>736</v>
      </c>
      <c r="C743">
        <v>9428</v>
      </c>
      <c r="D743">
        <v>41388</v>
      </c>
      <c r="E743">
        <v>343615</v>
      </c>
      <c r="F743" t="s">
        <v>35</v>
      </c>
      <c r="G743" t="s">
        <v>15</v>
      </c>
    </row>
    <row r="744" spans="1:7" x14ac:dyDescent="0.2">
      <c r="A744" t="s">
        <v>667</v>
      </c>
      <c r="B744" t="s">
        <v>668</v>
      </c>
      <c r="C744">
        <v>8963</v>
      </c>
      <c r="D744">
        <v>105077</v>
      </c>
      <c r="E744">
        <v>678165</v>
      </c>
      <c r="F744" t="s">
        <v>35</v>
      </c>
      <c r="G744" t="s">
        <v>15</v>
      </c>
    </row>
    <row r="745" spans="1:7" x14ac:dyDescent="0.2">
      <c r="A745" t="s">
        <v>729</v>
      </c>
      <c r="B745" t="s">
        <v>730</v>
      </c>
      <c r="C745">
        <v>8919</v>
      </c>
      <c r="D745">
        <v>82947</v>
      </c>
      <c r="E745">
        <v>591664</v>
      </c>
      <c r="F745" t="s">
        <v>35</v>
      </c>
      <c r="G745" t="s">
        <v>15</v>
      </c>
    </row>
    <row r="746" spans="1:7" x14ac:dyDescent="0.2">
      <c r="A746" t="s">
        <v>731</v>
      </c>
      <c r="B746" t="s">
        <v>732</v>
      </c>
      <c r="C746">
        <v>8877</v>
      </c>
      <c r="D746">
        <v>66416</v>
      </c>
      <c r="E746">
        <v>468888</v>
      </c>
      <c r="F746" t="s">
        <v>35</v>
      </c>
      <c r="G746" t="s">
        <v>15</v>
      </c>
    </row>
    <row r="747" spans="1:7" x14ac:dyDescent="0.2">
      <c r="A747" t="s">
        <v>747</v>
      </c>
      <c r="B747" t="s">
        <v>748</v>
      </c>
      <c r="C747">
        <v>8040</v>
      </c>
      <c r="D747">
        <v>127165</v>
      </c>
      <c r="E747">
        <v>979653</v>
      </c>
      <c r="F747" t="s">
        <v>35</v>
      </c>
      <c r="G747" t="s">
        <v>15</v>
      </c>
    </row>
    <row r="748" spans="1:7" x14ac:dyDescent="0.2">
      <c r="A748" t="s">
        <v>737</v>
      </c>
      <c r="B748" t="s">
        <v>738</v>
      </c>
      <c r="C748">
        <v>7984</v>
      </c>
      <c r="D748">
        <v>92944</v>
      </c>
      <c r="E748">
        <v>620493</v>
      </c>
      <c r="F748" t="s">
        <v>35</v>
      </c>
      <c r="G748" t="s">
        <v>15</v>
      </c>
    </row>
    <row r="749" spans="1:7" x14ac:dyDescent="0.2">
      <c r="A749" t="s">
        <v>769</v>
      </c>
      <c r="B749" t="s">
        <v>770</v>
      </c>
      <c r="C749">
        <v>7817</v>
      </c>
      <c r="D749">
        <v>513958</v>
      </c>
      <c r="E749">
        <v>3368307</v>
      </c>
      <c r="F749" t="s">
        <v>35</v>
      </c>
      <c r="G749" t="s">
        <v>15</v>
      </c>
    </row>
    <row r="750" spans="1:7" x14ac:dyDescent="0.2">
      <c r="A750" t="s">
        <v>751</v>
      </c>
      <c r="B750" t="s">
        <v>752</v>
      </c>
      <c r="C750">
        <v>7769</v>
      </c>
      <c r="D750">
        <v>52876</v>
      </c>
      <c r="E750">
        <v>1643823</v>
      </c>
      <c r="F750" t="s">
        <v>35</v>
      </c>
      <c r="G750" t="s">
        <v>15</v>
      </c>
    </row>
    <row r="751" spans="1:7" x14ac:dyDescent="0.2">
      <c r="A751" t="s">
        <v>739</v>
      </c>
      <c r="B751" t="s">
        <v>740</v>
      </c>
      <c r="C751">
        <v>7760</v>
      </c>
      <c r="D751">
        <v>42483</v>
      </c>
      <c r="E751">
        <v>393336</v>
      </c>
      <c r="F751" t="s">
        <v>35</v>
      </c>
      <c r="G751" t="s">
        <v>15</v>
      </c>
    </row>
    <row r="752" spans="1:7" x14ac:dyDescent="0.2">
      <c r="A752" t="s">
        <v>745</v>
      </c>
      <c r="B752" t="s">
        <v>746</v>
      </c>
      <c r="C752">
        <v>7651</v>
      </c>
      <c r="D752">
        <v>64858</v>
      </c>
      <c r="E752">
        <v>492540</v>
      </c>
      <c r="F752" t="s">
        <v>35</v>
      </c>
      <c r="G752" t="s">
        <v>15</v>
      </c>
    </row>
    <row r="753" spans="1:7" x14ac:dyDescent="0.2">
      <c r="A753" t="s">
        <v>743</v>
      </c>
      <c r="B753" t="s">
        <v>744</v>
      </c>
      <c r="C753">
        <v>7415</v>
      </c>
      <c r="D753">
        <v>49650</v>
      </c>
      <c r="E753">
        <v>377436</v>
      </c>
      <c r="F753" t="s">
        <v>35</v>
      </c>
      <c r="G753" t="s">
        <v>15</v>
      </c>
    </row>
    <row r="754" spans="1:7" x14ac:dyDescent="0.2">
      <c r="A754" t="s">
        <v>749</v>
      </c>
      <c r="B754" t="s">
        <v>750</v>
      </c>
      <c r="C754">
        <v>7376</v>
      </c>
      <c r="D754">
        <v>168913</v>
      </c>
      <c r="E754">
        <v>1465660</v>
      </c>
      <c r="F754" t="s">
        <v>35</v>
      </c>
      <c r="G754" t="s">
        <v>15</v>
      </c>
    </row>
    <row r="755" spans="1:7" x14ac:dyDescent="0.2">
      <c r="A755" t="s">
        <v>757</v>
      </c>
      <c r="B755" t="s">
        <v>758</v>
      </c>
      <c r="C755">
        <v>6599</v>
      </c>
      <c r="D755">
        <v>81436</v>
      </c>
      <c r="E755">
        <v>503632</v>
      </c>
      <c r="F755" t="s">
        <v>35</v>
      </c>
      <c r="G755" t="s">
        <v>15</v>
      </c>
    </row>
    <row r="756" spans="1:7" x14ac:dyDescent="0.2">
      <c r="A756" t="s">
        <v>763</v>
      </c>
      <c r="B756" t="s">
        <v>764</v>
      </c>
      <c r="C756">
        <v>6594</v>
      </c>
      <c r="D756">
        <v>75432</v>
      </c>
      <c r="E756">
        <v>526235</v>
      </c>
      <c r="F756" t="s">
        <v>35</v>
      </c>
      <c r="G756" t="s">
        <v>15</v>
      </c>
    </row>
    <row r="757" spans="1:7" x14ac:dyDescent="0.2">
      <c r="A757" t="s">
        <v>753</v>
      </c>
      <c r="B757" t="s">
        <v>754</v>
      </c>
      <c r="C757">
        <v>6524</v>
      </c>
      <c r="D757">
        <v>65277</v>
      </c>
      <c r="E757">
        <v>455842</v>
      </c>
      <c r="F757" t="s">
        <v>35</v>
      </c>
      <c r="G757" t="s">
        <v>15</v>
      </c>
    </row>
    <row r="758" spans="1:7" x14ac:dyDescent="0.2">
      <c r="A758" t="s">
        <v>755</v>
      </c>
      <c r="B758" t="s">
        <v>756</v>
      </c>
      <c r="C758">
        <v>6296</v>
      </c>
      <c r="D758">
        <v>114969</v>
      </c>
      <c r="E758">
        <v>1348594</v>
      </c>
      <c r="F758" t="s">
        <v>35</v>
      </c>
      <c r="G758" t="s">
        <v>15</v>
      </c>
    </row>
    <row r="759" spans="1:7" x14ac:dyDescent="0.2">
      <c r="A759" t="s">
        <v>709</v>
      </c>
      <c r="B759" t="s">
        <v>710</v>
      </c>
      <c r="C759">
        <v>6228</v>
      </c>
      <c r="D759">
        <v>62054</v>
      </c>
      <c r="E759">
        <v>493137</v>
      </c>
      <c r="F759" t="s">
        <v>35</v>
      </c>
      <c r="G759" t="s">
        <v>15</v>
      </c>
    </row>
    <row r="760" spans="1:7" x14ac:dyDescent="0.2">
      <c r="A760" t="s">
        <v>759</v>
      </c>
      <c r="B760" t="s">
        <v>760</v>
      </c>
      <c r="C760">
        <v>6178</v>
      </c>
      <c r="D760">
        <v>355706</v>
      </c>
      <c r="E760">
        <v>1712717</v>
      </c>
      <c r="F760" t="s">
        <v>35</v>
      </c>
      <c r="G760" t="s">
        <v>15</v>
      </c>
    </row>
    <row r="761" spans="1:7" x14ac:dyDescent="0.2">
      <c r="A761" t="s">
        <v>783</v>
      </c>
      <c r="B761" t="s">
        <v>784</v>
      </c>
      <c r="C761">
        <v>5896</v>
      </c>
      <c r="D761">
        <v>268523</v>
      </c>
      <c r="E761">
        <v>1546841</v>
      </c>
      <c r="F761" t="s">
        <v>35</v>
      </c>
      <c r="G761" t="s">
        <v>15</v>
      </c>
    </row>
    <row r="762" spans="1:7" x14ac:dyDescent="0.2">
      <c r="A762" t="s">
        <v>899</v>
      </c>
      <c r="B762" t="s">
        <v>900</v>
      </c>
      <c r="C762">
        <v>5680</v>
      </c>
      <c r="D762">
        <v>1668140</v>
      </c>
      <c r="E762">
        <v>8894683</v>
      </c>
      <c r="F762" t="s">
        <v>35</v>
      </c>
      <c r="G762" t="s">
        <v>15</v>
      </c>
    </row>
    <row r="763" spans="1:7" x14ac:dyDescent="0.2">
      <c r="A763" t="s">
        <v>767</v>
      </c>
      <c r="B763" t="s">
        <v>768</v>
      </c>
      <c r="C763">
        <v>5510</v>
      </c>
      <c r="D763">
        <v>53119</v>
      </c>
      <c r="E763">
        <v>366175</v>
      </c>
      <c r="F763" t="s">
        <v>35</v>
      </c>
      <c r="G763" t="s">
        <v>15</v>
      </c>
    </row>
    <row r="764" spans="1:7" x14ac:dyDescent="0.2">
      <c r="A764" t="s">
        <v>765</v>
      </c>
      <c r="B764" t="s">
        <v>766</v>
      </c>
      <c r="C764">
        <v>5349</v>
      </c>
      <c r="D764">
        <v>105331</v>
      </c>
      <c r="E764">
        <v>666832</v>
      </c>
      <c r="F764" t="s">
        <v>35</v>
      </c>
      <c r="G764" t="s">
        <v>15</v>
      </c>
    </row>
    <row r="765" spans="1:7" x14ac:dyDescent="0.2">
      <c r="A765" t="s">
        <v>777</v>
      </c>
      <c r="B765" t="s">
        <v>778</v>
      </c>
      <c r="C765">
        <v>5275</v>
      </c>
      <c r="D765">
        <v>182626</v>
      </c>
      <c r="E765">
        <v>1014278</v>
      </c>
      <c r="F765" t="s">
        <v>35</v>
      </c>
      <c r="G765" t="s">
        <v>15</v>
      </c>
    </row>
    <row r="766" spans="1:7" x14ac:dyDescent="0.2">
      <c r="A766" t="s">
        <v>775</v>
      </c>
      <c r="B766" t="s">
        <v>776</v>
      </c>
      <c r="C766">
        <v>4952</v>
      </c>
      <c r="D766">
        <v>58505</v>
      </c>
      <c r="E766">
        <v>389468</v>
      </c>
      <c r="F766" t="s">
        <v>35</v>
      </c>
      <c r="G766" t="s">
        <v>15</v>
      </c>
    </row>
    <row r="767" spans="1:7" x14ac:dyDescent="0.2">
      <c r="A767" t="s">
        <v>773</v>
      </c>
      <c r="B767" t="s">
        <v>774</v>
      </c>
      <c r="C767">
        <v>4817</v>
      </c>
      <c r="D767">
        <v>47775</v>
      </c>
      <c r="E767">
        <v>327689</v>
      </c>
      <c r="F767" t="s">
        <v>35</v>
      </c>
      <c r="G767" t="s">
        <v>15</v>
      </c>
    </row>
    <row r="768" spans="1:7" x14ac:dyDescent="0.2">
      <c r="A768" t="s">
        <v>791</v>
      </c>
      <c r="B768" t="s">
        <v>792</v>
      </c>
      <c r="C768">
        <v>4341</v>
      </c>
      <c r="D768">
        <v>233633</v>
      </c>
      <c r="E768">
        <v>1362939</v>
      </c>
      <c r="F768" t="s">
        <v>35</v>
      </c>
      <c r="G768" t="s">
        <v>15</v>
      </c>
    </row>
    <row r="769" spans="1:7" x14ac:dyDescent="0.2">
      <c r="A769" t="s">
        <v>779</v>
      </c>
      <c r="B769" t="s">
        <v>780</v>
      </c>
      <c r="C769">
        <v>4329</v>
      </c>
      <c r="D769">
        <v>47165</v>
      </c>
      <c r="E769">
        <v>297880</v>
      </c>
      <c r="F769" t="s">
        <v>35</v>
      </c>
      <c r="G769" t="s">
        <v>15</v>
      </c>
    </row>
    <row r="770" spans="1:7" x14ac:dyDescent="0.2">
      <c r="A770" t="s">
        <v>781</v>
      </c>
      <c r="B770" t="s">
        <v>782</v>
      </c>
      <c r="C770">
        <v>4074</v>
      </c>
      <c r="D770">
        <v>56452</v>
      </c>
      <c r="E770">
        <v>334271</v>
      </c>
      <c r="F770" t="s">
        <v>35</v>
      </c>
      <c r="G770" t="s">
        <v>15</v>
      </c>
    </row>
    <row r="771" spans="1:7" x14ac:dyDescent="0.2">
      <c r="A771" t="s">
        <v>789</v>
      </c>
      <c r="B771" t="s">
        <v>790</v>
      </c>
      <c r="C771">
        <v>3478</v>
      </c>
      <c r="D771">
        <v>106344</v>
      </c>
      <c r="E771">
        <v>1536157</v>
      </c>
      <c r="F771" t="s">
        <v>35</v>
      </c>
      <c r="G771" t="s">
        <v>15</v>
      </c>
    </row>
    <row r="772" spans="1:7" x14ac:dyDescent="0.2">
      <c r="A772" t="s">
        <v>787</v>
      </c>
      <c r="B772" t="s">
        <v>788</v>
      </c>
      <c r="C772">
        <v>3370</v>
      </c>
      <c r="D772">
        <v>118951</v>
      </c>
      <c r="E772">
        <v>633311</v>
      </c>
      <c r="F772" t="s">
        <v>35</v>
      </c>
      <c r="G772" t="s">
        <v>15</v>
      </c>
    </row>
    <row r="773" spans="1:7" x14ac:dyDescent="0.2">
      <c r="A773" t="s">
        <v>803</v>
      </c>
      <c r="B773" t="s">
        <v>804</v>
      </c>
      <c r="C773">
        <v>3210</v>
      </c>
      <c r="D773">
        <v>73223</v>
      </c>
      <c r="E773">
        <v>409011</v>
      </c>
      <c r="F773" t="s">
        <v>35</v>
      </c>
      <c r="G773" t="s">
        <v>15</v>
      </c>
    </row>
    <row r="774" spans="1:7" x14ac:dyDescent="0.2">
      <c r="A774" t="s">
        <v>793</v>
      </c>
      <c r="B774" t="s">
        <v>794</v>
      </c>
      <c r="C774">
        <v>2451</v>
      </c>
      <c r="D774">
        <v>136564</v>
      </c>
      <c r="E774">
        <v>706356</v>
      </c>
      <c r="F774" t="s">
        <v>35</v>
      </c>
      <c r="G774" t="s">
        <v>15</v>
      </c>
    </row>
    <row r="775" spans="1:7" x14ac:dyDescent="0.2">
      <c r="A775" t="s">
        <v>785</v>
      </c>
      <c r="B775" t="s">
        <v>786</v>
      </c>
      <c r="C775">
        <v>2366</v>
      </c>
      <c r="D775">
        <v>77500</v>
      </c>
      <c r="E775">
        <v>445706</v>
      </c>
      <c r="F775" t="s">
        <v>35</v>
      </c>
      <c r="G775" t="s">
        <v>15</v>
      </c>
    </row>
    <row r="776" spans="1:7" x14ac:dyDescent="0.2">
      <c r="A776" t="s">
        <v>799</v>
      </c>
      <c r="B776" t="s">
        <v>800</v>
      </c>
      <c r="C776">
        <v>2319</v>
      </c>
      <c r="D776">
        <v>103886</v>
      </c>
      <c r="E776">
        <v>572296</v>
      </c>
      <c r="F776" t="s">
        <v>35</v>
      </c>
      <c r="G776" t="s">
        <v>15</v>
      </c>
    </row>
    <row r="777" spans="1:7" x14ac:dyDescent="0.2">
      <c r="A777" t="s">
        <v>797</v>
      </c>
      <c r="B777" t="s">
        <v>798</v>
      </c>
      <c r="C777">
        <v>1826</v>
      </c>
      <c r="D777">
        <v>450207</v>
      </c>
      <c r="E777">
        <v>2275838</v>
      </c>
      <c r="F777" t="s">
        <v>35</v>
      </c>
      <c r="G777" t="s">
        <v>15</v>
      </c>
    </row>
    <row r="778" spans="1:7" x14ac:dyDescent="0.2">
      <c r="A778" t="s">
        <v>801</v>
      </c>
      <c r="B778" t="s">
        <v>802</v>
      </c>
      <c r="C778">
        <v>1762</v>
      </c>
      <c r="D778">
        <v>147164</v>
      </c>
      <c r="E778">
        <v>832326</v>
      </c>
      <c r="F778" t="s">
        <v>35</v>
      </c>
      <c r="G778" t="s">
        <v>15</v>
      </c>
    </row>
    <row r="779" spans="1:7" x14ac:dyDescent="0.2">
      <c r="A779" t="s">
        <v>809</v>
      </c>
      <c r="B779" t="s">
        <v>810</v>
      </c>
      <c r="C779">
        <v>1759</v>
      </c>
      <c r="D779">
        <v>58142</v>
      </c>
      <c r="E779">
        <v>361614</v>
      </c>
      <c r="F779" t="s">
        <v>35</v>
      </c>
      <c r="G779" t="s">
        <v>15</v>
      </c>
    </row>
    <row r="780" spans="1:7" x14ac:dyDescent="0.2">
      <c r="A780" t="s">
        <v>807</v>
      </c>
      <c r="B780" t="s">
        <v>808</v>
      </c>
      <c r="C780">
        <v>1662</v>
      </c>
      <c r="D780">
        <v>350618</v>
      </c>
      <c r="E780">
        <v>1917017</v>
      </c>
      <c r="F780" t="s">
        <v>35</v>
      </c>
      <c r="G780" t="s">
        <v>15</v>
      </c>
    </row>
    <row r="781" spans="1:7" x14ac:dyDescent="0.2">
      <c r="A781" t="s">
        <v>805</v>
      </c>
      <c r="B781" t="s">
        <v>806</v>
      </c>
      <c r="C781">
        <v>1638</v>
      </c>
      <c r="D781">
        <v>59805</v>
      </c>
      <c r="E781">
        <v>322918</v>
      </c>
      <c r="F781" t="s">
        <v>35</v>
      </c>
      <c r="G781" t="s">
        <v>15</v>
      </c>
    </row>
    <row r="782" spans="1:7" x14ac:dyDescent="0.2">
      <c r="A782" t="s">
        <v>815</v>
      </c>
      <c r="B782" t="s">
        <v>816</v>
      </c>
      <c r="C782">
        <v>1614</v>
      </c>
      <c r="D782">
        <v>335627</v>
      </c>
      <c r="E782">
        <v>1744228</v>
      </c>
      <c r="F782" t="s">
        <v>35</v>
      </c>
      <c r="G782" t="s">
        <v>15</v>
      </c>
    </row>
    <row r="783" spans="1:7" x14ac:dyDescent="0.2">
      <c r="A783" t="s">
        <v>813</v>
      </c>
      <c r="B783" t="s">
        <v>814</v>
      </c>
      <c r="C783">
        <v>804</v>
      </c>
      <c r="D783">
        <v>54084</v>
      </c>
      <c r="E783">
        <v>303078</v>
      </c>
      <c r="F783" t="s">
        <v>35</v>
      </c>
      <c r="G783" t="s">
        <v>15</v>
      </c>
    </row>
    <row r="784" spans="1:7" x14ac:dyDescent="0.2">
      <c r="A784" t="s">
        <v>811</v>
      </c>
      <c r="B784" t="s">
        <v>812</v>
      </c>
      <c r="C784">
        <v>799</v>
      </c>
      <c r="D784">
        <v>279218</v>
      </c>
      <c r="E784">
        <v>1449889</v>
      </c>
      <c r="F784" t="s">
        <v>35</v>
      </c>
      <c r="G784" t="s">
        <v>15</v>
      </c>
    </row>
    <row r="785" spans="1:7" x14ac:dyDescent="0.2">
      <c r="A785" t="s">
        <v>901</v>
      </c>
      <c r="B785" t="s">
        <v>902</v>
      </c>
      <c r="C785">
        <v>727</v>
      </c>
      <c r="D785">
        <v>107638</v>
      </c>
      <c r="E785">
        <v>552753</v>
      </c>
      <c r="F785" t="s">
        <v>35</v>
      </c>
      <c r="G785" t="s">
        <v>15</v>
      </c>
    </row>
    <row r="786" spans="1:7" x14ac:dyDescent="0.2">
      <c r="A786" t="s">
        <v>817</v>
      </c>
      <c r="B786" t="s">
        <v>818</v>
      </c>
      <c r="C786">
        <v>583</v>
      </c>
      <c r="D786">
        <v>319138</v>
      </c>
      <c r="E786">
        <v>1684160</v>
      </c>
      <c r="F786" t="s">
        <v>35</v>
      </c>
      <c r="G786" t="s">
        <v>15</v>
      </c>
    </row>
    <row r="787" spans="1:7" x14ac:dyDescent="0.2">
      <c r="A787" t="s">
        <v>819</v>
      </c>
      <c r="B787" t="s">
        <v>820</v>
      </c>
      <c r="C787">
        <v>418</v>
      </c>
      <c r="D787">
        <v>52689</v>
      </c>
      <c r="E787">
        <v>293025</v>
      </c>
      <c r="F787" t="s">
        <v>35</v>
      </c>
      <c r="G787" t="s">
        <v>15</v>
      </c>
    </row>
    <row r="788" spans="1:7" x14ac:dyDescent="0.2">
      <c r="A788" t="s">
        <v>823</v>
      </c>
      <c r="B788" t="s">
        <v>824</v>
      </c>
      <c r="C788">
        <v>413</v>
      </c>
      <c r="D788">
        <v>92527</v>
      </c>
      <c r="E788">
        <v>495964</v>
      </c>
      <c r="F788" t="s">
        <v>35</v>
      </c>
      <c r="G788" t="s">
        <v>15</v>
      </c>
    </row>
    <row r="789" spans="1:7" x14ac:dyDescent="0.2">
      <c r="A789" t="s">
        <v>827</v>
      </c>
      <c r="B789" t="s">
        <v>828</v>
      </c>
      <c r="C789">
        <v>379</v>
      </c>
      <c r="D789">
        <v>49867</v>
      </c>
      <c r="E789">
        <v>270249</v>
      </c>
      <c r="F789" t="s">
        <v>35</v>
      </c>
      <c r="G789" t="s">
        <v>15</v>
      </c>
    </row>
    <row r="790" spans="1:7" x14ac:dyDescent="0.2">
      <c r="A790" t="s">
        <v>829</v>
      </c>
      <c r="B790" t="s">
        <v>830</v>
      </c>
      <c r="C790">
        <v>320</v>
      </c>
      <c r="D790">
        <v>66784</v>
      </c>
      <c r="E790">
        <v>364883</v>
      </c>
      <c r="F790" t="s">
        <v>35</v>
      </c>
      <c r="G790" t="s">
        <v>15</v>
      </c>
    </row>
    <row r="791" spans="1:7" x14ac:dyDescent="0.2">
      <c r="A791" t="s">
        <v>833</v>
      </c>
      <c r="B791" t="s">
        <v>834</v>
      </c>
      <c r="C791">
        <v>311</v>
      </c>
      <c r="D791">
        <v>78961</v>
      </c>
      <c r="E791">
        <v>422466</v>
      </c>
      <c r="F791" t="s">
        <v>35</v>
      </c>
      <c r="G791" t="s">
        <v>15</v>
      </c>
    </row>
    <row r="792" spans="1:7" x14ac:dyDescent="0.2">
      <c r="A792" t="s">
        <v>831</v>
      </c>
      <c r="B792" t="s">
        <v>832</v>
      </c>
      <c r="C792">
        <v>301</v>
      </c>
      <c r="D792">
        <v>257540</v>
      </c>
      <c r="E792">
        <v>1367770</v>
      </c>
      <c r="F792" t="s">
        <v>35</v>
      </c>
      <c r="G792" t="s">
        <v>15</v>
      </c>
    </row>
    <row r="793" spans="1:7" x14ac:dyDescent="0.2">
      <c r="A793" t="s">
        <v>771</v>
      </c>
      <c r="B793" t="s">
        <v>772</v>
      </c>
      <c r="C793">
        <v>279</v>
      </c>
      <c r="D793">
        <v>59363</v>
      </c>
      <c r="E793">
        <v>318455</v>
      </c>
      <c r="F793" t="s">
        <v>35</v>
      </c>
      <c r="G793" t="s">
        <v>15</v>
      </c>
    </row>
    <row r="794" spans="1:7" x14ac:dyDescent="0.2">
      <c r="A794" t="s">
        <v>825</v>
      </c>
      <c r="B794" t="s">
        <v>826</v>
      </c>
      <c r="C794">
        <v>267</v>
      </c>
      <c r="D794">
        <v>56248</v>
      </c>
      <c r="E794">
        <v>317693</v>
      </c>
      <c r="F794" t="s">
        <v>35</v>
      </c>
      <c r="G794" t="s">
        <v>15</v>
      </c>
    </row>
    <row r="795" spans="1:7" x14ac:dyDescent="0.2">
      <c r="A795" t="s">
        <v>835</v>
      </c>
      <c r="B795" t="s">
        <v>836</v>
      </c>
      <c r="C795">
        <v>138</v>
      </c>
      <c r="D795">
        <v>63900</v>
      </c>
      <c r="E795">
        <v>322737</v>
      </c>
      <c r="F795" t="s">
        <v>35</v>
      </c>
      <c r="G795" t="s">
        <v>15</v>
      </c>
    </row>
    <row r="796" spans="1:7" x14ac:dyDescent="0.2">
      <c r="A796" t="s">
        <v>33</v>
      </c>
      <c r="B796" t="s">
        <v>34</v>
      </c>
      <c r="C796">
        <v>30439497</v>
      </c>
      <c r="D796">
        <v>247661</v>
      </c>
      <c r="E796">
        <v>233755617</v>
      </c>
      <c r="F796" t="s">
        <v>35</v>
      </c>
      <c r="G796" t="s">
        <v>18</v>
      </c>
    </row>
    <row r="797" spans="1:7" x14ac:dyDescent="0.2">
      <c r="A797" t="s">
        <v>38</v>
      </c>
      <c r="B797" t="s">
        <v>39</v>
      </c>
      <c r="C797">
        <v>17580946</v>
      </c>
      <c r="D797">
        <v>247152</v>
      </c>
      <c r="E797">
        <v>141704040</v>
      </c>
      <c r="F797" t="s">
        <v>35</v>
      </c>
      <c r="G797" t="s">
        <v>18</v>
      </c>
    </row>
    <row r="798" spans="1:7" x14ac:dyDescent="0.2">
      <c r="A798" t="s">
        <v>36</v>
      </c>
      <c r="B798" t="s">
        <v>37</v>
      </c>
      <c r="C798">
        <v>16229932</v>
      </c>
      <c r="D798">
        <v>51049</v>
      </c>
      <c r="E798">
        <v>117359330</v>
      </c>
      <c r="F798" t="s">
        <v>35</v>
      </c>
      <c r="G798" t="s">
        <v>18</v>
      </c>
    </row>
    <row r="799" spans="1:7" x14ac:dyDescent="0.2">
      <c r="A799" t="s">
        <v>40</v>
      </c>
      <c r="B799" t="s">
        <v>41</v>
      </c>
      <c r="C799">
        <v>15797721</v>
      </c>
      <c r="D799">
        <v>2251142.91</v>
      </c>
      <c r="E799">
        <v>139593414.44</v>
      </c>
      <c r="F799" t="s">
        <v>35</v>
      </c>
      <c r="G799" t="s">
        <v>18</v>
      </c>
    </row>
    <row r="800" spans="1:7" x14ac:dyDescent="0.2">
      <c r="A800" t="s">
        <v>42</v>
      </c>
      <c r="B800" t="s">
        <v>43</v>
      </c>
      <c r="C800">
        <v>13067963</v>
      </c>
      <c r="D800">
        <v>1354</v>
      </c>
      <c r="E800">
        <v>148952943</v>
      </c>
      <c r="F800" t="s">
        <v>35</v>
      </c>
      <c r="G800" t="s">
        <v>18</v>
      </c>
    </row>
    <row r="801" spans="1:7" x14ac:dyDescent="0.2">
      <c r="A801" t="s">
        <v>44</v>
      </c>
      <c r="B801" t="s">
        <v>45</v>
      </c>
      <c r="C801">
        <v>10456586</v>
      </c>
      <c r="D801">
        <v>5308</v>
      </c>
      <c r="E801">
        <v>84483768</v>
      </c>
      <c r="F801" t="s">
        <v>35</v>
      </c>
      <c r="G801" t="s">
        <v>18</v>
      </c>
    </row>
    <row r="802" spans="1:7" x14ac:dyDescent="0.2">
      <c r="A802" t="s">
        <v>48</v>
      </c>
      <c r="B802" t="s">
        <v>49</v>
      </c>
      <c r="C802">
        <v>10412812</v>
      </c>
      <c r="D802">
        <v>82557</v>
      </c>
      <c r="E802">
        <v>73834236</v>
      </c>
      <c r="F802" t="s">
        <v>903</v>
      </c>
      <c r="G802" t="s">
        <v>18</v>
      </c>
    </row>
    <row r="803" spans="1:7" x14ac:dyDescent="0.2">
      <c r="A803" t="s">
        <v>46</v>
      </c>
      <c r="B803" t="s">
        <v>47</v>
      </c>
      <c r="C803">
        <v>8178233</v>
      </c>
      <c r="D803">
        <v>5443</v>
      </c>
      <c r="E803">
        <v>128500073</v>
      </c>
      <c r="F803" t="s">
        <v>35</v>
      </c>
      <c r="G803" t="s">
        <v>18</v>
      </c>
    </row>
    <row r="804" spans="1:7" x14ac:dyDescent="0.2">
      <c r="A804" t="s">
        <v>51</v>
      </c>
      <c r="B804" t="s">
        <v>52</v>
      </c>
      <c r="C804">
        <v>7413233.9199999999</v>
      </c>
      <c r="D804">
        <v>6938447.3600000003</v>
      </c>
      <c r="E804">
        <v>145138974.32999998</v>
      </c>
      <c r="F804" t="s">
        <v>35</v>
      </c>
      <c r="G804" t="s">
        <v>18</v>
      </c>
    </row>
    <row r="805" spans="1:7" x14ac:dyDescent="0.2">
      <c r="A805" t="s">
        <v>59</v>
      </c>
      <c r="B805" t="s">
        <v>60</v>
      </c>
      <c r="C805">
        <v>6366079</v>
      </c>
      <c r="D805">
        <v>46994</v>
      </c>
      <c r="E805">
        <v>48639651</v>
      </c>
      <c r="F805" t="s">
        <v>35</v>
      </c>
      <c r="G805" t="s">
        <v>18</v>
      </c>
    </row>
    <row r="806" spans="1:7" x14ac:dyDescent="0.2">
      <c r="A806" t="s">
        <v>67</v>
      </c>
      <c r="B806" t="s">
        <v>68</v>
      </c>
      <c r="C806">
        <v>6255335</v>
      </c>
      <c r="D806">
        <v>612</v>
      </c>
      <c r="E806">
        <v>69063980</v>
      </c>
      <c r="F806" t="s">
        <v>35</v>
      </c>
      <c r="G806" t="s">
        <v>18</v>
      </c>
    </row>
    <row r="807" spans="1:7" x14ac:dyDescent="0.2">
      <c r="A807" t="s">
        <v>61</v>
      </c>
      <c r="B807" t="s">
        <v>62</v>
      </c>
      <c r="C807">
        <v>6223931.0499999998</v>
      </c>
      <c r="D807">
        <v>786480.54</v>
      </c>
      <c r="E807">
        <v>73728065.25</v>
      </c>
      <c r="F807" t="s">
        <v>35</v>
      </c>
      <c r="G807" t="s">
        <v>18</v>
      </c>
    </row>
    <row r="808" spans="1:7" x14ac:dyDescent="0.2">
      <c r="A808" t="s">
        <v>53</v>
      </c>
      <c r="B808" t="s">
        <v>54</v>
      </c>
      <c r="C808">
        <v>6109713</v>
      </c>
      <c r="D808">
        <v>71114</v>
      </c>
      <c r="E808">
        <v>42046913</v>
      </c>
      <c r="F808" t="s">
        <v>35</v>
      </c>
      <c r="G808" t="s">
        <v>18</v>
      </c>
    </row>
    <row r="809" spans="1:7" x14ac:dyDescent="0.2">
      <c r="A809" t="s">
        <v>69</v>
      </c>
      <c r="B809" t="s">
        <v>70</v>
      </c>
      <c r="C809">
        <v>5675503</v>
      </c>
      <c r="D809">
        <v>1295857</v>
      </c>
      <c r="E809">
        <v>57997498</v>
      </c>
      <c r="F809" t="s">
        <v>35</v>
      </c>
      <c r="G809" t="s">
        <v>18</v>
      </c>
    </row>
    <row r="810" spans="1:7" x14ac:dyDescent="0.2">
      <c r="A810" t="s">
        <v>65</v>
      </c>
      <c r="B810" t="s">
        <v>66</v>
      </c>
      <c r="C810">
        <v>5312947</v>
      </c>
      <c r="D810">
        <v>3261567</v>
      </c>
      <c r="E810">
        <v>108118414</v>
      </c>
      <c r="F810" t="s">
        <v>35</v>
      </c>
      <c r="G810" t="s">
        <v>18</v>
      </c>
    </row>
    <row r="811" spans="1:7" x14ac:dyDescent="0.2">
      <c r="A811" t="s">
        <v>75</v>
      </c>
      <c r="B811" t="s">
        <v>76</v>
      </c>
      <c r="C811">
        <v>4622401</v>
      </c>
      <c r="D811">
        <v>57564</v>
      </c>
      <c r="E811">
        <v>67860576</v>
      </c>
      <c r="F811" t="s">
        <v>35</v>
      </c>
      <c r="G811" t="s">
        <v>18</v>
      </c>
    </row>
    <row r="812" spans="1:7" x14ac:dyDescent="0.2">
      <c r="A812" t="s">
        <v>63</v>
      </c>
      <c r="B812" t="s">
        <v>64</v>
      </c>
      <c r="C812">
        <v>4347490</v>
      </c>
      <c r="D812">
        <v>4149</v>
      </c>
      <c r="E812">
        <v>33565945</v>
      </c>
      <c r="F812" t="s">
        <v>35</v>
      </c>
      <c r="G812" t="s">
        <v>18</v>
      </c>
    </row>
    <row r="813" spans="1:7" x14ac:dyDescent="0.2">
      <c r="A813" t="s">
        <v>71</v>
      </c>
      <c r="B813" t="s">
        <v>72</v>
      </c>
      <c r="C813">
        <v>4280875</v>
      </c>
      <c r="D813">
        <v>59611</v>
      </c>
      <c r="E813">
        <v>38135877</v>
      </c>
      <c r="F813" t="s">
        <v>35</v>
      </c>
      <c r="G813" t="s">
        <v>18</v>
      </c>
    </row>
    <row r="814" spans="1:7" x14ac:dyDescent="0.2">
      <c r="A814" t="s">
        <v>904</v>
      </c>
      <c r="B814" t="s">
        <v>905</v>
      </c>
      <c r="C814">
        <v>3699076</v>
      </c>
      <c r="D814">
        <v>38084</v>
      </c>
      <c r="E814">
        <v>24690412</v>
      </c>
      <c r="F814" t="s">
        <v>903</v>
      </c>
      <c r="G814" t="s">
        <v>18</v>
      </c>
    </row>
    <row r="815" spans="1:7" x14ac:dyDescent="0.2">
      <c r="A815" t="s">
        <v>55</v>
      </c>
      <c r="B815" t="s">
        <v>56</v>
      </c>
      <c r="C815">
        <v>3476916</v>
      </c>
      <c r="D815">
        <v>28306</v>
      </c>
      <c r="E815">
        <v>52156288</v>
      </c>
      <c r="F815" t="s">
        <v>35</v>
      </c>
      <c r="G815" t="s">
        <v>18</v>
      </c>
    </row>
    <row r="816" spans="1:7" x14ac:dyDescent="0.2">
      <c r="A816" t="s">
        <v>77</v>
      </c>
      <c r="B816" t="s">
        <v>78</v>
      </c>
      <c r="C816">
        <v>3379337</v>
      </c>
      <c r="D816">
        <v>1327099</v>
      </c>
      <c r="E816">
        <v>63175736</v>
      </c>
      <c r="F816" t="s">
        <v>35</v>
      </c>
      <c r="G816" t="s">
        <v>18</v>
      </c>
    </row>
    <row r="817" spans="1:7" x14ac:dyDescent="0.2">
      <c r="A817" t="s">
        <v>83</v>
      </c>
      <c r="B817" t="s">
        <v>84</v>
      </c>
      <c r="C817">
        <v>3169994</v>
      </c>
      <c r="D817">
        <v>521648</v>
      </c>
      <c r="E817">
        <v>41950200</v>
      </c>
      <c r="F817" t="s">
        <v>35</v>
      </c>
      <c r="G817" t="s">
        <v>18</v>
      </c>
    </row>
    <row r="818" spans="1:7" x14ac:dyDescent="0.2">
      <c r="A818" t="s">
        <v>89</v>
      </c>
      <c r="B818" t="s">
        <v>90</v>
      </c>
      <c r="C818">
        <v>3152769</v>
      </c>
      <c r="D818">
        <v>350244</v>
      </c>
      <c r="E818">
        <v>19951791</v>
      </c>
      <c r="F818" t="s">
        <v>35</v>
      </c>
      <c r="G818" t="s">
        <v>18</v>
      </c>
    </row>
    <row r="819" spans="1:7" x14ac:dyDescent="0.2">
      <c r="A819" t="s">
        <v>73</v>
      </c>
      <c r="B819" t="s">
        <v>74</v>
      </c>
      <c r="C819">
        <v>3018894</v>
      </c>
      <c r="D819">
        <v>519859</v>
      </c>
      <c r="E819">
        <v>13346884</v>
      </c>
      <c r="F819" t="s">
        <v>35</v>
      </c>
      <c r="G819" t="s">
        <v>18</v>
      </c>
    </row>
    <row r="820" spans="1:7" x14ac:dyDescent="0.2">
      <c r="A820" t="s">
        <v>906</v>
      </c>
      <c r="B820" t="s">
        <v>907</v>
      </c>
      <c r="C820">
        <v>2844529</v>
      </c>
      <c r="D820">
        <v>271801</v>
      </c>
      <c r="E820">
        <v>1770955</v>
      </c>
      <c r="F820" t="s">
        <v>35</v>
      </c>
      <c r="G820" t="s">
        <v>18</v>
      </c>
    </row>
    <row r="821" spans="1:7" x14ac:dyDescent="0.2">
      <c r="A821" t="s">
        <v>57</v>
      </c>
      <c r="B821" t="s">
        <v>58</v>
      </c>
      <c r="C821">
        <v>2770980</v>
      </c>
      <c r="D821">
        <v>794219</v>
      </c>
      <c r="E821">
        <v>39568768</v>
      </c>
      <c r="F821" t="s">
        <v>35</v>
      </c>
      <c r="G821" t="s">
        <v>18</v>
      </c>
    </row>
    <row r="822" spans="1:7" x14ac:dyDescent="0.2">
      <c r="A822" t="s">
        <v>85</v>
      </c>
      <c r="B822" t="s">
        <v>86</v>
      </c>
      <c r="C822">
        <v>2656508</v>
      </c>
      <c r="D822">
        <v>180733</v>
      </c>
      <c r="E822">
        <v>13657298</v>
      </c>
      <c r="F822" t="s">
        <v>35</v>
      </c>
      <c r="G822" t="s">
        <v>18</v>
      </c>
    </row>
    <row r="823" spans="1:7" x14ac:dyDescent="0.2">
      <c r="A823" t="s">
        <v>79</v>
      </c>
      <c r="B823" t="s">
        <v>80</v>
      </c>
      <c r="C823">
        <v>2585996</v>
      </c>
      <c r="D823">
        <v>685026</v>
      </c>
      <c r="E823">
        <v>27568381</v>
      </c>
      <c r="F823" t="s">
        <v>35</v>
      </c>
      <c r="G823" t="s">
        <v>18</v>
      </c>
    </row>
    <row r="824" spans="1:7" x14ac:dyDescent="0.2">
      <c r="A824" t="s">
        <v>87</v>
      </c>
      <c r="B824" t="s">
        <v>88</v>
      </c>
      <c r="C824">
        <v>2423180</v>
      </c>
      <c r="D824">
        <v>19184</v>
      </c>
      <c r="E824">
        <v>29693485</v>
      </c>
      <c r="F824" t="s">
        <v>35</v>
      </c>
      <c r="G824" t="s">
        <v>18</v>
      </c>
    </row>
    <row r="825" spans="1:7" x14ac:dyDescent="0.2">
      <c r="A825" t="s">
        <v>840</v>
      </c>
      <c r="B825" t="s">
        <v>96</v>
      </c>
      <c r="C825">
        <v>2255843</v>
      </c>
      <c r="D825">
        <v>806331</v>
      </c>
      <c r="E825">
        <v>38361571</v>
      </c>
      <c r="F825" t="s">
        <v>35</v>
      </c>
      <c r="G825" t="s">
        <v>18</v>
      </c>
    </row>
    <row r="826" spans="1:7" x14ac:dyDescent="0.2">
      <c r="A826" t="s">
        <v>93</v>
      </c>
      <c r="B826" t="s">
        <v>94</v>
      </c>
      <c r="C826">
        <v>2215462</v>
      </c>
      <c r="D826">
        <v>7423</v>
      </c>
      <c r="E826">
        <v>31599452</v>
      </c>
      <c r="F826" t="s">
        <v>35</v>
      </c>
      <c r="G826" t="s">
        <v>18</v>
      </c>
    </row>
    <row r="827" spans="1:7" x14ac:dyDescent="0.2">
      <c r="A827" t="s">
        <v>91</v>
      </c>
      <c r="B827" t="s">
        <v>92</v>
      </c>
      <c r="C827">
        <v>2206497</v>
      </c>
      <c r="D827">
        <v>380</v>
      </c>
      <c r="E827">
        <v>41730150</v>
      </c>
      <c r="F827" t="s">
        <v>35</v>
      </c>
      <c r="G827" t="s">
        <v>18</v>
      </c>
    </row>
    <row r="828" spans="1:7" x14ac:dyDescent="0.2">
      <c r="A828" t="s">
        <v>101</v>
      </c>
      <c r="B828" t="s">
        <v>102</v>
      </c>
      <c r="C828">
        <v>2126535</v>
      </c>
      <c r="D828">
        <v>177674.96</v>
      </c>
      <c r="E828">
        <v>8381676.6299999999</v>
      </c>
      <c r="F828" t="s">
        <v>35</v>
      </c>
      <c r="G828" t="s">
        <v>18</v>
      </c>
    </row>
    <row r="829" spans="1:7" x14ac:dyDescent="0.2">
      <c r="A829" t="s">
        <v>125</v>
      </c>
      <c r="B829" t="s">
        <v>126</v>
      </c>
      <c r="C829">
        <v>1957746</v>
      </c>
      <c r="D829">
        <v>271469</v>
      </c>
      <c r="E829">
        <v>15521790</v>
      </c>
      <c r="F829" t="s">
        <v>35</v>
      </c>
      <c r="G829" t="s">
        <v>18</v>
      </c>
    </row>
    <row r="830" spans="1:7" x14ac:dyDescent="0.2">
      <c r="A830" t="s">
        <v>113</v>
      </c>
      <c r="B830" t="s">
        <v>114</v>
      </c>
      <c r="C830">
        <v>1862642</v>
      </c>
      <c r="D830">
        <v>150470</v>
      </c>
      <c r="E830">
        <v>23922231</v>
      </c>
      <c r="F830" t="s">
        <v>35</v>
      </c>
      <c r="G830" t="s">
        <v>18</v>
      </c>
    </row>
    <row r="831" spans="1:7" x14ac:dyDescent="0.2">
      <c r="A831" t="s">
        <v>103</v>
      </c>
      <c r="B831" t="s">
        <v>104</v>
      </c>
      <c r="C831">
        <v>1861809</v>
      </c>
      <c r="D831">
        <v>0</v>
      </c>
      <c r="E831">
        <v>34399620</v>
      </c>
      <c r="F831" t="s">
        <v>35</v>
      </c>
      <c r="G831" t="s">
        <v>18</v>
      </c>
    </row>
    <row r="832" spans="1:7" x14ac:dyDescent="0.2">
      <c r="A832" t="s">
        <v>99</v>
      </c>
      <c r="B832" t="s">
        <v>100</v>
      </c>
      <c r="C832">
        <v>1764178.27</v>
      </c>
      <c r="D832">
        <v>40343.46</v>
      </c>
      <c r="E832">
        <v>21012607.620000001</v>
      </c>
      <c r="F832" t="s">
        <v>35</v>
      </c>
      <c r="G832" t="s">
        <v>18</v>
      </c>
    </row>
    <row r="833" spans="1:7" x14ac:dyDescent="0.2">
      <c r="A833" t="s">
        <v>842</v>
      </c>
      <c r="B833" t="s">
        <v>843</v>
      </c>
      <c r="C833">
        <v>1689273</v>
      </c>
      <c r="D833">
        <v>407</v>
      </c>
      <c r="E833">
        <v>29064665</v>
      </c>
      <c r="F833" t="s">
        <v>35</v>
      </c>
      <c r="G833" t="s">
        <v>18</v>
      </c>
    </row>
    <row r="834" spans="1:7" x14ac:dyDescent="0.2">
      <c r="A834" t="s">
        <v>107</v>
      </c>
      <c r="B834" t="s">
        <v>108</v>
      </c>
      <c r="C834">
        <v>1638976</v>
      </c>
      <c r="D834">
        <v>12227</v>
      </c>
      <c r="E834">
        <v>32989462</v>
      </c>
      <c r="F834" t="s">
        <v>35</v>
      </c>
      <c r="G834" t="s">
        <v>18</v>
      </c>
    </row>
    <row r="835" spans="1:7" x14ac:dyDescent="0.2">
      <c r="A835" t="s">
        <v>841</v>
      </c>
      <c r="B835" t="s">
        <v>98</v>
      </c>
      <c r="C835">
        <v>1579275</v>
      </c>
      <c r="D835">
        <v>119891</v>
      </c>
      <c r="E835">
        <v>11739873</v>
      </c>
      <c r="F835" t="s">
        <v>35</v>
      </c>
      <c r="G835" t="s">
        <v>18</v>
      </c>
    </row>
    <row r="836" spans="1:7" x14ac:dyDescent="0.2">
      <c r="A836" t="s">
        <v>135</v>
      </c>
      <c r="B836" t="s">
        <v>136</v>
      </c>
      <c r="C836">
        <v>1540540</v>
      </c>
      <c r="D836">
        <v>743</v>
      </c>
      <c r="E836">
        <v>10416006</v>
      </c>
      <c r="F836" t="s">
        <v>35</v>
      </c>
      <c r="G836" t="s">
        <v>18</v>
      </c>
    </row>
    <row r="837" spans="1:7" x14ac:dyDescent="0.2">
      <c r="A837" t="s">
        <v>159</v>
      </c>
      <c r="B837" t="s">
        <v>160</v>
      </c>
      <c r="C837">
        <v>1427368</v>
      </c>
      <c r="D837">
        <v>639</v>
      </c>
      <c r="E837">
        <v>9612975</v>
      </c>
      <c r="F837" t="s">
        <v>35</v>
      </c>
      <c r="G837" t="s">
        <v>18</v>
      </c>
    </row>
    <row r="838" spans="1:7" x14ac:dyDescent="0.2">
      <c r="A838" t="s">
        <v>81</v>
      </c>
      <c r="B838" t="s">
        <v>82</v>
      </c>
      <c r="C838">
        <v>1425876</v>
      </c>
      <c r="D838">
        <v>107057.18</v>
      </c>
      <c r="E838">
        <v>9211901.8699999992</v>
      </c>
      <c r="F838" t="s">
        <v>35</v>
      </c>
      <c r="G838" t="s">
        <v>18</v>
      </c>
    </row>
    <row r="839" spans="1:7" x14ac:dyDescent="0.2">
      <c r="A839" t="s">
        <v>105</v>
      </c>
      <c r="B839" t="s">
        <v>106</v>
      </c>
      <c r="C839">
        <v>1422754</v>
      </c>
      <c r="D839">
        <v>264348</v>
      </c>
      <c r="E839">
        <v>18921886</v>
      </c>
      <c r="F839" t="s">
        <v>35</v>
      </c>
      <c r="G839" t="s">
        <v>18</v>
      </c>
    </row>
    <row r="840" spans="1:7" x14ac:dyDescent="0.2">
      <c r="A840" t="s">
        <v>109</v>
      </c>
      <c r="B840" t="s">
        <v>110</v>
      </c>
      <c r="C840">
        <v>1263099</v>
      </c>
      <c r="D840">
        <v>153730</v>
      </c>
      <c r="E840">
        <v>8383267</v>
      </c>
      <c r="F840" t="s">
        <v>35</v>
      </c>
      <c r="G840" t="s">
        <v>18</v>
      </c>
    </row>
    <row r="841" spans="1:7" x14ac:dyDescent="0.2">
      <c r="A841" t="s">
        <v>844</v>
      </c>
      <c r="B841" t="s">
        <v>120</v>
      </c>
      <c r="C841">
        <v>1191558</v>
      </c>
      <c r="D841">
        <v>266310</v>
      </c>
      <c r="E841">
        <v>10204233</v>
      </c>
      <c r="F841" t="s">
        <v>35</v>
      </c>
      <c r="G841" t="s">
        <v>18</v>
      </c>
    </row>
    <row r="842" spans="1:7" x14ac:dyDescent="0.2">
      <c r="A842" t="s">
        <v>127</v>
      </c>
      <c r="B842" t="s">
        <v>128</v>
      </c>
      <c r="C842">
        <v>1093184</v>
      </c>
      <c r="D842">
        <v>158829</v>
      </c>
      <c r="E842">
        <v>5559608</v>
      </c>
      <c r="F842" t="s">
        <v>35</v>
      </c>
      <c r="G842" t="s">
        <v>18</v>
      </c>
    </row>
    <row r="843" spans="1:7" x14ac:dyDescent="0.2">
      <c r="A843" t="s">
        <v>123</v>
      </c>
      <c r="B843" t="s">
        <v>124</v>
      </c>
      <c r="C843">
        <v>1087025</v>
      </c>
      <c r="D843">
        <v>5380125</v>
      </c>
      <c r="E843">
        <v>39496554</v>
      </c>
      <c r="F843" t="s">
        <v>35</v>
      </c>
      <c r="G843" t="s">
        <v>18</v>
      </c>
    </row>
    <row r="844" spans="1:7" x14ac:dyDescent="0.2">
      <c r="A844" t="s">
        <v>133</v>
      </c>
      <c r="B844" t="s">
        <v>134</v>
      </c>
      <c r="C844">
        <v>1083012.82</v>
      </c>
      <c r="D844">
        <v>363729.83</v>
      </c>
      <c r="E844">
        <v>17281731.219999999</v>
      </c>
      <c r="F844" t="s">
        <v>35</v>
      </c>
      <c r="G844" t="s">
        <v>18</v>
      </c>
    </row>
    <row r="845" spans="1:7" x14ac:dyDescent="0.2">
      <c r="A845" t="s">
        <v>129</v>
      </c>
      <c r="B845" t="s">
        <v>130</v>
      </c>
      <c r="C845">
        <v>1082265</v>
      </c>
      <c r="D845">
        <v>52035</v>
      </c>
      <c r="E845">
        <v>5767408</v>
      </c>
      <c r="F845" t="s">
        <v>35</v>
      </c>
      <c r="G845" t="s">
        <v>18</v>
      </c>
    </row>
    <row r="846" spans="1:7" x14ac:dyDescent="0.2">
      <c r="A846" t="s">
        <v>149</v>
      </c>
      <c r="B846" t="s">
        <v>150</v>
      </c>
      <c r="C846">
        <v>1027380.37</v>
      </c>
      <c r="D846">
        <v>108419.21</v>
      </c>
      <c r="E846">
        <v>8588043.3300000001</v>
      </c>
      <c r="F846" t="s">
        <v>35</v>
      </c>
      <c r="G846" t="s">
        <v>18</v>
      </c>
    </row>
    <row r="847" spans="1:7" x14ac:dyDescent="0.2">
      <c r="A847" t="s">
        <v>845</v>
      </c>
      <c r="B847" t="s">
        <v>846</v>
      </c>
      <c r="C847">
        <v>945868</v>
      </c>
      <c r="D847">
        <v>157970</v>
      </c>
      <c r="E847">
        <v>5186538</v>
      </c>
      <c r="F847" t="s">
        <v>35</v>
      </c>
      <c r="G847" t="s">
        <v>18</v>
      </c>
    </row>
    <row r="848" spans="1:7" x14ac:dyDescent="0.2">
      <c r="A848" t="s">
        <v>139</v>
      </c>
      <c r="B848" t="s">
        <v>140</v>
      </c>
      <c r="C848">
        <v>924297</v>
      </c>
      <c r="D848">
        <v>105</v>
      </c>
      <c r="E848">
        <v>12285065</v>
      </c>
      <c r="F848" t="s">
        <v>35</v>
      </c>
      <c r="G848" t="s">
        <v>18</v>
      </c>
    </row>
    <row r="849" spans="1:7" x14ac:dyDescent="0.2">
      <c r="A849" t="s">
        <v>137</v>
      </c>
      <c r="B849" t="s">
        <v>138</v>
      </c>
      <c r="C849">
        <v>909001</v>
      </c>
      <c r="D849">
        <v>2239386</v>
      </c>
      <c r="E849">
        <v>25159609</v>
      </c>
      <c r="F849" t="s">
        <v>35</v>
      </c>
      <c r="G849" t="s">
        <v>18</v>
      </c>
    </row>
    <row r="850" spans="1:7" x14ac:dyDescent="0.2">
      <c r="A850" t="s">
        <v>115</v>
      </c>
      <c r="B850" t="s">
        <v>116</v>
      </c>
      <c r="C850">
        <v>881599</v>
      </c>
      <c r="D850">
        <v>199937</v>
      </c>
      <c r="E850">
        <v>1499124</v>
      </c>
      <c r="F850" t="s">
        <v>35</v>
      </c>
      <c r="G850" t="s">
        <v>18</v>
      </c>
    </row>
    <row r="851" spans="1:7" x14ac:dyDescent="0.2">
      <c r="A851" t="s">
        <v>157</v>
      </c>
      <c r="B851" t="s">
        <v>158</v>
      </c>
      <c r="C851">
        <v>839977</v>
      </c>
      <c r="D851">
        <v>69435</v>
      </c>
      <c r="E851">
        <v>5160966</v>
      </c>
      <c r="F851" t="s">
        <v>35</v>
      </c>
      <c r="G851" t="s">
        <v>18</v>
      </c>
    </row>
    <row r="852" spans="1:7" x14ac:dyDescent="0.2">
      <c r="A852" t="s">
        <v>121</v>
      </c>
      <c r="B852" t="s">
        <v>122</v>
      </c>
      <c r="C852">
        <v>836882</v>
      </c>
      <c r="D852">
        <v>126</v>
      </c>
      <c r="E852">
        <v>15480447</v>
      </c>
      <c r="F852" t="s">
        <v>35</v>
      </c>
      <c r="G852" t="s">
        <v>18</v>
      </c>
    </row>
    <row r="853" spans="1:7" x14ac:dyDescent="0.2">
      <c r="A853" t="s">
        <v>153</v>
      </c>
      <c r="B853" t="s">
        <v>154</v>
      </c>
      <c r="C853">
        <v>799233</v>
      </c>
      <c r="D853">
        <v>305922</v>
      </c>
      <c r="E853">
        <v>15119578</v>
      </c>
      <c r="F853" t="s">
        <v>35</v>
      </c>
      <c r="G853" t="s">
        <v>18</v>
      </c>
    </row>
    <row r="854" spans="1:7" x14ac:dyDescent="0.2">
      <c r="A854" t="s">
        <v>171</v>
      </c>
      <c r="B854" t="s">
        <v>172</v>
      </c>
      <c r="C854">
        <v>797700</v>
      </c>
      <c r="D854">
        <v>253</v>
      </c>
      <c r="E854">
        <v>8820342</v>
      </c>
      <c r="F854" t="s">
        <v>35</v>
      </c>
      <c r="G854" t="s">
        <v>18</v>
      </c>
    </row>
    <row r="855" spans="1:7" x14ac:dyDescent="0.2">
      <c r="A855" t="s">
        <v>908</v>
      </c>
      <c r="B855" t="s">
        <v>118</v>
      </c>
      <c r="C855">
        <v>796416</v>
      </c>
      <c r="D855">
        <v>48183</v>
      </c>
      <c r="E855">
        <v>16424840</v>
      </c>
      <c r="F855" t="s">
        <v>35</v>
      </c>
      <c r="G855" t="s">
        <v>18</v>
      </c>
    </row>
    <row r="856" spans="1:7" x14ac:dyDescent="0.2">
      <c r="A856" t="s">
        <v>131</v>
      </c>
      <c r="B856" t="s">
        <v>132</v>
      </c>
      <c r="C856">
        <v>793653</v>
      </c>
      <c r="D856">
        <v>64649</v>
      </c>
      <c r="E856">
        <v>2886774</v>
      </c>
      <c r="F856" t="s">
        <v>35</v>
      </c>
      <c r="G856" t="s">
        <v>18</v>
      </c>
    </row>
    <row r="857" spans="1:7" x14ac:dyDescent="0.2">
      <c r="A857" t="s">
        <v>143</v>
      </c>
      <c r="B857" t="s">
        <v>144</v>
      </c>
      <c r="C857">
        <v>786392.6</v>
      </c>
      <c r="D857">
        <v>468676.05</v>
      </c>
      <c r="E857">
        <v>17504001.739999998</v>
      </c>
      <c r="F857" t="s">
        <v>35</v>
      </c>
      <c r="G857" t="s">
        <v>18</v>
      </c>
    </row>
    <row r="858" spans="1:7" x14ac:dyDescent="0.2">
      <c r="A858" t="s">
        <v>847</v>
      </c>
      <c r="B858" t="s">
        <v>848</v>
      </c>
      <c r="C858">
        <v>771327</v>
      </c>
      <c r="D858">
        <v>65918</v>
      </c>
      <c r="E858">
        <v>4246374</v>
      </c>
      <c r="F858" t="s">
        <v>35</v>
      </c>
      <c r="G858" t="s">
        <v>18</v>
      </c>
    </row>
    <row r="859" spans="1:7" x14ac:dyDescent="0.2">
      <c r="A859" t="s">
        <v>167</v>
      </c>
      <c r="B859" t="s">
        <v>168</v>
      </c>
      <c r="C859">
        <v>755960</v>
      </c>
      <c r="D859">
        <v>126137</v>
      </c>
      <c r="E859">
        <v>12072272</v>
      </c>
      <c r="F859" t="s">
        <v>35</v>
      </c>
      <c r="G859" t="s">
        <v>18</v>
      </c>
    </row>
    <row r="860" spans="1:7" x14ac:dyDescent="0.2">
      <c r="A860" t="s">
        <v>141</v>
      </c>
      <c r="B860" t="s">
        <v>142</v>
      </c>
      <c r="C860">
        <v>745732</v>
      </c>
      <c r="D860">
        <v>27</v>
      </c>
      <c r="E860">
        <v>9708472</v>
      </c>
      <c r="F860" t="s">
        <v>35</v>
      </c>
      <c r="G860" t="s">
        <v>18</v>
      </c>
    </row>
    <row r="861" spans="1:7" x14ac:dyDescent="0.2">
      <c r="A861" t="s">
        <v>111</v>
      </c>
      <c r="B861" t="s">
        <v>112</v>
      </c>
      <c r="C861">
        <v>744604.95</v>
      </c>
      <c r="D861">
        <v>144285.71</v>
      </c>
      <c r="E861">
        <v>18709518.460000001</v>
      </c>
      <c r="F861" t="s">
        <v>35</v>
      </c>
      <c r="G861" t="s">
        <v>18</v>
      </c>
    </row>
    <row r="862" spans="1:7" x14ac:dyDescent="0.2">
      <c r="A862" t="s">
        <v>199</v>
      </c>
      <c r="B862" t="s">
        <v>200</v>
      </c>
      <c r="C862">
        <v>741002</v>
      </c>
      <c r="D862">
        <v>200</v>
      </c>
      <c r="E862">
        <v>4136702</v>
      </c>
      <c r="F862" t="s">
        <v>35</v>
      </c>
      <c r="G862" t="s">
        <v>18</v>
      </c>
    </row>
    <row r="863" spans="1:7" x14ac:dyDescent="0.2">
      <c r="A863" t="s">
        <v>147</v>
      </c>
      <c r="B863" t="s">
        <v>148</v>
      </c>
      <c r="C863">
        <v>728189</v>
      </c>
      <c r="D863">
        <v>73496</v>
      </c>
      <c r="E863">
        <v>10760588</v>
      </c>
      <c r="F863" t="s">
        <v>35</v>
      </c>
      <c r="G863" t="s">
        <v>18</v>
      </c>
    </row>
    <row r="864" spans="1:7" x14ac:dyDescent="0.2">
      <c r="A864" t="s">
        <v>211</v>
      </c>
      <c r="B864" t="s">
        <v>212</v>
      </c>
      <c r="C864">
        <v>710265</v>
      </c>
      <c r="D864">
        <v>15946</v>
      </c>
      <c r="E864">
        <v>10892896</v>
      </c>
      <c r="F864" t="s">
        <v>35</v>
      </c>
      <c r="G864" t="s">
        <v>18</v>
      </c>
    </row>
    <row r="865" spans="1:7" x14ac:dyDescent="0.2">
      <c r="A865" t="s">
        <v>169</v>
      </c>
      <c r="B865" t="s">
        <v>170</v>
      </c>
      <c r="C865">
        <v>703766</v>
      </c>
      <c r="D865">
        <v>270624</v>
      </c>
      <c r="E865">
        <v>11395692</v>
      </c>
      <c r="F865" t="s">
        <v>35</v>
      </c>
      <c r="G865" t="s">
        <v>18</v>
      </c>
    </row>
    <row r="866" spans="1:7" x14ac:dyDescent="0.2">
      <c r="A866" t="s">
        <v>909</v>
      </c>
      <c r="B866" t="s">
        <v>910</v>
      </c>
      <c r="C866">
        <v>695012</v>
      </c>
      <c r="D866">
        <v>29316.66</v>
      </c>
      <c r="E866">
        <v>7634705.3899999997</v>
      </c>
      <c r="F866" t="s">
        <v>35</v>
      </c>
      <c r="G866" t="s">
        <v>18</v>
      </c>
    </row>
    <row r="867" spans="1:7" x14ac:dyDescent="0.2">
      <c r="A867" t="s">
        <v>163</v>
      </c>
      <c r="B867" t="s">
        <v>164</v>
      </c>
      <c r="C867">
        <v>653888.43999999994</v>
      </c>
      <c r="D867">
        <v>195857.61</v>
      </c>
      <c r="E867">
        <v>14441312.810000001</v>
      </c>
      <c r="F867" t="s">
        <v>35</v>
      </c>
      <c r="G867" t="s">
        <v>18</v>
      </c>
    </row>
    <row r="868" spans="1:7" x14ac:dyDescent="0.2">
      <c r="A868" t="s">
        <v>155</v>
      </c>
      <c r="B868" t="s">
        <v>156</v>
      </c>
      <c r="C868">
        <v>648226</v>
      </c>
      <c r="D868">
        <v>234669</v>
      </c>
      <c r="E868">
        <v>11292630</v>
      </c>
      <c r="F868" t="s">
        <v>35</v>
      </c>
      <c r="G868" t="s">
        <v>18</v>
      </c>
    </row>
    <row r="869" spans="1:7" x14ac:dyDescent="0.2">
      <c r="A869" t="s">
        <v>161</v>
      </c>
      <c r="B869" t="s">
        <v>162</v>
      </c>
      <c r="C869">
        <v>647412</v>
      </c>
      <c r="D869">
        <v>863505</v>
      </c>
      <c r="E869">
        <v>25912238</v>
      </c>
      <c r="F869" t="s">
        <v>35</v>
      </c>
      <c r="G869" t="s">
        <v>18</v>
      </c>
    </row>
    <row r="870" spans="1:7" x14ac:dyDescent="0.2">
      <c r="A870" t="s">
        <v>165</v>
      </c>
      <c r="B870" t="s">
        <v>166</v>
      </c>
      <c r="C870">
        <v>599161</v>
      </c>
      <c r="D870">
        <v>221209</v>
      </c>
      <c r="E870">
        <v>6890804</v>
      </c>
      <c r="F870" t="s">
        <v>35</v>
      </c>
      <c r="G870" t="s">
        <v>18</v>
      </c>
    </row>
    <row r="871" spans="1:7" x14ac:dyDescent="0.2">
      <c r="A871" t="s">
        <v>191</v>
      </c>
      <c r="B871" t="s">
        <v>192</v>
      </c>
      <c r="C871">
        <v>552849</v>
      </c>
      <c r="D871">
        <v>137329</v>
      </c>
      <c r="E871">
        <v>10663636</v>
      </c>
      <c r="F871" t="s">
        <v>35</v>
      </c>
      <c r="G871" t="s">
        <v>18</v>
      </c>
    </row>
    <row r="872" spans="1:7" x14ac:dyDescent="0.2">
      <c r="A872" t="s">
        <v>195</v>
      </c>
      <c r="B872" t="s">
        <v>196</v>
      </c>
      <c r="C872">
        <v>543777</v>
      </c>
      <c r="D872">
        <v>23284</v>
      </c>
      <c r="E872">
        <v>6090266</v>
      </c>
      <c r="F872" t="s">
        <v>35</v>
      </c>
      <c r="G872" t="s">
        <v>18</v>
      </c>
    </row>
    <row r="873" spans="1:7" x14ac:dyDescent="0.2">
      <c r="A873" t="s">
        <v>151</v>
      </c>
      <c r="B873" t="s">
        <v>152</v>
      </c>
      <c r="C873">
        <v>518914</v>
      </c>
      <c r="D873">
        <v>3939</v>
      </c>
      <c r="E873">
        <v>6289248</v>
      </c>
      <c r="F873" t="s">
        <v>35</v>
      </c>
      <c r="G873" t="s">
        <v>18</v>
      </c>
    </row>
    <row r="874" spans="1:7" x14ac:dyDescent="0.2">
      <c r="A874" t="s">
        <v>209</v>
      </c>
      <c r="B874" t="s">
        <v>210</v>
      </c>
      <c r="C874">
        <v>449131</v>
      </c>
      <c r="D874">
        <v>188564</v>
      </c>
      <c r="E874">
        <v>10103579</v>
      </c>
      <c r="F874" t="s">
        <v>35</v>
      </c>
      <c r="G874" t="s">
        <v>18</v>
      </c>
    </row>
    <row r="875" spans="1:7" x14ac:dyDescent="0.2">
      <c r="A875" t="s">
        <v>187</v>
      </c>
      <c r="B875" t="s">
        <v>188</v>
      </c>
      <c r="C875">
        <v>444769</v>
      </c>
      <c r="D875">
        <v>101</v>
      </c>
      <c r="E875">
        <v>7964355</v>
      </c>
      <c r="F875" t="s">
        <v>35</v>
      </c>
      <c r="G875" t="s">
        <v>18</v>
      </c>
    </row>
    <row r="876" spans="1:7" x14ac:dyDescent="0.2">
      <c r="A876" t="s">
        <v>203</v>
      </c>
      <c r="B876" t="s">
        <v>204</v>
      </c>
      <c r="C876">
        <v>425732.69</v>
      </c>
      <c r="D876">
        <v>479673</v>
      </c>
      <c r="E876">
        <v>10365848.369999999</v>
      </c>
      <c r="F876" t="s">
        <v>35</v>
      </c>
      <c r="G876" t="s">
        <v>18</v>
      </c>
    </row>
    <row r="877" spans="1:7" x14ac:dyDescent="0.2">
      <c r="A877" t="s">
        <v>185</v>
      </c>
      <c r="B877" t="s">
        <v>186</v>
      </c>
      <c r="C877">
        <v>421598</v>
      </c>
      <c r="D877">
        <v>69417</v>
      </c>
      <c r="E877">
        <v>13054354</v>
      </c>
      <c r="F877" t="s">
        <v>35</v>
      </c>
      <c r="G877" t="s">
        <v>18</v>
      </c>
    </row>
    <row r="878" spans="1:7" x14ac:dyDescent="0.2">
      <c r="A878" t="s">
        <v>179</v>
      </c>
      <c r="B878" t="s">
        <v>180</v>
      </c>
      <c r="C878">
        <v>421570</v>
      </c>
      <c r="D878">
        <v>10921</v>
      </c>
      <c r="E878">
        <v>6340569</v>
      </c>
      <c r="F878" t="s">
        <v>35</v>
      </c>
      <c r="G878" t="s">
        <v>18</v>
      </c>
    </row>
    <row r="879" spans="1:7" x14ac:dyDescent="0.2">
      <c r="A879" t="s">
        <v>213</v>
      </c>
      <c r="B879" t="s">
        <v>214</v>
      </c>
      <c r="C879">
        <v>415111.12</v>
      </c>
      <c r="D879">
        <v>88747.82</v>
      </c>
      <c r="E879">
        <v>8503858.8000000007</v>
      </c>
      <c r="F879" t="s">
        <v>35</v>
      </c>
      <c r="G879" t="s">
        <v>18</v>
      </c>
    </row>
    <row r="880" spans="1:7" x14ac:dyDescent="0.2">
      <c r="A880" t="s">
        <v>197</v>
      </c>
      <c r="B880" t="s">
        <v>198</v>
      </c>
      <c r="C880">
        <v>414854</v>
      </c>
      <c r="D880">
        <v>22218</v>
      </c>
      <c r="E880">
        <v>6042119</v>
      </c>
      <c r="F880" t="s">
        <v>35</v>
      </c>
      <c r="G880" t="s">
        <v>18</v>
      </c>
    </row>
    <row r="881" spans="1:7" x14ac:dyDescent="0.2">
      <c r="A881" t="s">
        <v>245</v>
      </c>
      <c r="B881" t="s">
        <v>246</v>
      </c>
      <c r="C881">
        <v>406136</v>
      </c>
      <c r="D881">
        <v>11493</v>
      </c>
      <c r="E881">
        <v>2972707</v>
      </c>
      <c r="F881" t="s">
        <v>35</v>
      </c>
      <c r="G881" t="s">
        <v>18</v>
      </c>
    </row>
    <row r="882" spans="1:7" x14ac:dyDescent="0.2">
      <c r="A882" t="s">
        <v>856</v>
      </c>
      <c r="B882" t="s">
        <v>857</v>
      </c>
      <c r="C882">
        <v>392766</v>
      </c>
      <c r="D882">
        <v>32071</v>
      </c>
      <c r="E882">
        <v>3075454</v>
      </c>
      <c r="F882" t="s">
        <v>35</v>
      </c>
      <c r="G882" t="s">
        <v>18</v>
      </c>
    </row>
    <row r="883" spans="1:7" x14ac:dyDescent="0.2">
      <c r="A883" t="s">
        <v>205</v>
      </c>
      <c r="B883" t="s">
        <v>206</v>
      </c>
      <c r="C883">
        <v>359077</v>
      </c>
      <c r="D883">
        <v>1231627</v>
      </c>
      <c r="E883">
        <v>8709104</v>
      </c>
      <c r="F883" t="s">
        <v>35</v>
      </c>
      <c r="G883" t="s">
        <v>18</v>
      </c>
    </row>
    <row r="884" spans="1:7" x14ac:dyDescent="0.2">
      <c r="A884" t="s">
        <v>319</v>
      </c>
      <c r="B884" t="s">
        <v>911</v>
      </c>
      <c r="C884">
        <v>323242</v>
      </c>
      <c r="D884">
        <v>26</v>
      </c>
      <c r="E884">
        <v>4694480</v>
      </c>
      <c r="F884" t="s">
        <v>35</v>
      </c>
      <c r="G884" t="s">
        <v>18</v>
      </c>
    </row>
    <row r="885" spans="1:7" x14ac:dyDescent="0.2">
      <c r="A885" t="s">
        <v>221</v>
      </c>
      <c r="B885" t="s">
        <v>222</v>
      </c>
      <c r="C885">
        <v>303289</v>
      </c>
      <c r="D885">
        <v>235654</v>
      </c>
      <c r="E885">
        <v>4183109</v>
      </c>
      <c r="F885" t="s">
        <v>35</v>
      </c>
      <c r="G885" t="s">
        <v>18</v>
      </c>
    </row>
    <row r="886" spans="1:7" x14ac:dyDescent="0.2">
      <c r="A886" t="s">
        <v>201</v>
      </c>
      <c r="B886" t="s">
        <v>202</v>
      </c>
      <c r="C886">
        <v>297247.17</v>
      </c>
      <c r="D886">
        <v>318731.90999999997</v>
      </c>
      <c r="E886">
        <v>10989679.65</v>
      </c>
      <c r="F886" t="s">
        <v>35</v>
      </c>
      <c r="G886" t="s">
        <v>18</v>
      </c>
    </row>
    <row r="887" spans="1:7" x14ac:dyDescent="0.2">
      <c r="A887" t="s">
        <v>227</v>
      </c>
      <c r="B887" t="s">
        <v>228</v>
      </c>
      <c r="C887">
        <v>288026</v>
      </c>
      <c r="D887">
        <v>2804</v>
      </c>
      <c r="E887">
        <v>551347</v>
      </c>
      <c r="F887" t="s">
        <v>35</v>
      </c>
      <c r="G887" t="s">
        <v>18</v>
      </c>
    </row>
    <row r="888" spans="1:7" x14ac:dyDescent="0.2">
      <c r="A888" t="s">
        <v>852</v>
      </c>
      <c r="B888" t="s">
        <v>308</v>
      </c>
      <c r="C888">
        <v>280892</v>
      </c>
      <c r="D888">
        <v>19832</v>
      </c>
      <c r="E888">
        <v>4786047</v>
      </c>
      <c r="F888" t="s">
        <v>35</v>
      </c>
      <c r="G888" t="s">
        <v>18</v>
      </c>
    </row>
    <row r="889" spans="1:7" x14ac:dyDescent="0.2">
      <c r="A889" t="s">
        <v>239</v>
      </c>
      <c r="B889" t="s">
        <v>240</v>
      </c>
      <c r="C889">
        <v>269851</v>
      </c>
      <c r="D889">
        <v>43700</v>
      </c>
      <c r="E889">
        <v>1684435</v>
      </c>
      <c r="F889" t="s">
        <v>35</v>
      </c>
      <c r="G889" t="s">
        <v>18</v>
      </c>
    </row>
    <row r="890" spans="1:7" x14ac:dyDescent="0.2">
      <c r="A890" t="s">
        <v>912</v>
      </c>
      <c r="B890" t="s">
        <v>260</v>
      </c>
      <c r="C890">
        <v>266489</v>
      </c>
      <c r="D890">
        <v>10934</v>
      </c>
      <c r="E890">
        <v>2410850</v>
      </c>
      <c r="F890" t="s">
        <v>35</v>
      </c>
      <c r="G890" t="s">
        <v>18</v>
      </c>
    </row>
    <row r="891" spans="1:7" x14ac:dyDescent="0.2">
      <c r="A891" t="s">
        <v>851</v>
      </c>
      <c r="B891" t="s">
        <v>208</v>
      </c>
      <c r="C891">
        <v>264030</v>
      </c>
      <c r="D891">
        <v>47016</v>
      </c>
      <c r="E891">
        <v>2976418</v>
      </c>
      <c r="F891" t="s">
        <v>35</v>
      </c>
      <c r="G891" t="s">
        <v>18</v>
      </c>
    </row>
    <row r="892" spans="1:7" x14ac:dyDescent="0.2">
      <c r="A892" t="s">
        <v>913</v>
      </c>
      <c r="B892" t="s">
        <v>914</v>
      </c>
      <c r="C892">
        <v>263580</v>
      </c>
      <c r="D892">
        <v>13</v>
      </c>
      <c r="E892">
        <v>4823415</v>
      </c>
      <c r="F892" t="s">
        <v>35</v>
      </c>
      <c r="G892" t="s">
        <v>18</v>
      </c>
    </row>
    <row r="893" spans="1:7" x14ac:dyDescent="0.2">
      <c r="A893" t="s">
        <v>853</v>
      </c>
      <c r="B893" t="s">
        <v>854</v>
      </c>
      <c r="C893">
        <v>261277</v>
      </c>
      <c r="D893">
        <v>45344</v>
      </c>
      <c r="E893">
        <v>440176</v>
      </c>
      <c r="F893" t="s">
        <v>35</v>
      </c>
      <c r="G893" t="s">
        <v>18</v>
      </c>
    </row>
    <row r="894" spans="1:7" x14ac:dyDescent="0.2">
      <c r="A894" t="s">
        <v>233</v>
      </c>
      <c r="B894" t="s">
        <v>234</v>
      </c>
      <c r="C894">
        <v>260616.65000000002</v>
      </c>
      <c r="D894">
        <v>671735.98</v>
      </c>
      <c r="E894">
        <v>7435812.9400000004</v>
      </c>
      <c r="F894" t="s">
        <v>35</v>
      </c>
      <c r="G894" t="s">
        <v>18</v>
      </c>
    </row>
    <row r="895" spans="1:7" x14ac:dyDescent="0.2">
      <c r="A895" t="s">
        <v>263</v>
      </c>
      <c r="B895" t="s">
        <v>264</v>
      </c>
      <c r="C895">
        <v>258373</v>
      </c>
      <c r="D895">
        <v>11951</v>
      </c>
      <c r="E895">
        <v>3818071</v>
      </c>
      <c r="F895" t="s">
        <v>35</v>
      </c>
      <c r="G895" t="s">
        <v>18</v>
      </c>
    </row>
    <row r="896" spans="1:7" x14ac:dyDescent="0.2">
      <c r="A896" t="s">
        <v>235</v>
      </c>
      <c r="B896" t="s">
        <v>236</v>
      </c>
      <c r="C896">
        <v>256791</v>
      </c>
      <c r="D896">
        <v>1041747</v>
      </c>
      <c r="E896">
        <v>6901598</v>
      </c>
      <c r="F896" t="s">
        <v>35</v>
      </c>
      <c r="G896" t="s">
        <v>18</v>
      </c>
    </row>
    <row r="897" spans="1:7" x14ac:dyDescent="0.2">
      <c r="A897" t="s">
        <v>219</v>
      </c>
      <c r="B897" t="s">
        <v>220</v>
      </c>
      <c r="C897">
        <v>240893</v>
      </c>
      <c r="D897">
        <v>910</v>
      </c>
      <c r="E897">
        <v>516947</v>
      </c>
      <c r="F897" t="s">
        <v>35</v>
      </c>
      <c r="G897" t="s">
        <v>18</v>
      </c>
    </row>
    <row r="898" spans="1:7" x14ac:dyDescent="0.2">
      <c r="A898" t="s">
        <v>915</v>
      </c>
      <c r="B898" t="s">
        <v>232</v>
      </c>
      <c r="C898">
        <v>240000</v>
      </c>
      <c r="D898">
        <v>140146</v>
      </c>
      <c r="E898">
        <v>4994260</v>
      </c>
      <c r="F898" t="s">
        <v>35</v>
      </c>
      <c r="G898" t="s">
        <v>18</v>
      </c>
    </row>
    <row r="899" spans="1:7" x14ac:dyDescent="0.2">
      <c r="A899" t="s">
        <v>241</v>
      </c>
      <c r="B899" t="s">
        <v>242</v>
      </c>
      <c r="C899">
        <v>238835</v>
      </c>
      <c r="D899">
        <v>158810</v>
      </c>
      <c r="E899">
        <v>2087735</v>
      </c>
      <c r="F899" t="s">
        <v>35</v>
      </c>
      <c r="G899" t="s">
        <v>18</v>
      </c>
    </row>
    <row r="900" spans="1:7" x14ac:dyDescent="0.2">
      <c r="A900" t="s">
        <v>267</v>
      </c>
      <c r="B900" t="s">
        <v>268</v>
      </c>
      <c r="C900">
        <v>234549</v>
      </c>
      <c r="D900">
        <v>1190724</v>
      </c>
      <c r="E900">
        <v>6963862</v>
      </c>
      <c r="F900" t="s">
        <v>35</v>
      </c>
      <c r="G900" t="s">
        <v>18</v>
      </c>
    </row>
    <row r="901" spans="1:7" x14ac:dyDescent="0.2">
      <c r="A901" t="s">
        <v>193</v>
      </c>
      <c r="B901" t="s">
        <v>194</v>
      </c>
      <c r="C901">
        <v>232626</v>
      </c>
      <c r="D901">
        <v>15038</v>
      </c>
      <c r="E901">
        <v>3442436</v>
      </c>
      <c r="F901" t="s">
        <v>35</v>
      </c>
      <c r="G901" t="s">
        <v>18</v>
      </c>
    </row>
    <row r="902" spans="1:7" x14ac:dyDescent="0.2">
      <c r="A902" t="s">
        <v>271</v>
      </c>
      <c r="B902" t="s">
        <v>272</v>
      </c>
      <c r="C902">
        <v>229693</v>
      </c>
      <c r="D902">
        <v>33150</v>
      </c>
      <c r="E902">
        <v>3465960</v>
      </c>
      <c r="F902" t="s">
        <v>35</v>
      </c>
      <c r="G902" t="s">
        <v>18</v>
      </c>
    </row>
    <row r="903" spans="1:7" x14ac:dyDescent="0.2">
      <c r="A903" t="s">
        <v>223</v>
      </c>
      <c r="B903" t="s">
        <v>224</v>
      </c>
      <c r="C903">
        <v>228756</v>
      </c>
      <c r="D903">
        <v>21872</v>
      </c>
      <c r="E903">
        <v>1314822</v>
      </c>
      <c r="F903" t="s">
        <v>35</v>
      </c>
      <c r="G903" t="s">
        <v>18</v>
      </c>
    </row>
    <row r="904" spans="1:7" x14ac:dyDescent="0.2">
      <c r="A904" t="s">
        <v>305</v>
      </c>
      <c r="B904" t="s">
        <v>306</v>
      </c>
      <c r="C904">
        <v>225198</v>
      </c>
      <c r="D904">
        <v>4768</v>
      </c>
      <c r="E904">
        <v>3237946</v>
      </c>
      <c r="F904" t="s">
        <v>35</v>
      </c>
      <c r="G904" t="s">
        <v>18</v>
      </c>
    </row>
    <row r="905" spans="1:7" x14ac:dyDescent="0.2">
      <c r="A905" t="s">
        <v>261</v>
      </c>
      <c r="B905" t="s">
        <v>262</v>
      </c>
      <c r="C905">
        <v>224401</v>
      </c>
      <c r="D905">
        <v>758</v>
      </c>
      <c r="E905">
        <v>3202509</v>
      </c>
      <c r="F905" t="s">
        <v>35</v>
      </c>
      <c r="G905" t="s">
        <v>18</v>
      </c>
    </row>
    <row r="906" spans="1:7" x14ac:dyDescent="0.2">
      <c r="A906" t="s">
        <v>145</v>
      </c>
      <c r="B906" t="s">
        <v>146</v>
      </c>
      <c r="C906">
        <v>222360</v>
      </c>
      <c r="D906">
        <v>32829</v>
      </c>
      <c r="E906">
        <v>2215101</v>
      </c>
      <c r="F906" t="s">
        <v>35</v>
      </c>
      <c r="G906" t="s">
        <v>18</v>
      </c>
    </row>
    <row r="907" spans="1:7" x14ac:dyDescent="0.2">
      <c r="A907" t="s">
        <v>273</v>
      </c>
      <c r="B907" t="s">
        <v>274</v>
      </c>
      <c r="C907">
        <v>221378</v>
      </c>
      <c r="D907">
        <v>19000</v>
      </c>
      <c r="E907">
        <v>3280289</v>
      </c>
      <c r="F907" t="s">
        <v>35</v>
      </c>
      <c r="G907" t="s">
        <v>18</v>
      </c>
    </row>
    <row r="908" spans="1:7" x14ac:dyDescent="0.2">
      <c r="A908" t="s">
        <v>243</v>
      </c>
      <c r="B908" t="s">
        <v>244</v>
      </c>
      <c r="C908">
        <v>216204</v>
      </c>
      <c r="D908">
        <v>2437</v>
      </c>
      <c r="E908">
        <v>2654401</v>
      </c>
      <c r="F908" t="s">
        <v>35</v>
      </c>
      <c r="G908" t="s">
        <v>18</v>
      </c>
    </row>
    <row r="909" spans="1:7" x14ac:dyDescent="0.2">
      <c r="A909" t="s">
        <v>253</v>
      </c>
      <c r="B909" t="s">
        <v>254</v>
      </c>
      <c r="C909">
        <v>215966</v>
      </c>
      <c r="D909">
        <v>36822</v>
      </c>
      <c r="E909">
        <v>4452352</v>
      </c>
      <c r="F909" t="s">
        <v>35</v>
      </c>
      <c r="G909" t="s">
        <v>18</v>
      </c>
    </row>
    <row r="910" spans="1:7" x14ac:dyDescent="0.2">
      <c r="A910" t="s">
        <v>237</v>
      </c>
      <c r="B910" t="s">
        <v>238</v>
      </c>
      <c r="C910">
        <v>211923</v>
      </c>
      <c r="D910">
        <v>1322</v>
      </c>
      <c r="E910">
        <v>3410003</v>
      </c>
      <c r="F910" t="s">
        <v>35</v>
      </c>
      <c r="G910" t="s">
        <v>18</v>
      </c>
    </row>
    <row r="911" spans="1:7" x14ac:dyDescent="0.2">
      <c r="A911" t="s">
        <v>849</v>
      </c>
      <c r="B911" t="s">
        <v>850</v>
      </c>
      <c r="C911">
        <v>204632.55</v>
      </c>
      <c r="D911">
        <v>836591</v>
      </c>
      <c r="E911">
        <v>7865081.4500000002</v>
      </c>
      <c r="F911" t="s">
        <v>35</v>
      </c>
      <c r="G911" t="s">
        <v>18</v>
      </c>
    </row>
    <row r="912" spans="1:7" x14ac:dyDescent="0.2">
      <c r="A912" t="s">
        <v>279</v>
      </c>
      <c r="B912" t="s">
        <v>280</v>
      </c>
      <c r="C912">
        <v>202345</v>
      </c>
      <c r="D912">
        <v>616462</v>
      </c>
      <c r="E912">
        <v>6784464</v>
      </c>
      <c r="F912" t="s">
        <v>35</v>
      </c>
      <c r="G912" t="s">
        <v>18</v>
      </c>
    </row>
    <row r="913" spans="1:7" x14ac:dyDescent="0.2">
      <c r="A913" t="s">
        <v>249</v>
      </c>
      <c r="B913" t="s">
        <v>250</v>
      </c>
      <c r="C913">
        <v>195436</v>
      </c>
      <c r="D913">
        <v>549788</v>
      </c>
      <c r="E913">
        <v>5706954</v>
      </c>
      <c r="F913" t="s">
        <v>35</v>
      </c>
      <c r="G913" t="s">
        <v>18</v>
      </c>
    </row>
    <row r="914" spans="1:7" x14ac:dyDescent="0.2">
      <c r="A914" t="s">
        <v>257</v>
      </c>
      <c r="B914" t="s">
        <v>258</v>
      </c>
      <c r="C914">
        <v>190620</v>
      </c>
      <c r="D914">
        <v>52</v>
      </c>
      <c r="E914">
        <v>2817572</v>
      </c>
      <c r="F914" t="s">
        <v>35</v>
      </c>
      <c r="G914" t="s">
        <v>18</v>
      </c>
    </row>
    <row r="915" spans="1:7" x14ac:dyDescent="0.2">
      <c r="A915" t="s">
        <v>217</v>
      </c>
      <c r="B915" t="s">
        <v>218</v>
      </c>
      <c r="C915">
        <v>189872</v>
      </c>
      <c r="D915">
        <v>69166</v>
      </c>
      <c r="E915">
        <v>3545471</v>
      </c>
      <c r="F915" t="s">
        <v>35</v>
      </c>
      <c r="G915" t="s">
        <v>18</v>
      </c>
    </row>
    <row r="916" spans="1:7" x14ac:dyDescent="0.2">
      <c r="A916" t="s">
        <v>181</v>
      </c>
      <c r="B916" t="s">
        <v>182</v>
      </c>
      <c r="C916">
        <v>183919</v>
      </c>
      <c r="D916">
        <v>7270</v>
      </c>
      <c r="E916">
        <v>2637690</v>
      </c>
      <c r="F916" t="s">
        <v>35</v>
      </c>
      <c r="G916" t="s">
        <v>18</v>
      </c>
    </row>
    <row r="917" spans="1:7" x14ac:dyDescent="0.2">
      <c r="A917" t="s">
        <v>283</v>
      </c>
      <c r="B917" t="s">
        <v>284</v>
      </c>
      <c r="C917">
        <v>183116</v>
      </c>
      <c r="D917">
        <v>20828</v>
      </c>
      <c r="E917">
        <v>3254263</v>
      </c>
      <c r="F917" t="s">
        <v>35</v>
      </c>
      <c r="G917" t="s">
        <v>18</v>
      </c>
    </row>
    <row r="918" spans="1:7" x14ac:dyDescent="0.2">
      <c r="A918" t="s">
        <v>251</v>
      </c>
      <c r="B918" t="s">
        <v>252</v>
      </c>
      <c r="C918">
        <v>182823</v>
      </c>
      <c r="D918">
        <v>17262</v>
      </c>
      <c r="E918">
        <v>2721604</v>
      </c>
      <c r="F918" t="s">
        <v>35</v>
      </c>
      <c r="G918" t="s">
        <v>18</v>
      </c>
    </row>
    <row r="919" spans="1:7" x14ac:dyDescent="0.2">
      <c r="A919" t="s">
        <v>916</v>
      </c>
      <c r="B919" t="s">
        <v>917</v>
      </c>
      <c r="C919">
        <v>175088</v>
      </c>
      <c r="D919">
        <v>106105</v>
      </c>
      <c r="E919">
        <v>4509584</v>
      </c>
      <c r="F919" t="s">
        <v>35</v>
      </c>
      <c r="G919" t="s">
        <v>18</v>
      </c>
    </row>
    <row r="920" spans="1:7" x14ac:dyDescent="0.2">
      <c r="A920" t="s">
        <v>859</v>
      </c>
      <c r="B920" t="s">
        <v>860</v>
      </c>
      <c r="C920">
        <v>174709</v>
      </c>
      <c r="D920">
        <v>1486</v>
      </c>
      <c r="E920">
        <v>3072031</v>
      </c>
      <c r="F920" t="s">
        <v>35</v>
      </c>
      <c r="G920" t="s">
        <v>18</v>
      </c>
    </row>
    <row r="921" spans="1:7" x14ac:dyDescent="0.2">
      <c r="A921" t="s">
        <v>357</v>
      </c>
      <c r="B921" t="s">
        <v>358</v>
      </c>
      <c r="C921">
        <v>173658</v>
      </c>
      <c r="D921">
        <v>749</v>
      </c>
      <c r="E921">
        <v>1208750</v>
      </c>
      <c r="F921" t="s">
        <v>35</v>
      </c>
      <c r="G921" t="s">
        <v>18</v>
      </c>
    </row>
    <row r="922" spans="1:7" x14ac:dyDescent="0.2">
      <c r="A922" t="s">
        <v>225</v>
      </c>
      <c r="B922" t="s">
        <v>226</v>
      </c>
      <c r="C922">
        <v>172436</v>
      </c>
      <c r="D922">
        <v>4717</v>
      </c>
      <c r="E922">
        <v>28726</v>
      </c>
      <c r="F922" t="s">
        <v>35</v>
      </c>
      <c r="G922" t="s">
        <v>18</v>
      </c>
    </row>
    <row r="923" spans="1:7" x14ac:dyDescent="0.2">
      <c r="A923" t="s">
        <v>287</v>
      </c>
      <c r="B923" t="s">
        <v>288</v>
      </c>
      <c r="C923">
        <v>171003.04</v>
      </c>
      <c r="D923">
        <v>43135.07</v>
      </c>
      <c r="E923">
        <v>49020394.43</v>
      </c>
      <c r="F923" t="s">
        <v>35</v>
      </c>
      <c r="G923" t="s">
        <v>18</v>
      </c>
    </row>
    <row r="924" spans="1:7" x14ac:dyDescent="0.2">
      <c r="A924" t="s">
        <v>269</v>
      </c>
      <c r="B924" t="s">
        <v>270</v>
      </c>
      <c r="C924">
        <v>170883</v>
      </c>
      <c r="D924">
        <v>29572</v>
      </c>
      <c r="E924">
        <v>2788013</v>
      </c>
      <c r="F924" t="s">
        <v>35</v>
      </c>
      <c r="G924" t="s">
        <v>18</v>
      </c>
    </row>
    <row r="925" spans="1:7" x14ac:dyDescent="0.2">
      <c r="A925" t="s">
        <v>918</v>
      </c>
      <c r="B925" t="s">
        <v>298</v>
      </c>
      <c r="C925">
        <v>167449</v>
      </c>
      <c r="D925">
        <v>114</v>
      </c>
      <c r="E925">
        <v>2582504</v>
      </c>
      <c r="F925" t="s">
        <v>35</v>
      </c>
      <c r="G925" t="s">
        <v>18</v>
      </c>
    </row>
    <row r="926" spans="1:7" x14ac:dyDescent="0.2">
      <c r="A926" t="s">
        <v>293</v>
      </c>
      <c r="B926" t="s">
        <v>294</v>
      </c>
      <c r="C926">
        <v>164904</v>
      </c>
      <c r="D926">
        <v>23139</v>
      </c>
      <c r="E926">
        <v>2242109</v>
      </c>
      <c r="F926" t="s">
        <v>35</v>
      </c>
      <c r="G926" t="s">
        <v>18</v>
      </c>
    </row>
    <row r="927" spans="1:7" x14ac:dyDescent="0.2">
      <c r="A927" t="s">
        <v>919</v>
      </c>
      <c r="B927" t="s">
        <v>920</v>
      </c>
      <c r="C927">
        <v>163804</v>
      </c>
      <c r="D927">
        <v>7711</v>
      </c>
      <c r="E927">
        <v>72560</v>
      </c>
      <c r="F927" t="s">
        <v>35</v>
      </c>
      <c r="G927" t="s">
        <v>18</v>
      </c>
    </row>
    <row r="928" spans="1:7" x14ac:dyDescent="0.2">
      <c r="A928" t="s">
        <v>295</v>
      </c>
      <c r="B928" t="s">
        <v>296</v>
      </c>
      <c r="C928">
        <v>163243</v>
      </c>
      <c r="D928">
        <v>39044</v>
      </c>
      <c r="E928">
        <v>3114522</v>
      </c>
      <c r="F928" t="s">
        <v>35</v>
      </c>
      <c r="G928" t="s">
        <v>18</v>
      </c>
    </row>
    <row r="929" spans="1:7" x14ac:dyDescent="0.2">
      <c r="A929" t="s">
        <v>301</v>
      </c>
      <c r="B929" t="s">
        <v>302</v>
      </c>
      <c r="C929">
        <v>162879</v>
      </c>
      <c r="D929">
        <v>1104592</v>
      </c>
      <c r="E929">
        <v>7185680</v>
      </c>
      <c r="F929" t="s">
        <v>35</v>
      </c>
      <c r="G929" t="s">
        <v>18</v>
      </c>
    </row>
    <row r="930" spans="1:7" x14ac:dyDescent="0.2">
      <c r="A930" t="s">
        <v>247</v>
      </c>
      <c r="B930" t="s">
        <v>248</v>
      </c>
      <c r="C930">
        <v>156151</v>
      </c>
      <c r="D930">
        <v>51815</v>
      </c>
      <c r="E930">
        <v>2544140</v>
      </c>
      <c r="F930" t="s">
        <v>35</v>
      </c>
      <c r="G930" t="s">
        <v>18</v>
      </c>
    </row>
    <row r="931" spans="1:7" x14ac:dyDescent="0.2">
      <c r="A931" t="s">
        <v>291</v>
      </c>
      <c r="B931" t="s">
        <v>292</v>
      </c>
      <c r="C931">
        <v>154996</v>
      </c>
      <c r="D931">
        <v>986</v>
      </c>
      <c r="E931">
        <v>2209657</v>
      </c>
      <c r="F931" t="s">
        <v>35</v>
      </c>
      <c r="G931" t="s">
        <v>18</v>
      </c>
    </row>
    <row r="932" spans="1:7" x14ac:dyDescent="0.2">
      <c r="A932" t="s">
        <v>277</v>
      </c>
      <c r="B932" t="s">
        <v>278</v>
      </c>
      <c r="C932">
        <v>151356</v>
      </c>
      <c r="D932">
        <v>14315</v>
      </c>
      <c r="E932">
        <v>2237773</v>
      </c>
      <c r="F932" t="s">
        <v>35</v>
      </c>
      <c r="G932" t="s">
        <v>18</v>
      </c>
    </row>
    <row r="933" spans="1:7" x14ac:dyDescent="0.2">
      <c r="A933" t="s">
        <v>317</v>
      </c>
      <c r="B933" t="s">
        <v>318</v>
      </c>
      <c r="C933">
        <v>151324</v>
      </c>
      <c r="D933">
        <v>15529</v>
      </c>
      <c r="E933">
        <v>2236694</v>
      </c>
      <c r="F933" t="s">
        <v>35</v>
      </c>
      <c r="G933" t="s">
        <v>18</v>
      </c>
    </row>
    <row r="934" spans="1:7" x14ac:dyDescent="0.2">
      <c r="A934" t="s">
        <v>265</v>
      </c>
      <c r="B934" t="s">
        <v>266</v>
      </c>
      <c r="C934">
        <v>147960.03</v>
      </c>
      <c r="D934">
        <v>72187.06</v>
      </c>
      <c r="E934">
        <v>3018717.74</v>
      </c>
      <c r="F934" t="s">
        <v>35</v>
      </c>
      <c r="G934" t="s">
        <v>18</v>
      </c>
    </row>
    <row r="935" spans="1:7" x14ac:dyDescent="0.2">
      <c r="A935" t="s">
        <v>481</v>
      </c>
      <c r="B935" t="s">
        <v>482</v>
      </c>
      <c r="C935">
        <v>146744</v>
      </c>
      <c r="D935">
        <v>13179</v>
      </c>
      <c r="E935">
        <v>2230667</v>
      </c>
      <c r="F935" t="s">
        <v>35</v>
      </c>
      <c r="G935" t="s">
        <v>18</v>
      </c>
    </row>
    <row r="936" spans="1:7" x14ac:dyDescent="0.2">
      <c r="A936" t="s">
        <v>215</v>
      </c>
      <c r="B936" t="s">
        <v>216</v>
      </c>
      <c r="C936">
        <v>146552</v>
      </c>
      <c r="D936">
        <v>816325</v>
      </c>
      <c r="E936">
        <v>5873237</v>
      </c>
      <c r="F936" t="s">
        <v>35</v>
      </c>
      <c r="G936" t="s">
        <v>18</v>
      </c>
    </row>
    <row r="937" spans="1:7" x14ac:dyDescent="0.2">
      <c r="A937" t="s">
        <v>343</v>
      </c>
      <c r="B937" t="s">
        <v>344</v>
      </c>
      <c r="C937">
        <v>143978</v>
      </c>
      <c r="D937">
        <v>89502</v>
      </c>
      <c r="E937">
        <v>2529279</v>
      </c>
      <c r="F937" t="s">
        <v>35</v>
      </c>
      <c r="G937" t="s">
        <v>18</v>
      </c>
    </row>
    <row r="938" spans="1:7" x14ac:dyDescent="0.2">
      <c r="A938" t="s">
        <v>275</v>
      </c>
      <c r="B938" t="s">
        <v>276</v>
      </c>
      <c r="C938">
        <v>143117</v>
      </c>
      <c r="D938">
        <v>42572.92</v>
      </c>
      <c r="E938">
        <v>2903289.56</v>
      </c>
      <c r="F938" t="s">
        <v>35</v>
      </c>
      <c r="G938" t="s">
        <v>18</v>
      </c>
    </row>
    <row r="939" spans="1:7" x14ac:dyDescent="0.2">
      <c r="A939" t="s">
        <v>303</v>
      </c>
      <c r="B939" t="s">
        <v>304</v>
      </c>
      <c r="C939">
        <v>137983</v>
      </c>
      <c r="D939">
        <v>5047</v>
      </c>
      <c r="E939">
        <v>1984988</v>
      </c>
      <c r="F939" t="s">
        <v>35</v>
      </c>
      <c r="G939" t="s">
        <v>18</v>
      </c>
    </row>
    <row r="940" spans="1:7" x14ac:dyDescent="0.2">
      <c r="A940" t="s">
        <v>335</v>
      </c>
      <c r="B940" t="s">
        <v>336</v>
      </c>
      <c r="C940">
        <v>137912</v>
      </c>
      <c r="D940">
        <v>8870</v>
      </c>
      <c r="E940">
        <v>2007424</v>
      </c>
      <c r="F940" t="s">
        <v>35</v>
      </c>
      <c r="G940" t="s">
        <v>18</v>
      </c>
    </row>
    <row r="941" spans="1:7" x14ac:dyDescent="0.2">
      <c r="A941" t="s">
        <v>341</v>
      </c>
      <c r="B941" t="s">
        <v>342</v>
      </c>
      <c r="C941">
        <v>136752</v>
      </c>
      <c r="D941">
        <v>4841</v>
      </c>
      <c r="E941">
        <v>1969215</v>
      </c>
      <c r="F941" t="s">
        <v>35</v>
      </c>
      <c r="G941" t="s">
        <v>18</v>
      </c>
    </row>
    <row r="942" spans="1:7" x14ac:dyDescent="0.2">
      <c r="A942" t="s">
        <v>321</v>
      </c>
      <c r="B942" t="s">
        <v>322</v>
      </c>
      <c r="C942">
        <v>135550</v>
      </c>
      <c r="D942">
        <v>0</v>
      </c>
      <c r="E942">
        <v>1685086.05</v>
      </c>
      <c r="F942" t="s">
        <v>35</v>
      </c>
      <c r="G942" t="s">
        <v>18</v>
      </c>
    </row>
    <row r="943" spans="1:7" x14ac:dyDescent="0.2">
      <c r="A943" t="s">
        <v>289</v>
      </c>
      <c r="B943" t="s">
        <v>290</v>
      </c>
      <c r="C943">
        <v>133821</v>
      </c>
      <c r="D943">
        <v>48606.03</v>
      </c>
      <c r="E943">
        <v>2761093.47</v>
      </c>
      <c r="F943" t="s">
        <v>35</v>
      </c>
      <c r="G943" t="s">
        <v>18</v>
      </c>
    </row>
    <row r="944" spans="1:7" x14ac:dyDescent="0.2">
      <c r="A944" t="s">
        <v>329</v>
      </c>
      <c r="B944" t="s">
        <v>330</v>
      </c>
      <c r="C944">
        <v>133263</v>
      </c>
      <c r="D944">
        <v>1669</v>
      </c>
      <c r="E944">
        <v>1291925</v>
      </c>
      <c r="F944" t="s">
        <v>35</v>
      </c>
      <c r="G944" t="s">
        <v>18</v>
      </c>
    </row>
    <row r="945" spans="1:7" x14ac:dyDescent="0.2">
      <c r="A945" t="s">
        <v>339</v>
      </c>
      <c r="B945" t="s">
        <v>340</v>
      </c>
      <c r="C945">
        <v>132526</v>
      </c>
      <c r="D945">
        <v>8479</v>
      </c>
      <c r="E945">
        <v>1931929</v>
      </c>
      <c r="F945" t="s">
        <v>35</v>
      </c>
      <c r="G945" t="s">
        <v>18</v>
      </c>
    </row>
    <row r="946" spans="1:7" x14ac:dyDescent="0.2">
      <c r="A946" t="s">
        <v>311</v>
      </c>
      <c r="B946" t="s">
        <v>312</v>
      </c>
      <c r="C946">
        <v>131614</v>
      </c>
      <c r="D946">
        <v>18751</v>
      </c>
      <c r="E946">
        <v>2176865</v>
      </c>
      <c r="F946" t="s">
        <v>35</v>
      </c>
      <c r="G946" t="s">
        <v>18</v>
      </c>
    </row>
    <row r="947" spans="1:7" x14ac:dyDescent="0.2">
      <c r="A947" t="s">
        <v>299</v>
      </c>
      <c r="B947" t="s">
        <v>300</v>
      </c>
      <c r="C947">
        <v>129412</v>
      </c>
      <c r="D947">
        <v>673</v>
      </c>
      <c r="E947">
        <v>14499</v>
      </c>
      <c r="F947" t="s">
        <v>35</v>
      </c>
      <c r="G947" t="s">
        <v>18</v>
      </c>
    </row>
    <row r="948" spans="1:7" x14ac:dyDescent="0.2">
      <c r="A948" t="s">
        <v>433</v>
      </c>
      <c r="B948" t="s">
        <v>434</v>
      </c>
      <c r="C948">
        <v>128058</v>
      </c>
      <c r="D948">
        <v>85678</v>
      </c>
      <c r="E948">
        <v>2446491</v>
      </c>
      <c r="F948" t="s">
        <v>35</v>
      </c>
      <c r="G948" t="s">
        <v>18</v>
      </c>
    </row>
    <row r="949" spans="1:7" x14ac:dyDescent="0.2">
      <c r="A949" t="s">
        <v>309</v>
      </c>
      <c r="B949" t="s">
        <v>310</v>
      </c>
      <c r="C949">
        <v>127086</v>
      </c>
      <c r="D949">
        <v>124002</v>
      </c>
      <c r="E949">
        <v>2868360</v>
      </c>
      <c r="F949" t="s">
        <v>35</v>
      </c>
      <c r="G949" t="s">
        <v>18</v>
      </c>
    </row>
    <row r="950" spans="1:7" x14ac:dyDescent="0.2">
      <c r="A950" t="s">
        <v>405</v>
      </c>
      <c r="B950" t="s">
        <v>406</v>
      </c>
      <c r="C950">
        <v>124749</v>
      </c>
      <c r="D950">
        <v>949</v>
      </c>
      <c r="E950">
        <v>125748</v>
      </c>
      <c r="F950" t="s">
        <v>35</v>
      </c>
      <c r="G950" t="s">
        <v>18</v>
      </c>
    </row>
    <row r="951" spans="1:7" x14ac:dyDescent="0.2">
      <c r="A951" t="s">
        <v>353</v>
      </c>
      <c r="B951" t="s">
        <v>354</v>
      </c>
      <c r="C951">
        <v>121307</v>
      </c>
      <c r="D951">
        <v>85124</v>
      </c>
      <c r="E951">
        <v>1609027</v>
      </c>
      <c r="F951" t="s">
        <v>35</v>
      </c>
      <c r="G951" t="s">
        <v>18</v>
      </c>
    </row>
    <row r="952" spans="1:7" x14ac:dyDescent="0.2">
      <c r="A952" t="s">
        <v>327</v>
      </c>
      <c r="B952" t="s">
        <v>328</v>
      </c>
      <c r="C952">
        <v>120870</v>
      </c>
      <c r="D952">
        <v>101510</v>
      </c>
      <c r="E952">
        <v>2346225</v>
      </c>
      <c r="F952" t="s">
        <v>35</v>
      </c>
      <c r="G952" t="s">
        <v>18</v>
      </c>
    </row>
    <row r="953" spans="1:7" x14ac:dyDescent="0.2">
      <c r="A953" t="s">
        <v>391</v>
      </c>
      <c r="B953" t="s">
        <v>392</v>
      </c>
      <c r="C953">
        <v>117858</v>
      </c>
      <c r="D953">
        <v>64135</v>
      </c>
      <c r="E953">
        <v>2170879</v>
      </c>
      <c r="F953" t="s">
        <v>35</v>
      </c>
      <c r="G953" t="s">
        <v>18</v>
      </c>
    </row>
    <row r="954" spans="1:7" x14ac:dyDescent="0.2">
      <c r="A954" t="s">
        <v>861</v>
      </c>
      <c r="B954" t="s">
        <v>862</v>
      </c>
      <c r="C954">
        <v>117448</v>
      </c>
      <c r="D954">
        <v>65867</v>
      </c>
      <c r="E954">
        <v>2025529</v>
      </c>
      <c r="F954" t="s">
        <v>35</v>
      </c>
      <c r="G954" t="s">
        <v>18</v>
      </c>
    </row>
    <row r="955" spans="1:7" x14ac:dyDescent="0.2">
      <c r="A955" t="s">
        <v>333</v>
      </c>
      <c r="B955" t="s">
        <v>334</v>
      </c>
      <c r="C955">
        <v>114808</v>
      </c>
      <c r="D955">
        <v>6286</v>
      </c>
      <c r="E955">
        <v>1674472</v>
      </c>
      <c r="F955" t="s">
        <v>35</v>
      </c>
      <c r="G955" t="s">
        <v>18</v>
      </c>
    </row>
    <row r="956" spans="1:7" x14ac:dyDescent="0.2">
      <c r="A956" t="s">
        <v>323</v>
      </c>
      <c r="B956" t="s">
        <v>324</v>
      </c>
      <c r="C956">
        <v>113836</v>
      </c>
      <c r="D956">
        <v>270740</v>
      </c>
      <c r="E956">
        <v>3845115</v>
      </c>
      <c r="F956" t="s">
        <v>35</v>
      </c>
      <c r="G956" t="s">
        <v>18</v>
      </c>
    </row>
    <row r="957" spans="1:7" x14ac:dyDescent="0.2">
      <c r="A957" t="s">
        <v>371</v>
      </c>
      <c r="B957" t="s">
        <v>372</v>
      </c>
      <c r="C957">
        <v>112524</v>
      </c>
      <c r="D957">
        <v>132</v>
      </c>
      <c r="E957">
        <v>660385</v>
      </c>
      <c r="F957" t="s">
        <v>35</v>
      </c>
      <c r="G957" t="s">
        <v>18</v>
      </c>
    </row>
    <row r="958" spans="1:7" x14ac:dyDescent="0.2">
      <c r="A958" t="s">
        <v>858</v>
      </c>
      <c r="B958" t="s">
        <v>446</v>
      </c>
      <c r="C958">
        <v>112315</v>
      </c>
      <c r="D958">
        <v>2990</v>
      </c>
      <c r="E958">
        <v>1740797</v>
      </c>
      <c r="F958" t="s">
        <v>35</v>
      </c>
      <c r="G958" t="s">
        <v>18</v>
      </c>
    </row>
    <row r="959" spans="1:7" x14ac:dyDescent="0.2">
      <c r="A959" t="s">
        <v>393</v>
      </c>
      <c r="B959" t="s">
        <v>394</v>
      </c>
      <c r="C959">
        <v>110398</v>
      </c>
      <c r="D959">
        <v>537</v>
      </c>
      <c r="E959">
        <v>1580781</v>
      </c>
      <c r="F959" t="s">
        <v>35</v>
      </c>
      <c r="G959" t="s">
        <v>18</v>
      </c>
    </row>
    <row r="960" spans="1:7" x14ac:dyDescent="0.2">
      <c r="A960" t="s">
        <v>421</v>
      </c>
      <c r="B960" t="s">
        <v>422</v>
      </c>
      <c r="C960">
        <v>109583</v>
      </c>
      <c r="D960">
        <v>13</v>
      </c>
      <c r="E960">
        <v>1805868</v>
      </c>
      <c r="F960" t="s">
        <v>35</v>
      </c>
      <c r="G960" t="s">
        <v>18</v>
      </c>
    </row>
    <row r="961" spans="1:7" x14ac:dyDescent="0.2">
      <c r="A961" t="s">
        <v>355</v>
      </c>
      <c r="B961" t="s">
        <v>356</v>
      </c>
      <c r="C961">
        <v>107644</v>
      </c>
      <c r="D961">
        <v>18845</v>
      </c>
      <c r="E961">
        <v>1557827</v>
      </c>
      <c r="F961" t="s">
        <v>35</v>
      </c>
      <c r="G961" t="s">
        <v>18</v>
      </c>
    </row>
    <row r="962" spans="1:7" x14ac:dyDescent="0.2">
      <c r="A962" t="s">
        <v>285</v>
      </c>
      <c r="B962" t="s">
        <v>286</v>
      </c>
      <c r="C962">
        <v>107223</v>
      </c>
      <c r="D962">
        <v>50006</v>
      </c>
      <c r="E962">
        <v>1194292</v>
      </c>
      <c r="F962" t="s">
        <v>35</v>
      </c>
      <c r="G962" t="s">
        <v>18</v>
      </c>
    </row>
    <row r="963" spans="1:7" x14ac:dyDescent="0.2">
      <c r="A963" t="s">
        <v>229</v>
      </c>
      <c r="B963" t="s">
        <v>230</v>
      </c>
      <c r="C963">
        <v>105486</v>
      </c>
      <c r="D963">
        <v>1224</v>
      </c>
      <c r="E963">
        <v>1511083</v>
      </c>
      <c r="F963" t="s">
        <v>35</v>
      </c>
      <c r="G963" t="s">
        <v>18</v>
      </c>
    </row>
    <row r="964" spans="1:7" x14ac:dyDescent="0.2">
      <c r="A964" t="s">
        <v>383</v>
      </c>
      <c r="B964" t="s">
        <v>384</v>
      </c>
      <c r="C964">
        <v>104229</v>
      </c>
      <c r="D964">
        <v>9225</v>
      </c>
      <c r="E964">
        <v>1543800</v>
      </c>
      <c r="F964" t="s">
        <v>35</v>
      </c>
      <c r="G964" t="s">
        <v>18</v>
      </c>
    </row>
    <row r="965" spans="1:7" x14ac:dyDescent="0.2">
      <c r="A965" t="s">
        <v>377</v>
      </c>
      <c r="B965" t="s">
        <v>378</v>
      </c>
      <c r="C965">
        <v>103532</v>
      </c>
      <c r="D965">
        <v>11101</v>
      </c>
      <c r="E965">
        <v>669341</v>
      </c>
      <c r="F965" t="s">
        <v>35</v>
      </c>
      <c r="G965" t="s">
        <v>18</v>
      </c>
    </row>
    <row r="966" spans="1:7" x14ac:dyDescent="0.2">
      <c r="A966" t="s">
        <v>381</v>
      </c>
      <c r="B966" t="s">
        <v>382</v>
      </c>
      <c r="C966">
        <v>103093</v>
      </c>
      <c r="D966">
        <v>4131</v>
      </c>
      <c r="E966">
        <v>1502515</v>
      </c>
      <c r="F966" t="s">
        <v>35</v>
      </c>
      <c r="G966" t="s">
        <v>18</v>
      </c>
    </row>
    <row r="967" spans="1:7" x14ac:dyDescent="0.2">
      <c r="A967" t="s">
        <v>325</v>
      </c>
      <c r="B967" t="s">
        <v>326</v>
      </c>
      <c r="C967">
        <v>102416</v>
      </c>
      <c r="D967">
        <v>19668</v>
      </c>
      <c r="E967">
        <v>1743651</v>
      </c>
      <c r="F967" t="s">
        <v>35</v>
      </c>
      <c r="G967" t="s">
        <v>18</v>
      </c>
    </row>
    <row r="968" spans="1:7" x14ac:dyDescent="0.2">
      <c r="A968" t="s">
        <v>389</v>
      </c>
      <c r="B968" t="s">
        <v>390</v>
      </c>
      <c r="C968">
        <v>101931</v>
      </c>
      <c r="D968">
        <v>17502</v>
      </c>
      <c r="E968">
        <v>669481</v>
      </c>
      <c r="F968" t="s">
        <v>35</v>
      </c>
      <c r="G968" t="s">
        <v>18</v>
      </c>
    </row>
    <row r="969" spans="1:7" x14ac:dyDescent="0.2">
      <c r="A969" t="s">
        <v>331</v>
      </c>
      <c r="B969" t="s">
        <v>332</v>
      </c>
      <c r="C969">
        <v>101105</v>
      </c>
      <c r="D969">
        <v>62851</v>
      </c>
      <c r="E969">
        <v>1808613</v>
      </c>
      <c r="F969" t="s">
        <v>35</v>
      </c>
      <c r="G969" t="s">
        <v>18</v>
      </c>
    </row>
    <row r="970" spans="1:7" x14ac:dyDescent="0.2">
      <c r="A970" t="s">
        <v>177</v>
      </c>
      <c r="B970" t="s">
        <v>178</v>
      </c>
      <c r="C970">
        <v>99369</v>
      </c>
      <c r="D970">
        <v>14224</v>
      </c>
      <c r="E970">
        <v>3335315</v>
      </c>
      <c r="F970" t="s">
        <v>35</v>
      </c>
      <c r="G970" t="s">
        <v>18</v>
      </c>
    </row>
    <row r="971" spans="1:7" x14ac:dyDescent="0.2">
      <c r="A971" t="s">
        <v>361</v>
      </c>
      <c r="B971" t="s">
        <v>362</v>
      </c>
      <c r="C971">
        <v>97268</v>
      </c>
      <c r="D971">
        <v>86179</v>
      </c>
      <c r="E971">
        <v>2267779</v>
      </c>
      <c r="F971" t="s">
        <v>35</v>
      </c>
      <c r="G971" t="s">
        <v>18</v>
      </c>
    </row>
    <row r="972" spans="1:7" x14ac:dyDescent="0.2">
      <c r="A972" t="s">
        <v>347</v>
      </c>
      <c r="B972" t="s">
        <v>348</v>
      </c>
      <c r="C972">
        <v>96173</v>
      </c>
      <c r="D972">
        <v>30</v>
      </c>
      <c r="E972">
        <v>1321580</v>
      </c>
      <c r="F972" t="s">
        <v>35</v>
      </c>
      <c r="G972" t="s">
        <v>18</v>
      </c>
    </row>
    <row r="973" spans="1:7" x14ac:dyDescent="0.2">
      <c r="A973" t="s">
        <v>385</v>
      </c>
      <c r="B973" t="s">
        <v>386</v>
      </c>
      <c r="C973">
        <v>95085</v>
      </c>
      <c r="D973">
        <v>384</v>
      </c>
      <c r="E973">
        <v>1355931</v>
      </c>
      <c r="F973" t="s">
        <v>35</v>
      </c>
      <c r="G973" t="s">
        <v>18</v>
      </c>
    </row>
    <row r="974" spans="1:7" x14ac:dyDescent="0.2">
      <c r="A974" t="s">
        <v>457</v>
      </c>
      <c r="B974" t="s">
        <v>458</v>
      </c>
      <c r="C974">
        <v>93917</v>
      </c>
      <c r="D974">
        <v>3856</v>
      </c>
      <c r="E974">
        <v>1348115</v>
      </c>
      <c r="F974" t="s">
        <v>35</v>
      </c>
      <c r="G974" t="s">
        <v>18</v>
      </c>
    </row>
    <row r="975" spans="1:7" x14ac:dyDescent="0.2">
      <c r="A975" t="s">
        <v>373</v>
      </c>
      <c r="B975" t="s">
        <v>374</v>
      </c>
      <c r="C975">
        <v>93149</v>
      </c>
      <c r="D975">
        <v>49683</v>
      </c>
      <c r="E975">
        <v>1663659</v>
      </c>
      <c r="F975" t="s">
        <v>35</v>
      </c>
      <c r="G975" t="s">
        <v>18</v>
      </c>
    </row>
    <row r="976" spans="1:7" x14ac:dyDescent="0.2">
      <c r="A976" t="s">
        <v>443</v>
      </c>
      <c r="B976" t="s">
        <v>444</v>
      </c>
      <c r="C976">
        <v>91574</v>
      </c>
      <c r="D976">
        <v>269</v>
      </c>
      <c r="E976">
        <v>1306498</v>
      </c>
      <c r="F976" t="s">
        <v>35</v>
      </c>
      <c r="G976" t="s">
        <v>18</v>
      </c>
    </row>
    <row r="977" spans="1:7" x14ac:dyDescent="0.2">
      <c r="A977" t="s">
        <v>401</v>
      </c>
      <c r="B977" t="s">
        <v>402</v>
      </c>
      <c r="C977">
        <v>91071</v>
      </c>
      <c r="D977">
        <v>110</v>
      </c>
      <c r="E977">
        <v>1298538</v>
      </c>
      <c r="F977" t="s">
        <v>35</v>
      </c>
      <c r="G977" t="s">
        <v>18</v>
      </c>
    </row>
    <row r="978" spans="1:7" x14ac:dyDescent="0.2">
      <c r="A978" t="s">
        <v>403</v>
      </c>
      <c r="B978" t="s">
        <v>404</v>
      </c>
      <c r="C978">
        <v>90947</v>
      </c>
      <c r="D978">
        <v>1468</v>
      </c>
      <c r="E978">
        <v>891466</v>
      </c>
      <c r="F978" t="s">
        <v>35</v>
      </c>
      <c r="G978" t="s">
        <v>18</v>
      </c>
    </row>
    <row r="979" spans="1:7" x14ac:dyDescent="0.2">
      <c r="A979" t="s">
        <v>507</v>
      </c>
      <c r="B979" t="s">
        <v>508</v>
      </c>
      <c r="C979">
        <v>90567</v>
      </c>
      <c r="D979">
        <v>17036</v>
      </c>
      <c r="E979">
        <v>1097471</v>
      </c>
      <c r="F979" t="s">
        <v>35</v>
      </c>
      <c r="G979" t="s">
        <v>18</v>
      </c>
    </row>
    <row r="980" spans="1:7" x14ac:dyDescent="0.2">
      <c r="A980" t="s">
        <v>369</v>
      </c>
      <c r="B980" t="s">
        <v>370</v>
      </c>
      <c r="C980">
        <v>90393</v>
      </c>
      <c r="D980">
        <v>58257</v>
      </c>
      <c r="E980">
        <v>1611344</v>
      </c>
      <c r="F980" t="s">
        <v>35</v>
      </c>
      <c r="G980" t="s">
        <v>18</v>
      </c>
    </row>
    <row r="981" spans="1:7" x14ac:dyDescent="0.2">
      <c r="A981" t="s">
        <v>453</v>
      </c>
      <c r="B981" t="s">
        <v>454</v>
      </c>
      <c r="C981">
        <v>89280</v>
      </c>
      <c r="D981">
        <v>0</v>
      </c>
      <c r="E981">
        <v>1275384</v>
      </c>
      <c r="F981" t="s">
        <v>35</v>
      </c>
      <c r="G981" t="s">
        <v>18</v>
      </c>
    </row>
    <row r="982" spans="1:7" x14ac:dyDescent="0.2">
      <c r="A982" t="s">
        <v>399</v>
      </c>
      <c r="B982" t="s">
        <v>400</v>
      </c>
      <c r="C982">
        <v>88850</v>
      </c>
      <c r="D982">
        <v>281244</v>
      </c>
      <c r="E982">
        <v>3292804</v>
      </c>
      <c r="F982" t="s">
        <v>35</v>
      </c>
      <c r="G982" t="s">
        <v>18</v>
      </c>
    </row>
    <row r="983" spans="1:7" x14ac:dyDescent="0.2">
      <c r="A983" t="s">
        <v>367</v>
      </c>
      <c r="B983" t="s">
        <v>368</v>
      </c>
      <c r="C983">
        <v>88549</v>
      </c>
      <c r="D983">
        <v>322</v>
      </c>
      <c r="E983">
        <v>932617</v>
      </c>
      <c r="F983" t="s">
        <v>35</v>
      </c>
      <c r="G983" t="s">
        <v>18</v>
      </c>
    </row>
    <row r="984" spans="1:7" x14ac:dyDescent="0.2">
      <c r="A984" t="s">
        <v>409</v>
      </c>
      <c r="B984" t="s">
        <v>410</v>
      </c>
      <c r="C984">
        <v>86875</v>
      </c>
      <c r="D984">
        <v>153924</v>
      </c>
      <c r="E984">
        <v>2656470</v>
      </c>
      <c r="F984" t="s">
        <v>35</v>
      </c>
      <c r="G984" t="s">
        <v>18</v>
      </c>
    </row>
    <row r="985" spans="1:7" x14ac:dyDescent="0.2">
      <c r="A985" t="s">
        <v>503</v>
      </c>
      <c r="B985" t="s">
        <v>504</v>
      </c>
      <c r="C985">
        <v>85641</v>
      </c>
      <c r="D985">
        <v>74</v>
      </c>
      <c r="E985">
        <v>1219530</v>
      </c>
      <c r="F985" t="s">
        <v>35</v>
      </c>
      <c r="G985" t="s">
        <v>18</v>
      </c>
    </row>
    <row r="986" spans="1:7" x14ac:dyDescent="0.2">
      <c r="A986" t="s">
        <v>557</v>
      </c>
      <c r="B986" t="s">
        <v>558</v>
      </c>
      <c r="C986">
        <v>85402.82</v>
      </c>
      <c r="D986">
        <v>26632</v>
      </c>
      <c r="E986">
        <v>1206343.3799999999</v>
      </c>
      <c r="F986" t="s">
        <v>35</v>
      </c>
      <c r="G986" t="s">
        <v>18</v>
      </c>
    </row>
    <row r="987" spans="1:7" x14ac:dyDescent="0.2">
      <c r="A987" t="s">
        <v>411</v>
      </c>
      <c r="B987" t="s">
        <v>412</v>
      </c>
      <c r="C987">
        <v>84473</v>
      </c>
      <c r="D987">
        <v>2613</v>
      </c>
      <c r="E987">
        <v>1227112</v>
      </c>
      <c r="F987" t="s">
        <v>35</v>
      </c>
      <c r="G987" t="s">
        <v>18</v>
      </c>
    </row>
    <row r="988" spans="1:7" x14ac:dyDescent="0.2">
      <c r="A988" t="s">
        <v>921</v>
      </c>
      <c r="B988" t="s">
        <v>922</v>
      </c>
      <c r="C988">
        <v>82509</v>
      </c>
      <c r="D988">
        <v>722</v>
      </c>
      <c r="E988">
        <v>82125</v>
      </c>
      <c r="F988" t="s">
        <v>35</v>
      </c>
      <c r="G988" t="s">
        <v>18</v>
      </c>
    </row>
    <row r="989" spans="1:7" x14ac:dyDescent="0.2">
      <c r="A989" t="s">
        <v>365</v>
      </c>
      <c r="B989" t="s">
        <v>366</v>
      </c>
      <c r="C989">
        <v>82274</v>
      </c>
      <c r="D989">
        <v>2434</v>
      </c>
      <c r="E989">
        <v>1189877</v>
      </c>
      <c r="F989" t="s">
        <v>35</v>
      </c>
      <c r="G989" t="s">
        <v>18</v>
      </c>
    </row>
    <row r="990" spans="1:7" x14ac:dyDescent="0.2">
      <c r="A990" t="s">
        <v>471</v>
      </c>
      <c r="B990" t="s">
        <v>472</v>
      </c>
      <c r="C990">
        <v>81798</v>
      </c>
      <c r="D990">
        <v>65799</v>
      </c>
      <c r="E990">
        <v>1845594</v>
      </c>
      <c r="F990" t="s">
        <v>35</v>
      </c>
      <c r="G990" t="s">
        <v>18</v>
      </c>
    </row>
    <row r="991" spans="1:7" x14ac:dyDescent="0.2">
      <c r="A991" t="s">
        <v>431</v>
      </c>
      <c r="B991" t="s">
        <v>432</v>
      </c>
      <c r="C991">
        <v>81635</v>
      </c>
      <c r="D991">
        <v>7239</v>
      </c>
      <c r="E991">
        <v>1173295</v>
      </c>
      <c r="F991" t="s">
        <v>35</v>
      </c>
      <c r="G991" t="s">
        <v>18</v>
      </c>
    </row>
    <row r="992" spans="1:7" x14ac:dyDescent="0.2">
      <c r="A992" t="s">
        <v>427</v>
      </c>
      <c r="B992" t="s">
        <v>428</v>
      </c>
      <c r="C992">
        <v>81146</v>
      </c>
      <c r="D992">
        <v>711</v>
      </c>
      <c r="E992">
        <v>1158384</v>
      </c>
      <c r="F992" t="s">
        <v>35</v>
      </c>
      <c r="G992" t="s">
        <v>18</v>
      </c>
    </row>
    <row r="993" spans="1:7" x14ac:dyDescent="0.2">
      <c r="A993" t="s">
        <v>349</v>
      </c>
      <c r="B993" t="s">
        <v>350</v>
      </c>
      <c r="C993">
        <v>79666</v>
      </c>
      <c r="D993">
        <v>0</v>
      </c>
      <c r="E993">
        <v>1080199</v>
      </c>
      <c r="F993" t="s">
        <v>35</v>
      </c>
      <c r="G993" t="s">
        <v>18</v>
      </c>
    </row>
    <row r="994" spans="1:7" x14ac:dyDescent="0.2">
      <c r="A994" t="s">
        <v>423</v>
      </c>
      <c r="B994" t="s">
        <v>424</v>
      </c>
      <c r="C994">
        <v>79550</v>
      </c>
      <c r="D994">
        <v>13643</v>
      </c>
      <c r="E994">
        <v>610382</v>
      </c>
      <c r="F994" t="s">
        <v>35</v>
      </c>
      <c r="G994" t="s">
        <v>18</v>
      </c>
    </row>
    <row r="995" spans="1:7" x14ac:dyDescent="0.2">
      <c r="A995" t="s">
        <v>867</v>
      </c>
      <c r="B995" t="s">
        <v>868</v>
      </c>
      <c r="C995">
        <v>79348</v>
      </c>
      <c r="D995">
        <v>6841</v>
      </c>
      <c r="E995">
        <v>519399</v>
      </c>
      <c r="F995" t="s">
        <v>35</v>
      </c>
      <c r="G995" t="s">
        <v>18</v>
      </c>
    </row>
    <row r="996" spans="1:7" x14ac:dyDescent="0.2">
      <c r="A996" t="s">
        <v>429</v>
      </c>
      <c r="B996" t="s">
        <v>430</v>
      </c>
      <c r="C996">
        <v>77952</v>
      </c>
      <c r="D996">
        <v>44770</v>
      </c>
      <c r="E996">
        <v>835125</v>
      </c>
      <c r="F996" t="s">
        <v>35</v>
      </c>
      <c r="G996" t="s">
        <v>18</v>
      </c>
    </row>
    <row r="997" spans="1:7" x14ac:dyDescent="0.2">
      <c r="A997" t="s">
        <v>437</v>
      </c>
      <c r="B997" t="s">
        <v>438</v>
      </c>
      <c r="C997">
        <v>76390</v>
      </c>
      <c r="D997">
        <v>36</v>
      </c>
      <c r="E997">
        <v>1120861</v>
      </c>
      <c r="F997" t="s">
        <v>35</v>
      </c>
      <c r="G997" t="s">
        <v>18</v>
      </c>
    </row>
    <row r="998" spans="1:7" x14ac:dyDescent="0.2">
      <c r="A998" t="s">
        <v>313</v>
      </c>
      <c r="B998" t="s">
        <v>314</v>
      </c>
      <c r="C998">
        <v>76227</v>
      </c>
      <c r="D998">
        <v>90773</v>
      </c>
      <c r="E998">
        <v>1680507</v>
      </c>
      <c r="F998" t="s">
        <v>35</v>
      </c>
      <c r="G998" t="s">
        <v>18</v>
      </c>
    </row>
    <row r="999" spans="1:7" x14ac:dyDescent="0.2">
      <c r="A999" t="s">
        <v>465</v>
      </c>
      <c r="B999" t="s">
        <v>466</v>
      </c>
      <c r="C999">
        <v>75603</v>
      </c>
      <c r="D999">
        <v>56</v>
      </c>
      <c r="E999">
        <v>553198</v>
      </c>
      <c r="F999" t="s">
        <v>35</v>
      </c>
      <c r="G999" t="s">
        <v>18</v>
      </c>
    </row>
    <row r="1000" spans="1:7" x14ac:dyDescent="0.2">
      <c r="A1000" t="s">
        <v>923</v>
      </c>
      <c r="B1000" t="s">
        <v>924</v>
      </c>
      <c r="C1000">
        <v>74184</v>
      </c>
      <c r="D1000">
        <v>309</v>
      </c>
      <c r="E1000">
        <v>1155003</v>
      </c>
      <c r="F1000" t="s">
        <v>35</v>
      </c>
      <c r="G1000" t="s">
        <v>18</v>
      </c>
    </row>
    <row r="1001" spans="1:7" x14ac:dyDescent="0.2">
      <c r="A1001" t="s">
        <v>419</v>
      </c>
      <c r="B1001" t="s">
        <v>420</v>
      </c>
      <c r="C1001">
        <v>74081</v>
      </c>
      <c r="D1001">
        <v>110340.13</v>
      </c>
      <c r="E1001">
        <v>1964703.27</v>
      </c>
      <c r="F1001" t="s">
        <v>35</v>
      </c>
      <c r="G1001" t="s">
        <v>18</v>
      </c>
    </row>
    <row r="1002" spans="1:7" x14ac:dyDescent="0.2">
      <c r="A1002" t="s">
        <v>413</v>
      </c>
      <c r="B1002" t="s">
        <v>414</v>
      </c>
      <c r="C1002">
        <v>73744</v>
      </c>
      <c r="D1002">
        <v>318</v>
      </c>
      <c r="E1002">
        <v>30216</v>
      </c>
      <c r="F1002" t="s">
        <v>35</v>
      </c>
      <c r="G1002" t="s">
        <v>18</v>
      </c>
    </row>
    <row r="1003" spans="1:7" x14ac:dyDescent="0.2">
      <c r="A1003" t="s">
        <v>491</v>
      </c>
      <c r="B1003" t="s">
        <v>492</v>
      </c>
      <c r="C1003">
        <v>73548</v>
      </c>
      <c r="D1003">
        <v>283010</v>
      </c>
      <c r="E1003">
        <v>1992023</v>
      </c>
      <c r="F1003" t="s">
        <v>35</v>
      </c>
      <c r="G1003" t="s">
        <v>18</v>
      </c>
    </row>
    <row r="1004" spans="1:7" x14ac:dyDescent="0.2">
      <c r="A1004" t="s">
        <v>363</v>
      </c>
      <c r="B1004" t="s">
        <v>364</v>
      </c>
      <c r="C1004">
        <v>72869</v>
      </c>
      <c r="D1004">
        <v>7916.06</v>
      </c>
      <c r="E1004">
        <v>1514417.91</v>
      </c>
      <c r="F1004" t="s">
        <v>35</v>
      </c>
      <c r="G1004" t="s">
        <v>18</v>
      </c>
    </row>
    <row r="1005" spans="1:7" x14ac:dyDescent="0.2">
      <c r="A1005" t="s">
        <v>425</v>
      </c>
      <c r="B1005" t="s">
        <v>426</v>
      </c>
      <c r="C1005">
        <v>71587</v>
      </c>
      <c r="D1005">
        <v>43398</v>
      </c>
      <c r="E1005">
        <v>1150406</v>
      </c>
      <c r="F1005" t="s">
        <v>35</v>
      </c>
      <c r="G1005" t="s">
        <v>18</v>
      </c>
    </row>
    <row r="1006" spans="1:7" x14ac:dyDescent="0.2">
      <c r="A1006" t="s">
        <v>925</v>
      </c>
      <c r="B1006" t="s">
        <v>926</v>
      </c>
      <c r="C1006">
        <v>70534</v>
      </c>
      <c r="D1006">
        <v>1242</v>
      </c>
      <c r="E1006">
        <v>1021453</v>
      </c>
      <c r="F1006" t="s">
        <v>35</v>
      </c>
      <c r="G1006" t="s">
        <v>18</v>
      </c>
    </row>
    <row r="1007" spans="1:7" x14ac:dyDescent="0.2">
      <c r="A1007" t="s">
        <v>447</v>
      </c>
      <c r="B1007" t="s">
        <v>448</v>
      </c>
      <c r="C1007">
        <v>70120</v>
      </c>
      <c r="D1007">
        <v>438</v>
      </c>
      <c r="E1007">
        <v>998797</v>
      </c>
      <c r="F1007" t="s">
        <v>35</v>
      </c>
      <c r="G1007" t="s">
        <v>18</v>
      </c>
    </row>
    <row r="1008" spans="1:7" x14ac:dyDescent="0.2">
      <c r="A1008" t="s">
        <v>479</v>
      </c>
      <c r="B1008" t="s">
        <v>480</v>
      </c>
      <c r="C1008">
        <v>68132</v>
      </c>
      <c r="D1008">
        <v>147051</v>
      </c>
      <c r="E1008">
        <v>3579192</v>
      </c>
      <c r="F1008" t="s">
        <v>35</v>
      </c>
      <c r="G1008" t="s">
        <v>18</v>
      </c>
    </row>
    <row r="1009" spans="1:7" x14ac:dyDescent="0.2">
      <c r="A1009" t="s">
        <v>499</v>
      </c>
      <c r="B1009" t="s">
        <v>500</v>
      </c>
      <c r="C1009">
        <v>66464</v>
      </c>
      <c r="D1009">
        <v>2031</v>
      </c>
      <c r="E1009">
        <v>956752</v>
      </c>
      <c r="F1009" t="s">
        <v>35</v>
      </c>
      <c r="G1009" t="s">
        <v>18</v>
      </c>
    </row>
    <row r="1010" spans="1:7" x14ac:dyDescent="0.2">
      <c r="A1010" t="s">
        <v>461</v>
      </c>
      <c r="B1010" t="s">
        <v>462</v>
      </c>
      <c r="C1010">
        <v>66065</v>
      </c>
      <c r="D1010">
        <v>29720</v>
      </c>
      <c r="E1010">
        <v>1425085</v>
      </c>
      <c r="F1010" t="s">
        <v>35</v>
      </c>
      <c r="G1010" t="s">
        <v>18</v>
      </c>
    </row>
    <row r="1011" spans="1:7" x14ac:dyDescent="0.2">
      <c r="A1011" t="s">
        <v>927</v>
      </c>
      <c r="B1011" t="s">
        <v>928</v>
      </c>
      <c r="C1011">
        <v>66014</v>
      </c>
      <c r="D1011">
        <v>2568</v>
      </c>
      <c r="E1011">
        <v>978249</v>
      </c>
      <c r="F1011" t="s">
        <v>35</v>
      </c>
      <c r="G1011" t="s">
        <v>18</v>
      </c>
    </row>
    <row r="1012" spans="1:7" x14ac:dyDescent="0.2">
      <c r="A1012" t="s">
        <v>359</v>
      </c>
      <c r="B1012" t="s">
        <v>360</v>
      </c>
      <c r="C1012">
        <v>65858</v>
      </c>
      <c r="D1012">
        <v>3693</v>
      </c>
      <c r="E1012">
        <v>1070236</v>
      </c>
      <c r="F1012" t="s">
        <v>35</v>
      </c>
      <c r="G1012" t="s">
        <v>18</v>
      </c>
    </row>
    <row r="1013" spans="1:7" x14ac:dyDescent="0.2">
      <c r="A1013" t="s">
        <v>435</v>
      </c>
      <c r="B1013" t="s">
        <v>436</v>
      </c>
      <c r="C1013">
        <v>65474</v>
      </c>
      <c r="D1013">
        <v>146682</v>
      </c>
      <c r="E1013">
        <v>2412270</v>
      </c>
      <c r="F1013" t="s">
        <v>35</v>
      </c>
      <c r="G1013" t="s">
        <v>18</v>
      </c>
    </row>
    <row r="1014" spans="1:7" x14ac:dyDescent="0.2">
      <c r="A1014" t="s">
        <v>876</v>
      </c>
      <c r="B1014" t="s">
        <v>877</v>
      </c>
      <c r="C1014">
        <v>64487</v>
      </c>
      <c r="D1014">
        <v>20223</v>
      </c>
      <c r="E1014">
        <v>1243091</v>
      </c>
      <c r="F1014" t="s">
        <v>35</v>
      </c>
      <c r="G1014" t="s">
        <v>18</v>
      </c>
    </row>
    <row r="1015" spans="1:7" x14ac:dyDescent="0.2">
      <c r="A1015" t="s">
        <v>475</v>
      </c>
      <c r="B1015" t="s">
        <v>476</v>
      </c>
      <c r="C1015">
        <v>64375</v>
      </c>
      <c r="D1015">
        <v>20880</v>
      </c>
      <c r="E1015">
        <v>1417451</v>
      </c>
      <c r="F1015" t="s">
        <v>35</v>
      </c>
      <c r="G1015" t="s">
        <v>18</v>
      </c>
    </row>
    <row r="1016" spans="1:7" x14ac:dyDescent="0.2">
      <c r="A1016" t="s">
        <v>505</v>
      </c>
      <c r="B1016" t="s">
        <v>506</v>
      </c>
      <c r="C1016">
        <v>63122</v>
      </c>
      <c r="D1016">
        <v>125684</v>
      </c>
      <c r="E1016">
        <v>1734596</v>
      </c>
      <c r="F1016" t="s">
        <v>35</v>
      </c>
      <c r="G1016" t="s">
        <v>18</v>
      </c>
    </row>
    <row r="1017" spans="1:7" x14ac:dyDescent="0.2">
      <c r="A1017" t="s">
        <v>929</v>
      </c>
      <c r="B1017" t="s">
        <v>930</v>
      </c>
      <c r="C1017">
        <v>63104</v>
      </c>
      <c r="D1017">
        <v>15388</v>
      </c>
      <c r="E1017">
        <v>1313377</v>
      </c>
      <c r="F1017" t="s">
        <v>35</v>
      </c>
      <c r="G1017" t="s">
        <v>18</v>
      </c>
    </row>
    <row r="1018" spans="1:7" x14ac:dyDescent="0.2">
      <c r="A1018" t="s">
        <v>439</v>
      </c>
      <c r="B1018" t="s">
        <v>440</v>
      </c>
      <c r="C1018">
        <v>62784</v>
      </c>
      <c r="D1018">
        <v>837</v>
      </c>
      <c r="E1018">
        <v>800957</v>
      </c>
      <c r="F1018" t="s">
        <v>35</v>
      </c>
      <c r="G1018" t="s">
        <v>18</v>
      </c>
    </row>
    <row r="1019" spans="1:7" x14ac:dyDescent="0.2">
      <c r="A1019" t="s">
        <v>477</v>
      </c>
      <c r="B1019" t="s">
        <v>478</v>
      </c>
      <c r="C1019">
        <v>62195</v>
      </c>
      <c r="D1019">
        <v>4455</v>
      </c>
      <c r="E1019">
        <v>55897</v>
      </c>
      <c r="F1019" t="s">
        <v>35</v>
      </c>
      <c r="G1019" t="s">
        <v>18</v>
      </c>
    </row>
    <row r="1020" spans="1:7" x14ac:dyDescent="0.2">
      <c r="A1020" t="s">
        <v>931</v>
      </c>
      <c r="B1020" t="s">
        <v>866</v>
      </c>
      <c r="C1020">
        <v>61967</v>
      </c>
      <c r="D1020">
        <v>22</v>
      </c>
      <c r="E1020">
        <v>9654</v>
      </c>
      <c r="F1020" t="s">
        <v>35</v>
      </c>
      <c r="G1020" t="s">
        <v>18</v>
      </c>
    </row>
    <row r="1021" spans="1:7" x14ac:dyDescent="0.2">
      <c r="A1021" t="s">
        <v>469</v>
      </c>
      <c r="B1021" t="s">
        <v>470</v>
      </c>
      <c r="C1021">
        <v>61533</v>
      </c>
      <c r="D1021">
        <v>103</v>
      </c>
      <c r="E1021">
        <v>949160</v>
      </c>
      <c r="F1021" t="s">
        <v>35</v>
      </c>
      <c r="G1021" t="s">
        <v>18</v>
      </c>
    </row>
    <row r="1022" spans="1:7" x14ac:dyDescent="0.2">
      <c r="A1022" t="s">
        <v>874</v>
      </c>
      <c r="B1022" t="s">
        <v>875</v>
      </c>
      <c r="C1022">
        <v>60971</v>
      </c>
      <c r="D1022">
        <v>7814</v>
      </c>
      <c r="E1022">
        <v>1076754</v>
      </c>
      <c r="F1022" t="s">
        <v>35</v>
      </c>
      <c r="G1022" t="s">
        <v>18</v>
      </c>
    </row>
    <row r="1023" spans="1:7" x14ac:dyDescent="0.2">
      <c r="A1023" t="s">
        <v>888</v>
      </c>
      <c r="B1023" t="s">
        <v>889</v>
      </c>
      <c r="C1023">
        <v>60957</v>
      </c>
      <c r="D1023">
        <v>1830</v>
      </c>
      <c r="E1023">
        <v>875935</v>
      </c>
      <c r="F1023" t="s">
        <v>35</v>
      </c>
      <c r="G1023" t="s">
        <v>18</v>
      </c>
    </row>
    <row r="1024" spans="1:7" x14ac:dyDescent="0.2">
      <c r="A1024" t="s">
        <v>489</v>
      </c>
      <c r="B1024" t="s">
        <v>490</v>
      </c>
      <c r="C1024">
        <v>60721</v>
      </c>
      <c r="D1024">
        <v>257</v>
      </c>
      <c r="E1024">
        <v>899330</v>
      </c>
      <c r="F1024" t="s">
        <v>35</v>
      </c>
      <c r="G1024" t="s">
        <v>18</v>
      </c>
    </row>
    <row r="1025" spans="1:7" x14ac:dyDescent="0.2">
      <c r="A1025" t="s">
        <v>493</v>
      </c>
      <c r="B1025" t="s">
        <v>494</v>
      </c>
      <c r="C1025">
        <v>60470</v>
      </c>
      <c r="D1025">
        <v>835</v>
      </c>
      <c r="E1025">
        <v>880174</v>
      </c>
      <c r="F1025" t="s">
        <v>35</v>
      </c>
      <c r="G1025" t="s">
        <v>18</v>
      </c>
    </row>
    <row r="1026" spans="1:7" x14ac:dyDescent="0.2">
      <c r="A1026" t="s">
        <v>485</v>
      </c>
      <c r="B1026" t="s">
        <v>486</v>
      </c>
      <c r="C1026">
        <v>60446</v>
      </c>
      <c r="D1026">
        <v>87</v>
      </c>
      <c r="E1026">
        <v>6216</v>
      </c>
      <c r="F1026" t="s">
        <v>35</v>
      </c>
      <c r="G1026" t="s">
        <v>18</v>
      </c>
    </row>
    <row r="1027" spans="1:7" x14ac:dyDescent="0.2">
      <c r="A1027" t="s">
        <v>533</v>
      </c>
      <c r="B1027" t="s">
        <v>534</v>
      </c>
      <c r="C1027">
        <v>59779</v>
      </c>
      <c r="D1027">
        <v>1887</v>
      </c>
      <c r="E1027">
        <v>860535</v>
      </c>
      <c r="F1027" t="s">
        <v>35</v>
      </c>
      <c r="G1027" t="s">
        <v>18</v>
      </c>
    </row>
    <row r="1028" spans="1:7" x14ac:dyDescent="0.2">
      <c r="A1028" t="s">
        <v>932</v>
      </c>
      <c r="B1028" t="s">
        <v>396</v>
      </c>
      <c r="C1028">
        <v>59077</v>
      </c>
      <c r="D1028">
        <v>133851</v>
      </c>
      <c r="E1028">
        <v>3570531</v>
      </c>
      <c r="F1028" t="s">
        <v>35</v>
      </c>
      <c r="G1028" t="s">
        <v>18</v>
      </c>
    </row>
    <row r="1029" spans="1:7" x14ac:dyDescent="0.2">
      <c r="A1029" t="s">
        <v>933</v>
      </c>
      <c r="B1029" t="s">
        <v>484</v>
      </c>
      <c r="C1029">
        <v>58787.51</v>
      </c>
      <c r="D1029">
        <v>22471.27</v>
      </c>
      <c r="E1029">
        <v>944915.12</v>
      </c>
      <c r="F1029" t="s">
        <v>35</v>
      </c>
      <c r="G1029" t="s">
        <v>18</v>
      </c>
    </row>
    <row r="1030" spans="1:7" x14ac:dyDescent="0.2">
      <c r="A1030" t="s">
        <v>543</v>
      </c>
      <c r="B1030" t="s">
        <v>544</v>
      </c>
      <c r="C1030">
        <v>58514</v>
      </c>
      <c r="D1030">
        <v>204</v>
      </c>
      <c r="E1030">
        <v>8244915</v>
      </c>
      <c r="F1030" t="s">
        <v>35</v>
      </c>
      <c r="G1030" t="s">
        <v>18</v>
      </c>
    </row>
    <row r="1031" spans="1:7" x14ac:dyDescent="0.2">
      <c r="A1031" t="s">
        <v>934</v>
      </c>
      <c r="B1031" t="s">
        <v>935</v>
      </c>
      <c r="C1031">
        <v>58483</v>
      </c>
      <c r="D1031">
        <v>43</v>
      </c>
      <c r="E1031">
        <v>834583</v>
      </c>
      <c r="F1031" t="s">
        <v>35</v>
      </c>
      <c r="G1031" t="s">
        <v>18</v>
      </c>
    </row>
    <row r="1032" spans="1:7" x14ac:dyDescent="0.2">
      <c r="A1032" t="s">
        <v>463</v>
      </c>
      <c r="B1032" t="s">
        <v>464</v>
      </c>
      <c r="C1032">
        <v>58249</v>
      </c>
      <c r="D1032">
        <v>18580</v>
      </c>
      <c r="E1032">
        <v>336808</v>
      </c>
      <c r="F1032" t="s">
        <v>35</v>
      </c>
      <c r="G1032" t="s">
        <v>18</v>
      </c>
    </row>
    <row r="1033" spans="1:7" x14ac:dyDescent="0.2">
      <c r="A1033" t="s">
        <v>525</v>
      </c>
      <c r="B1033" t="s">
        <v>526</v>
      </c>
      <c r="C1033">
        <v>57661</v>
      </c>
      <c r="D1033">
        <v>51666</v>
      </c>
      <c r="E1033">
        <v>1374354</v>
      </c>
      <c r="F1033" t="s">
        <v>35</v>
      </c>
      <c r="G1033" t="s">
        <v>18</v>
      </c>
    </row>
    <row r="1034" spans="1:7" x14ac:dyDescent="0.2">
      <c r="A1034" t="s">
        <v>449</v>
      </c>
      <c r="B1034" t="s">
        <v>450</v>
      </c>
      <c r="C1034">
        <v>57557</v>
      </c>
      <c r="D1034">
        <v>748</v>
      </c>
      <c r="E1034">
        <v>824234</v>
      </c>
      <c r="F1034" t="s">
        <v>35</v>
      </c>
      <c r="G1034" t="s">
        <v>18</v>
      </c>
    </row>
    <row r="1035" spans="1:7" x14ac:dyDescent="0.2">
      <c r="A1035" t="s">
        <v>936</v>
      </c>
      <c r="B1035" t="s">
        <v>937</v>
      </c>
      <c r="C1035">
        <v>57555</v>
      </c>
      <c r="D1035">
        <v>0</v>
      </c>
      <c r="E1035">
        <v>817566</v>
      </c>
      <c r="F1035" t="s">
        <v>35</v>
      </c>
      <c r="G1035" t="s">
        <v>18</v>
      </c>
    </row>
    <row r="1036" spans="1:7" x14ac:dyDescent="0.2">
      <c r="A1036" t="s">
        <v>938</v>
      </c>
      <c r="B1036" t="s">
        <v>939</v>
      </c>
      <c r="C1036">
        <v>57327</v>
      </c>
      <c r="D1036">
        <v>76</v>
      </c>
      <c r="E1036">
        <v>687052</v>
      </c>
      <c r="F1036" t="s">
        <v>35</v>
      </c>
      <c r="G1036" t="s">
        <v>18</v>
      </c>
    </row>
    <row r="1037" spans="1:7" x14ac:dyDescent="0.2">
      <c r="A1037" t="s">
        <v>565</v>
      </c>
      <c r="B1037" t="s">
        <v>566</v>
      </c>
      <c r="C1037">
        <v>56969</v>
      </c>
      <c r="D1037">
        <v>24157</v>
      </c>
      <c r="E1037">
        <v>700224</v>
      </c>
      <c r="F1037" t="s">
        <v>35</v>
      </c>
      <c r="G1037" t="s">
        <v>18</v>
      </c>
    </row>
    <row r="1038" spans="1:7" x14ac:dyDescent="0.2">
      <c r="A1038" t="s">
        <v>880</v>
      </c>
      <c r="B1038" t="s">
        <v>881</v>
      </c>
      <c r="C1038">
        <v>55965</v>
      </c>
      <c r="D1038">
        <v>8</v>
      </c>
      <c r="E1038">
        <v>982943</v>
      </c>
      <c r="F1038" t="s">
        <v>35</v>
      </c>
      <c r="G1038" t="s">
        <v>18</v>
      </c>
    </row>
    <row r="1039" spans="1:7" x14ac:dyDescent="0.2">
      <c r="A1039" t="s">
        <v>940</v>
      </c>
      <c r="B1039" t="s">
        <v>941</v>
      </c>
      <c r="C1039">
        <v>55805</v>
      </c>
      <c r="D1039">
        <v>4222</v>
      </c>
      <c r="E1039">
        <v>817085</v>
      </c>
      <c r="F1039" t="s">
        <v>35</v>
      </c>
      <c r="G1039" t="s">
        <v>18</v>
      </c>
    </row>
    <row r="1040" spans="1:7" x14ac:dyDescent="0.2">
      <c r="A1040" t="s">
        <v>942</v>
      </c>
      <c r="B1040" t="s">
        <v>943</v>
      </c>
      <c r="C1040">
        <v>55708</v>
      </c>
      <c r="D1040">
        <v>139</v>
      </c>
      <c r="E1040">
        <v>795835</v>
      </c>
      <c r="F1040" t="s">
        <v>35</v>
      </c>
      <c r="G1040" t="s">
        <v>18</v>
      </c>
    </row>
    <row r="1041" spans="1:7" x14ac:dyDescent="0.2">
      <c r="A1041" t="s">
        <v>549</v>
      </c>
      <c r="B1041" t="s">
        <v>550</v>
      </c>
      <c r="C1041">
        <v>54770</v>
      </c>
      <c r="D1041">
        <v>44956</v>
      </c>
      <c r="E1041">
        <v>1020059</v>
      </c>
      <c r="F1041" t="s">
        <v>35</v>
      </c>
      <c r="G1041" t="s">
        <v>18</v>
      </c>
    </row>
    <row r="1042" spans="1:7" x14ac:dyDescent="0.2">
      <c r="A1042" t="s">
        <v>511</v>
      </c>
      <c r="B1042" t="s">
        <v>512</v>
      </c>
      <c r="C1042">
        <v>54718</v>
      </c>
      <c r="D1042">
        <v>531055</v>
      </c>
      <c r="E1042">
        <v>4200029</v>
      </c>
      <c r="F1042" t="s">
        <v>35</v>
      </c>
      <c r="G1042" t="s">
        <v>18</v>
      </c>
    </row>
    <row r="1043" spans="1:7" x14ac:dyDescent="0.2">
      <c r="A1043" t="s">
        <v>944</v>
      </c>
      <c r="B1043" t="s">
        <v>879</v>
      </c>
      <c r="C1043">
        <v>54031</v>
      </c>
      <c r="D1043">
        <v>6342</v>
      </c>
      <c r="E1043">
        <v>810244</v>
      </c>
      <c r="F1043" t="s">
        <v>35</v>
      </c>
      <c r="G1043" t="s">
        <v>18</v>
      </c>
    </row>
    <row r="1044" spans="1:7" x14ac:dyDescent="0.2">
      <c r="A1044" t="s">
        <v>884</v>
      </c>
      <c r="B1044" t="s">
        <v>885</v>
      </c>
      <c r="C1044">
        <v>53690</v>
      </c>
      <c r="D1044">
        <v>18</v>
      </c>
      <c r="E1044">
        <v>768624</v>
      </c>
      <c r="F1044" t="s">
        <v>35</v>
      </c>
      <c r="G1044" t="s">
        <v>18</v>
      </c>
    </row>
    <row r="1045" spans="1:7" x14ac:dyDescent="0.2">
      <c r="A1045" t="s">
        <v>945</v>
      </c>
      <c r="B1045" t="s">
        <v>946</v>
      </c>
      <c r="C1045">
        <v>53684</v>
      </c>
      <c r="D1045">
        <v>8</v>
      </c>
      <c r="E1045">
        <v>894543</v>
      </c>
      <c r="F1045" t="s">
        <v>35</v>
      </c>
      <c r="G1045" t="s">
        <v>18</v>
      </c>
    </row>
    <row r="1046" spans="1:7" x14ac:dyDescent="0.2">
      <c r="A1046" t="s">
        <v>947</v>
      </c>
      <c r="B1046" t="s">
        <v>948</v>
      </c>
      <c r="C1046">
        <v>53257</v>
      </c>
      <c r="D1046">
        <v>14066</v>
      </c>
      <c r="E1046">
        <v>903204</v>
      </c>
      <c r="F1046" t="s">
        <v>35</v>
      </c>
      <c r="G1046" t="s">
        <v>18</v>
      </c>
    </row>
    <row r="1047" spans="1:7" x14ac:dyDescent="0.2">
      <c r="A1047" t="s">
        <v>547</v>
      </c>
      <c r="B1047" t="s">
        <v>548</v>
      </c>
      <c r="C1047">
        <v>53056</v>
      </c>
      <c r="D1047">
        <v>40271</v>
      </c>
      <c r="E1047">
        <v>995928</v>
      </c>
      <c r="F1047" t="s">
        <v>35</v>
      </c>
      <c r="G1047" t="s">
        <v>18</v>
      </c>
    </row>
    <row r="1048" spans="1:7" x14ac:dyDescent="0.2">
      <c r="A1048" t="s">
        <v>949</v>
      </c>
      <c r="B1048" t="s">
        <v>950</v>
      </c>
      <c r="C1048">
        <v>52824</v>
      </c>
      <c r="D1048">
        <v>0</v>
      </c>
      <c r="E1048">
        <v>755605</v>
      </c>
      <c r="F1048" t="s">
        <v>35</v>
      </c>
      <c r="G1048" t="s">
        <v>18</v>
      </c>
    </row>
    <row r="1049" spans="1:7" x14ac:dyDescent="0.2">
      <c r="A1049" t="s">
        <v>509</v>
      </c>
      <c r="B1049" t="s">
        <v>510</v>
      </c>
      <c r="C1049">
        <v>51815</v>
      </c>
      <c r="D1049">
        <v>2711</v>
      </c>
      <c r="E1049">
        <v>751553</v>
      </c>
      <c r="F1049" t="s">
        <v>35</v>
      </c>
      <c r="G1049" t="s">
        <v>18</v>
      </c>
    </row>
    <row r="1050" spans="1:7" x14ac:dyDescent="0.2">
      <c r="A1050" t="s">
        <v>882</v>
      </c>
      <c r="B1050" t="s">
        <v>883</v>
      </c>
      <c r="C1050">
        <v>51454</v>
      </c>
      <c r="D1050">
        <v>2220</v>
      </c>
      <c r="E1050">
        <v>742490</v>
      </c>
      <c r="F1050" t="s">
        <v>35</v>
      </c>
      <c r="G1050" t="s">
        <v>18</v>
      </c>
    </row>
    <row r="1051" spans="1:7" x14ac:dyDescent="0.2">
      <c r="A1051" t="s">
        <v>529</v>
      </c>
      <c r="B1051" t="s">
        <v>530</v>
      </c>
      <c r="C1051">
        <v>50960</v>
      </c>
      <c r="D1051">
        <v>100949</v>
      </c>
      <c r="E1051">
        <v>1559992</v>
      </c>
      <c r="F1051" t="s">
        <v>35</v>
      </c>
      <c r="G1051" t="s">
        <v>18</v>
      </c>
    </row>
    <row r="1052" spans="1:7" x14ac:dyDescent="0.2">
      <c r="A1052" t="s">
        <v>567</v>
      </c>
      <c r="B1052" t="s">
        <v>568</v>
      </c>
      <c r="C1052">
        <v>50350</v>
      </c>
      <c r="D1052">
        <v>66656</v>
      </c>
      <c r="E1052">
        <v>674809</v>
      </c>
      <c r="F1052" t="s">
        <v>35</v>
      </c>
      <c r="G1052" t="s">
        <v>18</v>
      </c>
    </row>
    <row r="1053" spans="1:7" x14ac:dyDescent="0.2">
      <c r="A1053" t="s">
        <v>951</v>
      </c>
      <c r="B1053" t="s">
        <v>952</v>
      </c>
      <c r="C1053">
        <v>50282</v>
      </c>
      <c r="D1053">
        <v>16926</v>
      </c>
      <c r="E1053">
        <v>833289</v>
      </c>
      <c r="F1053" t="s">
        <v>35</v>
      </c>
      <c r="G1053" t="s">
        <v>18</v>
      </c>
    </row>
    <row r="1054" spans="1:7" x14ac:dyDescent="0.2">
      <c r="A1054" t="s">
        <v>541</v>
      </c>
      <c r="B1054" t="s">
        <v>542</v>
      </c>
      <c r="C1054">
        <v>49344</v>
      </c>
      <c r="D1054">
        <v>62317</v>
      </c>
      <c r="E1054">
        <v>1180334</v>
      </c>
      <c r="F1054" t="s">
        <v>35</v>
      </c>
      <c r="G1054" t="s">
        <v>18</v>
      </c>
    </row>
    <row r="1055" spans="1:7" x14ac:dyDescent="0.2">
      <c r="A1055" t="s">
        <v>555</v>
      </c>
      <c r="B1055" t="s">
        <v>556</v>
      </c>
      <c r="C1055">
        <v>49045</v>
      </c>
      <c r="D1055">
        <v>2379</v>
      </c>
      <c r="E1055">
        <v>525079</v>
      </c>
      <c r="F1055" t="s">
        <v>35</v>
      </c>
      <c r="G1055" t="s">
        <v>18</v>
      </c>
    </row>
    <row r="1056" spans="1:7" x14ac:dyDescent="0.2">
      <c r="A1056" t="s">
        <v>535</v>
      </c>
      <c r="B1056" t="s">
        <v>536</v>
      </c>
      <c r="C1056">
        <v>48887</v>
      </c>
      <c r="D1056">
        <v>13913</v>
      </c>
      <c r="E1056">
        <v>174916</v>
      </c>
      <c r="F1056" t="s">
        <v>35</v>
      </c>
      <c r="G1056" t="s">
        <v>18</v>
      </c>
    </row>
    <row r="1057" spans="1:7" x14ac:dyDescent="0.2">
      <c r="A1057" t="s">
        <v>561</v>
      </c>
      <c r="B1057" t="s">
        <v>562</v>
      </c>
      <c r="C1057">
        <v>47733</v>
      </c>
      <c r="D1057">
        <v>28900</v>
      </c>
      <c r="E1057">
        <v>874847</v>
      </c>
      <c r="F1057" t="s">
        <v>35</v>
      </c>
      <c r="G1057" t="s">
        <v>18</v>
      </c>
    </row>
    <row r="1058" spans="1:7" x14ac:dyDescent="0.2">
      <c r="A1058" t="s">
        <v>953</v>
      </c>
      <c r="B1058" t="s">
        <v>891</v>
      </c>
      <c r="C1058">
        <v>47142</v>
      </c>
      <c r="D1058">
        <v>19298</v>
      </c>
      <c r="E1058">
        <v>262359</v>
      </c>
      <c r="F1058" t="s">
        <v>35</v>
      </c>
      <c r="G1058" t="s">
        <v>18</v>
      </c>
    </row>
    <row r="1059" spans="1:7" x14ac:dyDescent="0.2">
      <c r="A1059" t="s">
        <v>523</v>
      </c>
      <c r="B1059" t="s">
        <v>524</v>
      </c>
      <c r="C1059">
        <v>46358</v>
      </c>
      <c r="D1059">
        <v>84582</v>
      </c>
      <c r="E1059">
        <v>1154321</v>
      </c>
      <c r="F1059" t="s">
        <v>35</v>
      </c>
      <c r="G1059" t="s">
        <v>18</v>
      </c>
    </row>
    <row r="1060" spans="1:7" x14ac:dyDescent="0.2">
      <c r="A1060" t="s">
        <v>587</v>
      </c>
      <c r="B1060" t="s">
        <v>588</v>
      </c>
      <c r="C1060">
        <v>46246</v>
      </c>
      <c r="D1060">
        <v>70045</v>
      </c>
      <c r="E1060">
        <v>1262706</v>
      </c>
      <c r="F1060" t="s">
        <v>35</v>
      </c>
      <c r="G1060" t="s">
        <v>18</v>
      </c>
    </row>
    <row r="1061" spans="1:7" x14ac:dyDescent="0.2">
      <c r="A1061" t="s">
        <v>515</v>
      </c>
      <c r="B1061" t="s">
        <v>516</v>
      </c>
      <c r="C1061">
        <v>45568</v>
      </c>
      <c r="D1061">
        <v>175737</v>
      </c>
      <c r="E1061">
        <v>3294808</v>
      </c>
      <c r="F1061" t="s">
        <v>35</v>
      </c>
      <c r="G1061" t="s">
        <v>18</v>
      </c>
    </row>
    <row r="1062" spans="1:7" x14ac:dyDescent="0.2">
      <c r="A1062" t="s">
        <v>569</v>
      </c>
      <c r="B1062" t="s">
        <v>570</v>
      </c>
      <c r="C1062">
        <v>43394</v>
      </c>
      <c r="D1062">
        <v>82362</v>
      </c>
      <c r="E1062">
        <v>1217581</v>
      </c>
      <c r="F1062" t="s">
        <v>35</v>
      </c>
      <c r="G1062" t="s">
        <v>18</v>
      </c>
    </row>
    <row r="1063" spans="1:7" x14ac:dyDescent="0.2">
      <c r="A1063" t="s">
        <v>892</v>
      </c>
      <c r="B1063" t="s">
        <v>893</v>
      </c>
      <c r="C1063">
        <v>43140</v>
      </c>
      <c r="D1063">
        <v>23693</v>
      </c>
      <c r="E1063">
        <v>614343</v>
      </c>
      <c r="F1063" t="s">
        <v>35</v>
      </c>
      <c r="G1063" t="s">
        <v>18</v>
      </c>
    </row>
    <row r="1064" spans="1:7" x14ac:dyDescent="0.2">
      <c r="A1064" t="s">
        <v>551</v>
      </c>
      <c r="B1064" t="s">
        <v>552</v>
      </c>
      <c r="C1064">
        <v>42980</v>
      </c>
      <c r="D1064">
        <v>7528</v>
      </c>
      <c r="E1064">
        <v>14548831</v>
      </c>
      <c r="F1064" t="s">
        <v>35</v>
      </c>
      <c r="G1064" t="s">
        <v>18</v>
      </c>
    </row>
    <row r="1065" spans="1:7" x14ac:dyDescent="0.2">
      <c r="A1065" t="s">
        <v>573</v>
      </c>
      <c r="B1065" t="s">
        <v>574</v>
      </c>
      <c r="C1065">
        <v>42280</v>
      </c>
      <c r="D1065">
        <v>267605</v>
      </c>
      <c r="E1065">
        <v>2691157</v>
      </c>
      <c r="F1065" t="s">
        <v>35</v>
      </c>
      <c r="G1065" t="s">
        <v>18</v>
      </c>
    </row>
    <row r="1066" spans="1:7" x14ac:dyDescent="0.2">
      <c r="A1066" t="s">
        <v>571</v>
      </c>
      <c r="B1066" t="s">
        <v>572</v>
      </c>
      <c r="C1066">
        <v>41937</v>
      </c>
      <c r="D1066">
        <v>34337</v>
      </c>
      <c r="E1066">
        <v>635094</v>
      </c>
      <c r="F1066" t="s">
        <v>35</v>
      </c>
      <c r="G1066" t="s">
        <v>18</v>
      </c>
    </row>
    <row r="1067" spans="1:7" x14ac:dyDescent="0.2">
      <c r="A1067" t="s">
        <v>577</v>
      </c>
      <c r="B1067" t="s">
        <v>578</v>
      </c>
      <c r="C1067">
        <v>41836.730000000003</v>
      </c>
      <c r="D1067">
        <v>24021.08</v>
      </c>
      <c r="E1067">
        <v>826925.82</v>
      </c>
      <c r="F1067" t="s">
        <v>35</v>
      </c>
      <c r="G1067" t="s">
        <v>18</v>
      </c>
    </row>
    <row r="1068" spans="1:7" x14ac:dyDescent="0.2">
      <c r="A1068" t="s">
        <v>954</v>
      </c>
      <c r="B1068" t="s">
        <v>955</v>
      </c>
      <c r="C1068">
        <v>40737</v>
      </c>
      <c r="D1068">
        <v>23494</v>
      </c>
      <c r="E1068">
        <v>268271</v>
      </c>
      <c r="F1068" t="s">
        <v>35</v>
      </c>
      <c r="G1068" t="s">
        <v>18</v>
      </c>
    </row>
    <row r="1069" spans="1:7" x14ac:dyDescent="0.2">
      <c r="A1069" t="s">
        <v>513</v>
      </c>
      <c r="B1069" t="s">
        <v>514</v>
      </c>
      <c r="C1069">
        <v>39647</v>
      </c>
      <c r="D1069">
        <v>246118</v>
      </c>
      <c r="E1069">
        <v>2585293</v>
      </c>
      <c r="F1069" t="s">
        <v>35</v>
      </c>
      <c r="G1069" t="s">
        <v>18</v>
      </c>
    </row>
    <row r="1070" spans="1:7" x14ac:dyDescent="0.2">
      <c r="A1070" t="s">
        <v>597</v>
      </c>
      <c r="B1070" t="s">
        <v>598</v>
      </c>
      <c r="C1070">
        <v>38206</v>
      </c>
      <c r="D1070">
        <v>27686</v>
      </c>
      <c r="E1070">
        <v>855650</v>
      </c>
      <c r="F1070" t="s">
        <v>35</v>
      </c>
      <c r="G1070" t="s">
        <v>18</v>
      </c>
    </row>
    <row r="1071" spans="1:7" x14ac:dyDescent="0.2">
      <c r="A1071" t="s">
        <v>531</v>
      </c>
      <c r="B1071" t="s">
        <v>532</v>
      </c>
      <c r="C1071">
        <v>37097</v>
      </c>
      <c r="D1071">
        <v>94923</v>
      </c>
      <c r="E1071">
        <v>663932</v>
      </c>
      <c r="F1071" t="s">
        <v>35</v>
      </c>
      <c r="G1071" t="s">
        <v>18</v>
      </c>
    </row>
    <row r="1072" spans="1:7" x14ac:dyDescent="0.2">
      <c r="A1072" t="s">
        <v>591</v>
      </c>
      <c r="B1072" t="s">
        <v>592</v>
      </c>
      <c r="C1072">
        <v>36973</v>
      </c>
      <c r="D1072">
        <v>33535</v>
      </c>
      <c r="E1072">
        <v>923728</v>
      </c>
      <c r="F1072" t="s">
        <v>35</v>
      </c>
      <c r="G1072" t="s">
        <v>18</v>
      </c>
    </row>
    <row r="1073" spans="1:7" x14ac:dyDescent="0.2">
      <c r="A1073" t="s">
        <v>599</v>
      </c>
      <c r="B1073" t="s">
        <v>600</v>
      </c>
      <c r="C1073">
        <v>36774</v>
      </c>
      <c r="D1073">
        <v>83061.100000000006</v>
      </c>
      <c r="E1073">
        <v>1866007.1</v>
      </c>
      <c r="F1073" t="s">
        <v>35</v>
      </c>
      <c r="G1073" t="s">
        <v>18</v>
      </c>
    </row>
    <row r="1074" spans="1:7" x14ac:dyDescent="0.2">
      <c r="A1074" t="s">
        <v>681</v>
      </c>
      <c r="B1074" t="s">
        <v>682</v>
      </c>
      <c r="C1074">
        <v>35786</v>
      </c>
      <c r="D1074">
        <v>67819</v>
      </c>
      <c r="E1074">
        <v>748253</v>
      </c>
      <c r="F1074" t="s">
        <v>35</v>
      </c>
      <c r="G1074" t="s">
        <v>18</v>
      </c>
    </row>
    <row r="1075" spans="1:7" x14ac:dyDescent="0.2">
      <c r="A1075" t="s">
        <v>563</v>
      </c>
      <c r="B1075" t="s">
        <v>564</v>
      </c>
      <c r="C1075">
        <v>35775</v>
      </c>
      <c r="D1075">
        <v>21431</v>
      </c>
      <c r="E1075">
        <v>685359</v>
      </c>
      <c r="F1075" t="s">
        <v>35</v>
      </c>
      <c r="G1075" t="s">
        <v>18</v>
      </c>
    </row>
    <row r="1076" spans="1:7" x14ac:dyDescent="0.2">
      <c r="A1076" t="s">
        <v>589</v>
      </c>
      <c r="B1076" t="s">
        <v>590</v>
      </c>
      <c r="C1076">
        <v>35188</v>
      </c>
      <c r="D1076">
        <v>577300</v>
      </c>
      <c r="E1076">
        <v>4513973</v>
      </c>
      <c r="F1076" t="s">
        <v>35</v>
      </c>
      <c r="G1076" t="s">
        <v>18</v>
      </c>
    </row>
    <row r="1077" spans="1:7" x14ac:dyDescent="0.2">
      <c r="A1077" t="s">
        <v>579</v>
      </c>
      <c r="B1077" t="s">
        <v>580</v>
      </c>
      <c r="C1077">
        <v>34841</v>
      </c>
      <c r="D1077">
        <v>100247</v>
      </c>
      <c r="E1077">
        <v>1230224</v>
      </c>
      <c r="F1077" t="s">
        <v>35</v>
      </c>
      <c r="G1077" t="s">
        <v>18</v>
      </c>
    </row>
    <row r="1078" spans="1:7" x14ac:dyDescent="0.2">
      <c r="A1078" t="s">
        <v>956</v>
      </c>
      <c r="B1078" t="s">
        <v>528</v>
      </c>
      <c r="C1078">
        <v>34513</v>
      </c>
      <c r="D1078">
        <v>20855</v>
      </c>
      <c r="E1078">
        <v>639839</v>
      </c>
      <c r="F1078" t="s">
        <v>35</v>
      </c>
      <c r="G1078" t="s">
        <v>18</v>
      </c>
    </row>
    <row r="1079" spans="1:7" x14ac:dyDescent="0.2">
      <c r="A1079" t="s">
        <v>583</v>
      </c>
      <c r="B1079" t="s">
        <v>584</v>
      </c>
      <c r="C1079">
        <v>34214</v>
      </c>
      <c r="D1079">
        <v>233379</v>
      </c>
      <c r="E1079">
        <v>1675958</v>
      </c>
      <c r="F1079" t="s">
        <v>35</v>
      </c>
      <c r="G1079" t="s">
        <v>18</v>
      </c>
    </row>
    <row r="1080" spans="1:7" x14ac:dyDescent="0.2">
      <c r="A1080" t="s">
        <v>601</v>
      </c>
      <c r="B1080" t="s">
        <v>602</v>
      </c>
      <c r="C1080">
        <v>33487</v>
      </c>
      <c r="D1080">
        <v>33377</v>
      </c>
      <c r="E1080">
        <v>658330</v>
      </c>
      <c r="F1080" t="s">
        <v>35</v>
      </c>
      <c r="G1080" t="s">
        <v>18</v>
      </c>
    </row>
    <row r="1081" spans="1:7" x14ac:dyDescent="0.2">
      <c r="A1081" t="s">
        <v>957</v>
      </c>
      <c r="B1081" t="s">
        <v>958</v>
      </c>
      <c r="C1081">
        <v>32754</v>
      </c>
      <c r="D1081">
        <v>177238</v>
      </c>
      <c r="E1081">
        <v>1468005</v>
      </c>
      <c r="F1081" t="s">
        <v>35</v>
      </c>
      <c r="G1081" t="s">
        <v>18</v>
      </c>
    </row>
    <row r="1082" spans="1:7" x14ac:dyDescent="0.2">
      <c r="A1082" t="s">
        <v>611</v>
      </c>
      <c r="B1082" t="s">
        <v>612</v>
      </c>
      <c r="C1082">
        <v>31422.07</v>
      </c>
      <c r="D1082">
        <v>677663.56</v>
      </c>
      <c r="E1082">
        <v>4310553.9000000004</v>
      </c>
      <c r="F1082" t="s">
        <v>35</v>
      </c>
      <c r="G1082" t="s">
        <v>18</v>
      </c>
    </row>
    <row r="1083" spans="1:7" x14ac:dyDescent="0.2">
      <c r="A1083" t="s">
        <v>641</v>
      </c>
      <c r="B1083" t="s">
        <v>642</v>
      </c>
      <c r="C1083">
        <v>30726</v>
      </c>
      <c r="D1083">
        <v>80987</v>
      </c>
      <c r="E1083">
        <v>957463</v>
      </c>
      <c r="F1083" t="s">
        <v>35</v>
      </c>
      <c r="G1083" t="s">
        <v>18</v>
      </c>
    </row>
    <row r="1084" spans="1:7" x14ac:dyDescent="0.2">
      <c r="A1084" t="s">
        <v>959</v>
      </c>
      <c r="B1084" t="s">
        <v>652</v>
      </c>
      <c r="C1084">
        <v>30311</v>
      </c>
      <c r="D1084">
        <v>126664</v>
      </c>
      <c r="E1084">
        <v>913371</v>
      </c>
      <c r="F1084" t="s">
        <v>35</v>
      </c>
      <c r="G1084" t="s">
        <v>18</v>
      </c>
    </row>
    <row r="1085" spans="1:7" x14ac:dyDescent="0.2">
      <c r="A1085" t="s">
        <v>537</v>
      </c>
      <c r="B1085" t="s">
        <v>538</v>
      </c>
      <c r="C1085">
        <v>30195.96</v>
      </c>
      <c r="D1085">
        <v>50327.37</v>
      </c>
      <c r="E1085">
        <v>644900</v>
      </c>
      <c r="F1085" t="s">
        <v>35</v>
      </c>
      <c r="G1085" t="s">
        <v>18</v>
      </c>
    </row>
    <row r="1086" spans="1:7" x14ac:dyDescent="0.2">
      <c r="A1086" t="s">
        <v>607</v>
      </c>
      <c r="B1086" t="s">
        <v>608</v>
      </c>
      <c r="C1086">
        <v>30155</v>
      </c>
      <c r="D1086">
        <v>51259</v>
      </c>
      <c r="E1086">
        <v>268985</v>
      </c>
      <c r="F1086" t="s">
        <v>35</v>
      </c>
      <c r="G1086" t="s">
        <v>18</v>
      </c>
    </row>
    <row r="1087" spans="1:7" x14ac:dyDescent="0.2">
      <c r="A1087" t="s">
        <v>631</v>
      </c>
      <c r="B1087" t="s">
        <v>632</v>
      </c>
      <c r="C1087">
        <v>30128</v>
      </c>
      <c r="D1087">
        <v>49010</v>
      </c>
      <c r="E1087">
        <v>679512</v>
      </c>
      <c r="F1087" t="s">
        <v>35</v>
      </c>
      <c r="G1087" t="s">
        <v>18</v>
      </c>
    </row>
    <row r="1088" spans="1:7" x14ac:dyDescent="0.2">
      <c r="A1088" t="s">
        <v>619</v>
      </c>
      <c r="B1088" t="s">
        <v>620</v>
      </c>
      <c r="C1088">
        <v>29945</v>
      </c>
      <c r="D1088">
        <v>31331</v>
      </c>
      <c r="E1088">
        <v>591381</v>
      </c>
      <c r="F1088" t="s">
        <v>35</v>
      </c>
      <c r="G1088" t="s">
        <v>18</v>
      </c>
    </row>
    <row r="1089" spans="1:7" x14ac:dyDescent="0.2">
      <c r="A1089" t="s">
        <v>603</v>
      </c>
      <c r="B1089" t="s">
        <v>604</v>
      </c>
      <c r="C1089">
        <v>29540</v>
      </c>
      <c r="D1089">
        <v>44016</v>
      </c>
      <c r="E1089">
        <v>1214235</v>
      </c>
      <c r="F1089" t="s">
        <v>35</v>
      </c>
      <c r="G1089" t="s">
        <v>18</v>
      </c>
    </row>
    <row r="1090" spans="1:7" x14ac:dyDescent="0.2">
      <c r="A1090" t="s">
        <v>617</v>
      </c>
      <c r="B1090" t="s">
        <v>618</v>
      </c>
      <c r="C1090">
        <v>28785</v>
      </c>
      <c r="D1090">
        <v>44081</v>
      </c>
      <c r="E1090">
        <v>833117</v>
      </c>
      <c r="F1090" t="s">
        <v>35</v>
      </c>
      <c r="G1090" t="s">
        <v>18</v>
      </c>
    </row>
    <row r="1091" spans="1:7" x14ac:dyDescent="0.2">
      <c r="A1091" t="s">
        <v>723</v>
      </c>
      <c r="B1091" t="s">
        <v>724</v>
      </c>
      <c r="C1091">
        <v>28774</v>
      </c>
      <c r="D1091">
        <v>542036</v>
      </c>
      <c r="E1091">
        <v>3359575</v>
      </c>
      <c r="F1091" t="s">
        <v>35</v>
      </c>
      <c r="G1091" t="s">
        <v>18</v>
      </c>
    </row>
    <row r="1092" spans="1:7" x14ac:dyDescent="0.2">
      <c r="A1092" t="s">
        <v>960</v>
      </c>
      <c r="B1092" t="s">
        <v>961</v>
      </c>
      <c r="C1092">
        <v>28177</v>
      </c>
      <c r="D1092">
        <v>21987</v>
      </c>
      <c r="E1092">
        <v>374363</v>
      </c>
      <c r="F1092" t="s">
        <v>35</v>
      </c>
      <c r="G1092" t="s">
        <v>18</v>
      </c>
    </row>
    <row r="1093" spans="1:7" x14ac:dyDescent="0.2">
      <c r="A1093" t="s">
        <v>613</v>
      </c>
      <c r="B1093" t="s">
        <v>614</v>
      </c>
      <c r="C1093">
        <v>28096</v>
      </c>
      <c r="D1093">
        <v>76312</v>
      </c>
      <c r="E1093">
        <v>1314931</v>
      </c>
      <c r="F1093" t="s">
        <v>35</v>
      </c>
      <c r="G1093" t="s">
        <v>18</v>
      </c>
    </row>
    <row r="1094" spans="1:7" x14ac:dyDescent="0.2">
      <c r="A1094" t="s">
        <v>621</v>
      </c>
      <c r="B1094" t="s">
        <v>622</v>
      </c>
      <c r="C1094">
        <v>27077</v>
      </c>
      <c r="D1094">
        <v>28540</v>
      </c>
      <c r="E1094">
        <v>637482</v>
      </c>
      <c r="F1094" t="s">
        <v>35</v>
      </c>
      <c r="G1094" t="s">
        <v>18</v>
      </c>
    </row>
    <row r="1095" spans="1:7" x14ac:dyDescent="0.2">
      <c r="A1095" t="s">
        <v>962</v>
      </c>
      <c r="B1095" t="s">
        <v>963</v>
      </c>
      <c r="C1095">
        <v>26808</v>
      </c>
      <c r="D1095">
        <v>40046</v>
      </c>
      <c r="E1095">
        <v>696642</v>
      </c>
      <c r="F1095" t="s">
        <v>35</v>
      </c>
      <c r="G1095" t="s">
        <v>18</v>
      </c>
    </row>
    <row r="1096" spans="1:7" x14ac:dyDescent="0.2">
      <c r="A1096" t="s">
        <v>629</v>
      </c>
      <c r="B1096" t="s">
        <v>630</v>
      </c>
      <c r="C1096">
        <v>26757</v>
      </c>
      <c r="D1096">
        <v>460234</v>
      </c>
      <c r="E1096">
        <v>2740873</v>
      </c>
      <c r="F1096" t="s">
        <v>35</v>
      </c>
      <c r="G1096" t="s">
        <v>18</v>
      </c>
    </row>
    <row r="1097" spans="1:7" x14ac:dyDescent="0.2">
      <c r="A1097" t="s">
        <v>663</v>
      </c>
      <c r="B1097" t="s">
        <v>664</v>
      </c>
      <c r="C1097">
        <v>26291</v>
      </c>
      <c r="D1097">
        <v>888240</v>
      </c>
      <c r="E1097">
        <v>4551707</v>
      </c>
      <c r="F1097" t="s">
        <v>35</v>
      </c>
      <c r="G1097" t="s">
        <v>18</v>
      </c>
    </row>
    <row r="1098" spans="1:7" x14ac:dyDescent="0.2">
      <c r="A1098" t="s">
        <v>625</v>
      </c>
      <c r="B1098" t="s">
        <v>626</v>
      </c>
      <c r="C1098">
        <v>25969.11</v>
      </c>
      <c r="D1098">
        <v>43408.68</v>
      </c>
      <c r="E1098">
        <v>803278.18</v>
      </c>
      <c r="F1098" t="s">
        <v>35</v>
      </c>
      <c r="G1098" t="s">
        <v>18</v>
      </c>
    </row>
    <row r="1099" spans="1:7" x14ac:dyDescent="0.2">
      <c r="A1099" t="s">
        <v>659</v>
      </c>
      <c r="B1099" t="s">
        <v>660</v>
      </c>
      <c r="C1099">
        <v>25463</v>
      </c>
      <c r="D1099">
        <v>157528</v>
      </c>
      <c r="E1099">
        <v>2739341</v>
      </c>
      <c r="F1099" t="s">
        <v>35</v>
      </c>
      <c r="G1099" t="s">
        <v>18</v>
      </c>
    </row>
    <row r="1100" spans="1:7" x14ac:dyDescent="0.2">
      <c r="A1100" t="s">
        <v>643</v>
      </c>
      <c r="B1100" t="s">
        <v>644</v>
      </c>
      <c r="C1100">
        <v>25315</v>
      </c>
      <c r="D1100">
        <v>791644</v>
      </c>
      <c r="E1100">
        <v>4007463</v>
      </c>
      <c r="F1100" t="s">
        <v>35</v>
      </c>
      <c r="G1100" t="s">
        <v>18</v>
      </c>
    </row>
    <row r="1101" spans="1:7" x14ac:dyDescent="0.2">
      <c r="A1101" t="s">
        <v>605</v>
      </c>
      <c r="B1101" t="s">
        <v>606</v>
      </c>
      <c r="C1101">
        <v>24734</v>
      </c>
      <c r="D1101">
        <v>100019</v>
      </c>
      <c r="E1101">
        <v>945247</v>
      </c>
      <c r="F1101" t="s">
        <v>35</v>
      </c>
      <c r="G1101" t="s">
        <v>18</v>
      </c>
    </row>
    <row r="1102" spans="1:7" x14ac:dyDescent="0.2">
      <c r="A1102" t="s">
        <v>627</v>
      </c>
      <c r="B1102" t="s">
        <v>628</v>
      </c>
      <c r="C1102">
        <v>24654</v>
      </c>
      <c r="D1102">
        <v>59878</v>
      </c>
      <c r="E1102">
        <v>780045</v>
      </c>
      <c r="F1102" t="s">
        <v>35</v>
      </c>
      <c r="G1102" t="s">
        <v>18</v>
      </c>
    </row>
    <row r="1103" spans="1:7" x14ac:dyDescent="0.2">
      <c r="A1103" t="s">
        <v>609</v>
      </c>
      <c r="B1103" t="s">
        <v>610</v>
      </c>
      <c r="C1103">
        <v>23499</v>
      </c>
      <c r="D1103">
        <v>50239</v>
      </c>
      <c r="E1103">
        <v>2509573</v>
      </c>
      <c r="F1103" t="s">
        <v>35</v>
      </c>
      <c r="G1103" t="s">
        <v>18</v>
      </c>
    </row>
    <row r="1104" spans="1:7" x14ac:dyDescent="0.2">
      <c r="A1104" t="s">
        <v>964</v>
      </c>
      <c r="B1104" t="s">
        <v>965</v>
      </c>
      <c r="C1104">
        <v>23276</v>
      </c>
      <c r="D1104">
        <v>27873</v>
      </c>
      <c r="E1104">
        <v>536454</v>
      </c>
      <c r="F1104" t="s">
        <v>35</v>
      </c>
      <c r="G1104" t="s">
        <v>18</v>
      </c>
    </row>
    <row r="1105" spans="1:7" x14ac:dyDescent="0.2">
      <c r="A1105" t="s">
        <v>623</v>
      </c>
      <c r="B1105" t="s">
        <v>624</v>
      </c>
      <c r="C1105">
        <v>23079</v>
      </c>
      <c r="D1105">
        <v>54841</v>
      </c>
      <c r="E1105">
        <v>715205</v>
      </c>
      <c r="F1105" t="s">
        <v>35</v>
      </c>
      <c r="G1105" t="s">
        <v>18</v>
      </c>
    </row>
    <row r="1106" spans="1:7" x14ac:dyDescent="0.2">
      <c r="A1106" t="s">
        <v>657</v>
      </c>
      <c r="B1106" t="s">
        <v>658</v>
      </c>
      <c r="C1106">
        <v>22501</v>
      </c>
      <c r="D1106">
        <v>55727</v>
      </c>
      <c r="E1106">
        <v>400372</v>
      </c>
      <c r="F1106" t="s">
        <v>35</v>
      </c>
      <c r="G1106" t="s">
        <v>18</v>
      </c>
    </row>
    <row r="1107" spans="1:7" x14ac:dyDescent="0.2">
      <c r="A1107" t="s">
        <v>966</v>
      </c>
      <c r="B1107" t="s">
        <v>900</v>
      </c>
      <c r="C1107">
        <v>21126</v>
      </c>
      <c r="D1107">
        <v>1364556</v>
      </c>
      <c r="E1107">
        <v>7595475</v>
      </c>
      <c r="F1107" t="s">
        <v>35</v>
      </c>
      <c r="G1107" t="s">
        <v>18</v>
      </c>
    </row>
    <row r="1108" spans="1:7" x14ac:dyDescent="0.2">
      <c r="A1108" t="s">
        <v>639</v>
      </c>
      <c r="B1108" t="s">
        <v>640</v>
      </c>
      <c r="C1108">
        <v>20242</v>
      </c>
      <c r="D1108">
        <v>69373</v>
      </c>
      <c r="E1108">
        <v>782524</v>
      </c>
      <c r="F1108" t="s">
        <v>35</v>
      </c>
      <c r="G1108" t="s">
        <v>18</v>
      </c>
    </row>
    <row r="1109" spans="1:7" x14ac:dyDescent="0.2">
      <c r="A1109" t="s">
        <v>647</v>
      </c>
      <c r="B1109" t="s">
        <v>648</v>
      </c>
      <c r="C1109">
        <v>20004</v>
      </c>
      <c r="D1109">
        <v>31403</v>
      </c>
      <c r="E1109">
        <v>515644</v>
      </c>
      <c r="F1109" t="s">
        <v>35</v>
      </c>
      <c r="G1109" t="s">
        <v>18</v>
      </c>
    </row>
    <row r="1110" spans="1:7" x14ac:dyDescent="0.2">
      <c r="A1110" t="s">
        <v>575</v>
      </c>
      <c r="B1110" t="s">
        <v>576</v>
      </c>
      <c r="C1110">
        <v>19218</v>
      </c>
      <c r="D1110">
        <v>133935</v>
      </c>
      <c r="E1110">
        <v>1097424</v>
      </c>
      <c r="F1110" t="s">
        <v>35</v>
      </c>
      <c r="G1110" t="s">
        <v>18</v>
      </c>
    </row>
    <row r="1111" spans="1:7" x14ac:dyDescent="0.2">
      <c r="A1111" t="s">
        <v>898</v>
      </c>
      <c r="B1111" t="s">
        <v>650</v>
      </c>
      <c r="C1111">
        <v>19081</v>
      </c>
      <c r="D1111">
        <v>83801</v>
      </c>
      <c r="E1111">
        <v>1015923</v>
      </c>
      <c r="F1111" t="s">
        <v>35</v>
      </c>
      <c r="G1111" t="s">
        <v>18</v>
      </c>
    </row>
    <row r="1112" spans="1:7" x14ac:dyDescent="0.2">
      <c r="A1112" t="s">
        <v>635</v>
      </c>
      <c r="B1112" t="s">
        <v>636</v>
      </c>
      <c r="C1112">
        <v>18938</v>
      </c>
      <c r="D1112">
        <v>56723</v>
      </c>
      <c r="E1112">
        <v>587186</v>
      </c>
      <c r="F1112" t="s">
        <v>35</v>
      </c>
      <c r="G1112" t="s">
        <v>18</v>
      </c>
    </row>
    <row r="1113" spans="1:7" x14ac:dyDescent="0.2">
      <c r="A1113" t="s">
        <v>967</v>
      </c>
      <c r="B1113" t="s">
        <v>968</v>
      </c>
      <c r="C1113">
        <v>18237</v>
      </c>
      <c r="D1113">
        <v>33936</v>
      </c>
      <c r="E1113">
        <v>467364</v>
      </c>
      <c r="F1113" t="s">
        <v>35</v>
      </c>
      <c r="G1113" t="s">
        <v>18</v>
      </c>
    </row>
    <row r="1114" spans="1:7" x14ac:dyDescent="0.2">
      <c r="A1114" t="s">
        <v>637</v>
      </c>
      <c r="B1114" t="s">
        <v>638</v>
      </c>
      <c r="C1114">
        <v>18062</v>
      </c>
      <c r="D1114">
        <v>89642</v>
      </c>
      <c r="E1114">
        <v>812629</v>
      </c>
      <c r="F1114" t="s">
        <v>35</v>
      </c>
      <c r="G1114" t="s">
        <v>18</v>
      </c>
    </row>
    <row r="1115" spans="1:7" x14ac:dyDescent="0.2">
      <c r="A1115" t="s">
        <v>581</v>
      </c>
      <c r="B1115" t="s">
        <v>582</v>
      </c>
      <c r="C1115">
        <v>17999</v>
      </c>
      <c r="D1115">
        <v>50860</v>
      </c>
      <c r="E1115">
        <v>585896</v>
      </c>
      <c r="F1115" t="s">
        <v>35</v>
      </c>
      <c r="G1115" t="s">
        <v>18</v>
      </c>
    </row>
    <row r="1116" spans="1:7" x14ac:dyDescent="0.2">
      <c r="A1116" t="s">
        <v>653</v>
      </c>
      <c r="B1116" t="s">
        <v>654</v>
      </c>
      <c r="C1116">
        <v>17624</v>
      </c>
      <c r="D1116">
        <v>86620</v>
      </c>
      <c r="E1116">
        <v>759978</v>
      </c>
      <c r="F1116" t="s">
        <v>35</v>
      </c>
      <c r="G1116" t="s">
        <v>18</v>
      </c>
    </row>
    <row r="1117" spans="1:7" x14ac:dyDescent="0.2">
      <c r="A1117" t="s">
        <v>671</v>
      </c>
      <c r="B1117" t="s">
        <v>672</v>
      </c>
      <c r="C1117">
        <v>17274</v>
      </c>
      <c r="D1117">
        <v>73156</v>
      </c>
      <c r="E1117">
        <v>602522</v>
      </c>
      <c r="F1117" t="s">
        <v>35</v>
      </c>
      <c r="G1117" t="s">
        <v>18</v>
      </c>
    </row>
    <row r="1118" spans="1:7" x14ac:dyDescent="0.2">
      <c r="A1118" t="s">
        <v>661</v>
      </c>
      <c r="B1118" t="s">
        <v>662</v>
      </c>
      <c r="C1118">
        <v>16291</v>
      </c>
      <c r="D1118">
        <v>41693</v>
      </c>
      <c r="E1118">
        <v>660294</v>
      </c>
      <c r="F1118" t="s">
        <v>35</v>
      </c>
      <c r="G1118" t="s">
        <v>18</v>
      </c>
    </row>
    <row r="1119" spans="1:7" x14ac:dyDescent="0.2">
      <c r="A1119" t="s">
        <v>679</v>
      </c>
      <c r="B1119" t="s">
        <v>680</v>
      </c>
      <c r="C1119">
        <v>16008</v>
      </c>
      <c r="D1119">
        <v>127591</v>
      </c>
      <c r="E1119">
        <v>1012640</v>
      </c>
      <c r="F1119" t="s">
        <v>35</v>
      </c>
      <c r="G1119" t="s">
        <v>18</v>
      </c>
    </row>
    <row r="1120" spans="1:7" x14ac:dyDescent="0.2">
      <c r="A1120" t="s">
        <v>969</v>
      </c>
      <c r="B1120" t="s">
        <v>970</v>
      </c>
      <c r="C1120">
        <v>15822</v>
      </c>
      <c r="D1120">
        <v>599102</v>
      </c>
      <c r="E1120">
        <v>3400416</v>
      </c>
      <c r="F1120" t="s">
        <v>35</v>
      </c>
      <c r="G1120" t="s">
        <v>18</v>
      </c>
    </row>
    <row r="1121" spans="1:7" x14ac:dyDescent="0.2">
      <c r="A1121" t="s">
        <v>645</v>
      </c>
      <c r="B1121" t="s">
        <v>646</v>
      </c>
      <c r="C1121">
        <v>15603</v>
      </c>
      <c r="D1121">
        <v>56498</v>
      </c>
      <c r="E1121">
        <v>564030</v>
      </c>
      <c r="F1121" t="s">
        <v>35</v>
      </c>
      <c r="G1121" t="s">
        <v>18</v>
      </c>
    </row>
    <row r="1122" spans="1:7" x14ac:dyDescent="0.2">
      <c r="A1122" t="s">
        <v>675</v>
      </c>
      <c r="B1122" t="s">
        <v>676</v>
      </c>
      <c r="C1122">
        <v>15598</v>
      </c>
      <c r="D1122">
        <v>69715</v>
      </c>
      <c r="E1122">
        <v>616814</v>
      </c>
      <c r="F1122" t="s">
        <v>35</v>
      </c>
      <c r="G1122" t="s">
        <v>18</v>
      </c>
    </row>
    <row r="1123" spans="1:7" x14ac:dyDescent="0.2">
      <c r="A1123" t="s">
        <v>695</v>
      </c>
      <c r="B1123" t="s">
        <v>696</v>
      </c>
      <c r="C1123">
        <v>14557</v>
      </c>
      <c r="D1123">
        <v>73650</v>
      </c>
      <c r="E1123">
        <v>693185</v>
      </c>
      <c r="F1123" t="s">
        <v>35</v>
      </c>
      <c r="G1123" t="s">
        <v>18</v>
      </c>
    </row>
    <row r="1124" spans="1:7" x14ac:dyDescent="0.2">
      <c r="A1124" t="s">
        <v>677</v>
      </c>
      <c r="B1124" t="s">
        <v>678</v>
      </c>
      <c r="C1124">
        <v>13771</v>
      </c>
      <c r="D1124">
        <v>91455</v>
      </c>
      <c r="E1124">
        <v>707245</v>
      </c>
      <c r="F1124" t="s">
        <v>35</v>
      </c>
      <c r="G1124" t="s">
        <v>18</v>
      </c>
    </row>
    <row r="1125" spans="1:7" x14ac:dyDescent="0.2">
      <c r="A1125" t="s">
        <v>705</v>
      </c>
      <c r="B1125" t="s">
        <v>706</v>
      </c>
      <c r="C1125">
        <v>13734</v>
      </c>
      <c r="D1125">
        <v>93239</v>
      </c>
      <c r="E1125">
        <v>706318</v>
      </c>
      <c r="F1125" t="s">
        <v>35</v>
      </c>
      <c r="G1125" t="s">
        <v>18</v>
      </c>
    </row>
    <row r="1126" spans="1:7" x14ac:dyDescent="0.2">
      <c r="A1126" t="s">
        <v>713</v>
      </c>
      <c r="B1126" t="s">
        <v>714</v>
      </c>
      <c r="C1126">
        <v>13690</v>
      </c>
      <c r="D1126">
        <v>99914</v>
      </c>
      <c r="E1126">
        <v>829272</v>
      </c>
      <c r="F1126" t="s">
        <v>35</v>
      </c>
      <c r="G1126" t="s">
        <v>18</v>
      </c>
    </row>
    <row r="1127" spans="1:7" x14ac:dyDescent="0.2">
      <c r="A1127" t="s">
        <v>701</v>
      </c>
      <c r="B1127" t="s">
        <v>702</v>
      </c>
      <c r="C1127">
        <v>13661</v>
      </c>
      <c r="D1127">
        <v>55807</v>
      </c>
      <c r="E1127">
        <v>454472</v>
      </c>
      <c r="F1127" t="s">
        <v>35</v>
      </c>
      <c r="G1127" t="s">
        <v>18</v>
      </c>
    </row>
    <row r="1128" spans="1:7" x14ac:dyDescent="0.2">
      <c r="A1128" t="s">
        <v>655</v>
      </c>
      <c r="B1128" t="s">
        <v>656</v>
      </c>
      <c r="C1128">
        <v>13049</v>
      </c>
      <c r="D1128">
        <v>62236</v>
      </c>
      <c r="E1128">
        <v>534099</v>
      </c>
      <c r="F1128" t="s">
        <v>35</v>
      </c>
      <c r="G1128" t="s">
        <v>18</v>
      </c>
    </row>
    <row r="1129" spans="1:7" x14ac:dyDescent="0.2">
      <c r="A1129" t="s">
        <v>673</v>
      </c>
      <c r="B1129" t="s">
        <v>674</v>
      </c>
      <c r="C1129">
        <v>12851</v>
      </c>
      <c r="D1129">
        <v>166510</v>
      </c>
      <c r="E1129">
        <v>1120458</v>
      </c>
      <c r="F1129" t="s">
        <v>35</v>
      </c>
      <c r="G1129" t="s">
        <v>18</v>
      </c>
    </row>
    <row r="1130" spans="1:7" x14ac:dyDescent="0.2">
      <c r="A1130" t="s">
        <v>689</v>
      </c>
      <c r="B1130" t="s">
        <v>690</v>
      </c>
      <c r="C1130">
        <v>12411</v>
      </c>
      <c r="D1130">
        <v>46087</v>
      </c>
      <c r="E1130">
        <v>514632</v>
      </c>
      <c r="F1130" t="s">
        <v>35</v>
      </c>
      <c r="G1130" t="s">
        <v>18</v>
      </c>
    </row>
    <row r="1131" spans="1:7" x14ac:dyDescent="0.2">
      <c r="A1131" t="s">
        <v>693</v>
      </c>
      <c r="B1131" t="s">
        <v>694</v>
      </c>
      <c r="C1131">
        <v>11678</v>
      </c>
      <c r="D1131">
        <v>52689</v>
      </c>
      <c r="E1131">
        <v>455383</v>
      </c>
      <c r="F1131" t="s">
        <v>35</v>
      </c>
      <c r="G1131" t="s">
        <v>18</v>
      </c>
    </row>
    <row r="1132" spans="1:7" x14ac:dyDescent="0.2">
      <c r="A1132" t="s">
        <v>687</v>
      </c>
      <c r="B1132" t="s">
        <v>688</v>
      </c>
      <c r="C1132">
        <v>11373</v>
      </c>
      <c r="D1132">
        <v>131222</v>
      </c>
      <c r="E1132">
        <v>1062444</v>
      </c>
      <c r="F1132" t="s">
        <v>35</v>
      </c>
      <c r="G1132" t="s">
        <v>18</v>
      </c>
    </row>
    <row r="1133" spans="1:7" x14ac:dyDescent="0.2">
      <c r="A1133" t="s">
        <v>717</v>
      </c>
      <c r="B1133" t="s">
        <v>718</v>
      </c>
      <c r="C1133">
        <v>11276</v>
      </c>
      <c r="D1133">
        <v>101107</v>
      </c>
      <c r="E1133">
        <v>769559</v>
      </c>
      <c r="F1133" t="s">
        <v>35</v>
      </c>
      <c r="G1133" t="s">
        <v>18</v>
      </c>
    </row>
    <row r="1134" spans="1:7" x14ac:dyDescent="0.2">
      <c r="A1134" t="s">
        <v>685</v>
      </c>
      <c r="B1134" t="s">
        <v>686</v>
      </c>
      <c r="C1134">
        <v>11242</v>
      </c>
      <c r="D1134">
        <v>43471</v>
      </c>
      <c r="E1134">
        <v>449852</v>
      </c>
      <c r="F1134" t="s">
        <v>35</v>
      </c>
      <c r="G1134" t="s">
        <v>18</v>
      </c>
    </row>
    <row r="1135" spans="1:7" x14ac:dyDescent="0.2">
      <c r="A1135" t="s">
        <v>703</v>
      </c>
      <c r="B1135" t="s">
        <v>704</v>
      </c>
      <c r="C1135">
        <v>11224</v>
      </c>
      <c r="D1135">
        <v>55332</v>
      </c>
      <c r="E1135">
        <v>607226</v>
      </c>
      <c r="F1135" t="s">
        <v>35</v>
      </c>
      <c r="G1135" t="s">
        <v>18</v>
      </c>
    </row>
    <row r="1136" spans="1:7" x14ac:dyDescent="0.2">
      <c r="A1136" t="s">
        <v>837</v>
      </c>
      <c r="B1136" t="s">
        <v>838</v>
      </c>
      <c r="C1136">
        <v>11215</v>
      </c>
      <c r="D1136">
        <v>75864</v>
      </c>
      <c r="E1136">
        <v>583920</v>
      </c>
      <c r="F1136" t="s">
        <v>35</v>
      </c>
      <c r="G1136" t="s">
        <v>18</v>
      </c>
    </row>
    <row r="1137" spans="1:7" x14ac:dyDescent="0.2">
      <c r="A1137" t="s">
        <v>719</v>
      </c>
      <c r="B1137" t="s">
        <v>720</v>
      </c>
      <c r="C1137">
        <v>11159</v>
      </c>
      <c r="D1137">
        <v>566236</v>
      </c>
      <c r="E1137">
        <v>3218784</v>
      </c>
      <c r="F1137" t="s">
        <v>35</v>
      </c>
      <c r="G1137" t="s">
        <v>18</v>
      </c>
    </row>
    <row r="1138" spans="1:7" x14ac:dyDescent="0.2">
      <c r="A1138" t="s">
        <v>697</v>
      </c>
      <c r="B1138" t="s">
        <v>698</v>
      </c>
      <c r="C1138">
        <v>10993</v>
      </c>
      <c r="D1138">
        <v>94987</v>
      </c>
      <c r="E1138">
        <v>693992</v>
      </c>
      <c r="F1138" t="s">
        <v>35</v>
      </c>
      <c r="G1138" t="s">
        <v>18</v>
      </c>
    </row>
    <row r="1139" spans="1:7" x14ac:dyDescent="0.2">
      <c r="A1139" t="s">
        <v>741</v>
      </c>
      <c r="B1139" t="s">
        <v>742</v>
      </c>
      <c r="C1139">
        <v>10498</v>
      </c>
      <c r="D1139">
        <v>78543</v>
      </c>
      <c r="E1139">
        <v>690242</v>
      </c>
      <c r="F1139" t="s">
        <v>35</v>
      </c>
      <c r="G1139" t="s">
        <v>18</v>
      </c>
    </row>
    <row r="1140" spans="1:7" x14ac:dyDescent="0.2">
      <c r="A1140" t="s">
        <v>735</v>
      </c>
      <c r="B1140" t="s">
        <v>736</v>
      </c>
      <c r="C1140">
        <v>9959</v>
      </c>
      <c r="D1140">
        <v>40238</v>
      </c>
      <c r="E1140">
        <v>349363</v>
      </c>
      <c r="F1140" t="s">
        <v>35</v>
      </c>
      <c r="G1140" t="s">
        <v>18</v>
      </c>
    </row>
    <row r="1141" spans="1:7" x14ac:dyDescent="0.2">
      <c r="A1141" t="s">
        <v>721</v>
      </c>
      <c r="B1141" t="s">
        <v>722</v>
      </c>
      <c r="C1141">
        <v>9679</v>
      </c>
      <c r="D1141">
        <v>52776</v>
      </c>
      <c r="E1141">
        <v>455804</v>
      </c>
      <c r="F1141" t="s">
        <v>35</v>
      </c>
      <c r="G1141" t="s">
        <v>18</v>
      </c>
    </row>
    <row r="1142" spans="1:7" x14ac:dyDescent="0.2">
      <c r="A1142" t="s">
        <v>715</v>
      </c>
      <c r="B1142" t="s">
        <v>716</v>
      </c>
      <c r="C1142">
        <v>9470</v>
      </c>
      <c r="D1142">
        <v>61890</v>
      </c>
      <c r="E1142">
        <v>555314</v>
      </c>
      <c r="F1142" t="s">
        <v>35</v>
      </c>
      <c r="G1142" t="s">
        <v>18</v>
      </c>
    </row>
    <row r="1143" spans="1:7" x14ac:dyDescent="0.2">
      <c r="A1143" t="s">
        <v>729</v>
      </c>
      <c r="B1143" t="s">
        <v>730</v>
      </c>
      <c r="C1143">
        <v>9433</v>
      </c>
      <c r="D1143">
        <v>97645</v>
      </c>
      <c r="E1143">
        <v>686844</v>
      </c>
      <c r="F1143" t="s">
        <v>35</v>
      </c>
      <c r="G1143" t="s">
        <v>18</v>
      </c>
    </row>
    <row r="1144" spans="1:7" x14ac:dyDescent="0.2">
      <c r="A1144" t="s">
        <v>711</v>
      </c>
      <c r="B1144" t="s">
        <v>712</v>
      </c>
      <c r="C1144">
        <v>9432.9599999999991</v>
      </c>
      <c r="D1144">
        <v>174599.84</v>
      </c>
      <c r="E1144">
        <v>1142198.98</v>
      </c>
      <c r="F1144" t="s">
        <v>35</v>
      </c>
      <c r="G1144" t="s">
        <v>18</v>
      </c>
    </row>
    <row r="1145" spans="1:7" x14ac:dyDescent="0.2">
      <c r="A1145" t="s">
        <v>733</v>
      </c>
      <c r="B1145" t="s">
        <v>734</v>
      </c>
      <c r="C1145">
        <v>9366</v>
      </c>
      <c r="D1145">
        <v>69854</v>
      </c>
      <c r="E1145">
        <v>539450</v>
      </c>
      <c r="F1145" t="s">
        <v>35</v>
      </c>
      <c r="G1145" t="s">
        <v>18</v>
      </c>
    </row>
    <row r="1146" spans="1:7" x14ac:dyDescent="0.2">
      <c r="A1146" t="s">
        <v>699</v>
      </c>
      <c r="B1146" t="s">
        <v>700</v>
      </c>
      <c r="C1146">
        <v>9016</v>
      </c>
      <c r="D1146">
        <v>46910</v>
      </c>
      <c r="E1146">
        <v>353115</v>
      </c>
      <c r="F1146" t="s">
        <v>35</v>
      </c>
      <c r="G1146" t="s">
        <v>18</v>
      </c>
    </row>
    <row r="1147" spans="1:7" x14ac:dyDescent="0.2">
      <c r="A1147" t="s">
        <v>731</v>
      </c>
      <c r="B1147" t="s">
        <v>732</v>
      </c>
      <c r="C1147">
        <v>8770</v>
      </c>
      <c r="D1147">
        <v>66608</v>
      </c>
      <c r="E1147">
        <v>478269</v>
      </c>
      <c r="F1147" t="s">
        <v>35</v>
      </c>
      <c r="G1147" t="s">
        <v>18</v>
      </c>
    </row>
    <row r="1148" spans="1:7" x14ac:dyDescent="0.2">
      <c r="A1148" t="s">
        <v>749</v>
      </c>
      <c r="B1148" t="s">
        <v>750</v>
      </c>
      <c r="C1148">
        <v>8633</v>
      </c>
      <c r="D1148">
        <v>144654</v>
      </c>
      <c r="E1148">
        <v>1407856</v>
      </c>
      <c r="F1148" t="s">
        <v>35</v>
      </c>
      <c r="G1148" t="s">
        <v>18</v>
      </c>
    </row>
    <row r="1149" spans="1:7" x14ac:dyDescent="0.2">
      <c r="A1149" t="s">
        <v>737</v>
      </c>
      <c r="B1149" t="s">
        <v>738</v>
      </c>
      <c r="C1149">
        <v>8587</v>
      </c>
      <c r="D1149">
        <v>86482</v>
      </c>
      <c r="E1149">
        <v>584274</v>
      </c>
      <c r="F1149" t="s">
        <v>35</v>
      </c>
      <c r="G1149" t="s">
        <v>18</v>
      </c>
    </row>
    <row r="1150" spans="1:7" x14ac:dyDescent="0.2">
      <c r="A1150" t="s">
        <v>709</v>
      </c>
      <c r="B1150" t="s">
        <v>710</v>
      </c>
      <c r="C1150">
        <v>8378</v>
      </c>
      <c r="D1150">
        <v>56424</v>
      </c>
      <c r="E1150">
        <v>364101</v>
      </c>
      <c r="F1150" t="s">
        <v>35</v>
      </c>
      <c r="G1150" t="s">
        <v>18</v>
      </c>
    </row>
    <row r="1151" spans="1:7" x14ac:dyDescent="0.2">
      <c r="A1151" t="s">
        <v>769</v>
      </c>
      <c r="B1151" t="s">
        <v>770</v>
      </c>
      <c r="C1151">
        <v>8370</v>
      </c>
      <c r="D1151">
        <v>535096</v>
      </c>
      <c r="E1151">
        <v>3408446</v>
      </c>
      <c r="F1151" t="s">
        <v>35</v>
      </c>
      <c r="G1151" t="s">
        <v>18</v>
      </c>
    </row>
    <row r="1152" spans="1:7" x14ac:dyDescent="0.2">
      <c r="A1152" t="s">
        <v>747</v>
      </c>
      <c r="B1152" t="s">
        <v>748</v>
      </c>
      <c r="C1152">
        <v>8198</v>
      </c>
      <c r="D1152">
        <v>113950</v>
      </c>
      <c r="E1152">
        <v>922760</v>
      </c>
      <c r="F1152" t="s">
        <v>35</v>
      </c>
      <c r="G1152" t="s">
        <v>18</v>
      </c>
    </row>
    <row r="1153" spans="1:7" x14ac:dyDescent="0.2">
      <c r="A1153" t="s">
        <v>815</v>
      </c>
      <c r="B1153" t="s">
        <v>816</v>
      </c>
      <c r="C1153">
        <v>7919</v>
      </c>
      <c r="D1153">
        <v>358353</v>
      </c>
      <c r="E1153">
        <v>1971147</v>
      </c>
      <c r="F1153" t="s">
        <v>35</v>
      </c>
      <c r="G1153" t="s">
        <v>18</v>
      </c>
    </row>
    <row r="1154" spans="1:7" x14ac:dyDescent="0.2">
      <c r="A1154" t="s">
        <v>751</v>
      </c>
      <c r="B1154" t="s">
        <v>752</v>
      </c>
      <c r="C1154">
        <v>7617</v>
      </c>
      <c r="D1154">
        <v>62765</v>
      </c>
      <c r="E1154">
        <v>1560591</v>
      </c>
      <c r="F1154" t="s">
        <v>35</v>
      </c>
      <c r="G1154" t="s">
        <v>18</v>
      </c>
    </row>
    <row r="1155" spans="1:7" x14ac:dyDescent="0.2">
      <c r="A1155" t="s">
        <v>739</v>
      </c>
      <c r="B1155" t="s">
        <v>740</v>
      </c>
      <c r="C1155">
        <v>7527</v>
      </c>
      <c r="D1155">
        <v>42485</v>
      </c>
      <c r="E1155">
        <v>390650</v>
      </c>
      <c r="F1155" t="s">
        <v>35</v>
      </c>
      <c r="G1155" t="s">
        <v>18</v>
      </c>
    </row>
    <row r="1156" spans="1:7" x14ac:dyDescent="0.2">
      <c r="A1156" t="s">
        <v>745</v>
      </c>
      <c r="B1156" t="s">
        <v>746</v>
      </c>
      <c r="C1156">
        <v>7370</v>
      </c>
      <c r="D1156">
        <v>64776</v>
      </c>
      <c r="E1156">
        <v>497801</v>
      </c>
      <c r="F1156" t="s">
        <v>35</v>
      </c>
      <c r="G1156" t="s">
        <v>18</v>
      </c>
    </row>
    <row r="1157" spans="1:7" x14ac:dyDescent="0.2">
      <c r="A1157" t="s">
        <v>667</v>
      </c>
      <c r="B1157" t="s">
        <v>668</v>
      </c>
      <c r="C1157">
        <v>7345</v>
      </c>
      <c r="D1157">
        <v>91230.8</v>
      </c>
      <c r="E1157">
        <v>603633.55000000005</v>
      </c>
      <c r="F1157" t="s">
        <v>35</v>
      </c>
      <c r="G1157" t="s">
        <v>18</v>
      </c>
    </row>
    <row r="1158" spans="1:7" x14ac:dyDescent="0.2">
      <c r="A1158" t="s">
        <v>743</v>
      </c>
      <c r="B1158" t="s">
        <v>744</v>
      </c>
      <c r="C1158">
        <v>7094</v>
      </c>
      <c r="D1158">
        <v>48090</v>
      </c>
      <c r="E1158">
        <v>373532</v>
      </c>
      <c r="F1158" t="s">
        <v>35</v>
      </c>
      <c r="G1158" t="s">
        <v>18</v>
      </c>
    </row>
    <row r="1159" spans="1:7" x14ac:dyDescent="0.2">
      <c r="A1159" t="s">
        <v>783</v>
      </c>
      <c r="B1159" t="s">
        <v>784</v>
      </c>
      <c r="C1159">
        <v>6680</v>
      </c>
      <c r="D1159">
        <v>265715</v>
      </c>
      <c r="E1159">
        <v>1587532</v>
      </c>
      <c r="F1159" t="s">
        <v>35</v>
      </c>
      <c r="G1159" t="s">
        <v>18</v>
      </c>
    </row>
    <row r="1160" spans="1:7" x14ac:dyDescent="0.2">
      <c r="A1160" t="s">
        <v>793</v>
      </c>
      <c r="B1160" t="s">
        <v>794</v>
      </c>
      <c r="C1160">
        <v>6504</v>
      </c>
      <c r="D1160">
        <v>123784</v>
      </c>
      <c r="E1160">
        <v>659642</v>
      </c>
      <c r="F1160" t="s">
        <v>35</v>
      </c>
      <c r="G1160" t="s">
        <v>18</v>
      </c>
    </row>
    <row r="1161" spans="1:7" x14ac:dyDescent="0.2">
      <c r="A1161" t="s">
        <v>763</v>
      </c>
      <c r="B1161" t="s">
        <v>764</v>
      </c>
      <c r="C1161">
        <v>6487</v>
      </c>
      <c r="D1161">
        <v>70536</v>
      </c>
      <c r="E1161">
        <v>513422</v>
      </c>
      <c r="F1161" t="s">
        <v>35</v>
      </c>
      <c r="G1161" t="s">
        <v>18</v>
      </c>
    </row>
    <row r="1162" spans="1:7" x14ac:dyDescent="0.2">
      <c r="A1162" t="s">
        <v>755</v>
      </c>
      <c r="B1162" t="s">
        <v>756</v>
      </c>
      <c r="C1162">
        <v>6450</v>
      </c>
      <c r="D1162">
        <v>109291</v>
      </c>
      <c r="E1162">
        <v>1028178</v>
      </c>
      <c r="F1162" t="s">
        <v>35</v>
      </c>
      <c r="G1162" t="s">
        <v>18</v>
      </c>
    </row>
    <row r="1163" spans="1:7" x14ac:dyDescent="0.2">
      <c r="A1163" t="s">
        <v>759</v>
      </c>
      <c r="B1163" t="s">
        <v>760</v>
      </c>
      <c r="C1163">
        <v>6305</v>
      </c>
      <c r="D1163">
        <v>357281</v>
      </c>
      <c r="E1163">
        <v>1764053</v>
      </c>
      <c r="F1163" t="s">
        <v>35</v>
      </c>
      <c r="G1163" t="s">
        <v>18</v>
      </c>
    </row>
    <row r="1164" spans="1:7" x14ac:dyDescent="0.2">
      <c r="A1164" t="s">
        <v>757</v>
      </c>
      <c r="B1164" t="s">
        <v>758</v>
      </c>
      <c r="C1164">
        <v>6142</v>
      </c>
      <c r="D1164">
        <v>84479</v>
      </c>
      <c r="E1164">
        <v>537662</v>
      </c>
      <c r="F1164" t="s">
        <v>35</v>
      </c>
      <c r="G1164" t="s">
        <v>18</v>
      </c>
    </row>
    <row r="1165" spans="1:7" x14ac:dyDescent="0.2">
      <c r="A1165" t="s">
        <v>753</v>
      </c>
      <c r="B1165" t="s">
        <v>754</v>
      </c>
      <c r="C1165">
        <v>5852</v>
      </c>
      <c r="D1165">
        <v>60291</v>
      </c>
      <c r="E1165">
        <v>426751</v>
      </c>
      <c r="F1165" t="s">
        <v>35</v>
      </c>
      <c r="G1165" t="s">
        <v>18</v>
      </c>
    </row>
    <row r="1166" spans="1:7" x14ac:dyDescent="0.2">
      <c r="A1166" t="s">
        <v>767</v>
      </c>
      <c r="B1166" t="s">
        <v>768</v>
      </c>
      <c r="C1166">
        <v>5812</v>
      </c>
      <c r="D1166">
        <v>53018</v>
      </c>
      <c r="E1166">
        <v>370730</v>
      </c>
      <c r="F1166" t="s">
        <v>35</v>
      </c>
      <c r="G1166" t="s">
        <v>18</v>
      </c>
    </row>
    <row r="1167" spans="1:7" x14ac:dyDescent="0.2">
      <c r="A1167" t="s">
        <v>765</v>
      </c>
      <c r="B1167" t="s">
        <v>766</v>
      </c>
      <c r="C1167">
        <v>5673</v>
      </c>
      <c r="D1167">
        <v>101034</v>
      </c>
      <c r="E1167">
        <v>660002</v>
      </c>
      <c r="F1167" t="s">
        <v>35</v>
      </c>
      <c r="G1167" t="s">
        <v>18</v>
      </c>
    </row>
    <row r="1168" spans="1:7" x14ac:dyDescent="0.2">
      <c r="A1168" t="s">
        <v>971</v>
      </c>
      <c r="B1168" t="s">
        <v>972</v>
      </c>
      <c r="C1168">
        <v>5180</v>
      </c>
      <c r="D1168">
        <v>65439</v>
      </c>
      <c r="E1168">
        <v>642761</v>
      </c>
      <c r="F1168" t="s">
        <v>35</v>
      </c>
      <c r="G1168" t="s">
        <v>18</v>
      </c>
    </row>
    <row r="1169" spans="1:7" x14ac:dyDescent="0.2">
      <c r="A1169" t="s">
        <v>789</v>
      </c>
      <c r="B1169" t="s">
        <v>790</v>
      </c>
      <c r="C1169">
        <v>4644</v>
      </c>
      <c r="D1169">
        <v>103279</v>
      </c>
      <c r="E1169">
        <v>1621315</v>
      </c>
      <c r="F1169" t="s">
        <v>35</v>
      </c>
      <c r="G1169" t="s">
        <v>18</v>
      </c>
    </row>
    <row r="1170" spans="1:7" x14ac:dyDescent="0.2">
      <c r="A1170" t="s">
        <v>781</v>
      </c>
      <c r="B1170" t="s">
        <v>782</v>
      </c>
      <c r="C1170">
        <v>4370</v>
      </c>
      <c r="D1170">
        <v>57004</v>
      </c>
      <c r="E1170">
        <v>338656</v>
      </c>
      <c r="F1170" t="s">
        <v>35</v>
      </c>
      <c r="G1170" t="s">
        <v>18</v>
      </c>
    </row>
    <row r="1171" spans="1:7" x14ac:dyDescent="0.2">
      <c r="A1171" t="s">
        <v>775</v>
      </c>
      <c r="B1171" t="s">
        <v>776</v>
      </c>
      <c r="C1171">
        <v>4306</v>
      </c>
      <c r="D1171">
        <v>54017</v>
      </c>
      <c r="E1171">
        <v>360995</v>
      </c>
      <c r="F1171" t="s">
        <v>35</v>
      </c>
      <c r="G1171" t="s">
        <v>18</v>
      </c>
    </row>
    <row r="1172" spans="1:7" x14ac:dyDescent="0.2">
      <c r="A1172" t="s">
        <v>777</v>
      </c>
      <c r="B1172" t="s">
        <v>778</v>
      </c>
      <c r="C1172">
        <v>4245</v>
      </c>
      <c r="D1172">
        <v>182151</v>
      </c>
      <c r="E1172">
        <v>1026557</v>
      </c>
      <c r="F1172" t="s">
        <v>35</v>
      </c>
      <c r="G1172" t="s">
        <v>18</v>
      </c>
    </row>
    <row r="1173" spans="1:7" x14ac:dyDescent="0.2">
      <c r="A1173" t="s">
        <v>797</v>
      </c>
      <c r="B1173" t="s">
        <v>798</v>
      </c>
      <c r="C1173">
        <v>4165</v>
      </c>
      <c r="D1173">
        <v>553344</v>
      </c>
      <c r="E1173">
        <v>2886668</v>
      </c>
      <c r="F1173" t="s">
        <v>35</v>
      </c>
      <c r="G1173" t="s">
        <v>18</v>
      </c>
    </row>
    <row r="1174" spans="1:7" x14ac:dyDescent="0.2">
      <c r="A1174" t="s">
        <v>787</v>
      </c>
      <c r="B1174" t="s">
        <v>788</v>
      </c>
      <c r="C1174">
        <v>3627</v>
      </c>
      <c r="D1174">
        <v>123439</v>
      </c>
      <c r="E1174">
        <v>676477</v>
      </c>
      <c r="F1174" t="s">
        <v>35</v>
      </c>
      <c r="G1174" t="s">
        <v>18</v>
      </c>
    </row>
    <row r="1175" spans="1:7" x14ac:dyDescent="0.2">
      <c r="A1175" t="s">
        <v>803</v>
      </c>
      <c r="B1175" t="s">
        <v>804</v>
      </c>
      <c r="C1175">
        <v>3523</v>
      </c>
      <c r="D1175">
        <v>71989</v>
      </c>
      <c r="E1175">
        <v>411410</v>
      </c>
      <c r="F1175" t="s">
        <v>35</v>
      </c>
      <c r="G1175" t="s">
        <v>18</v>
      </c>
    </row>
    <row r="1176" spans="1:7" x14ac:dyDescent="0.2">
      <c r="A1176" t="s">
        <v>791</v>
      </c>
      <c r="B1176" t="s">
        <v>792</v>
      </c>
      <c r="C1176">
        <v>3022</v>
      </c>
      <c r="D1176">
        <v>221305</v>
      </c>
      <c r="E1176">
        <v>1314878</v>
      </c>
      <c r="F1176" t="s">
        <v>35</v>
      </c>
      <c r="G1176" t="s">
        <v>18</v>
      </c>
    </row>
    <row r="1177" spans="1:7" x14ac:dyDescent="0.2">
      <c r="A1177" t="s">
        <v>809</v>
      </c>
      <c r="B1177" t="s">
        <v>810</v>
      </c>
      <c r="C1177">
        <v>2355</v>
      </c>
      <c r="D1177">
        <v>55802</v>
      </c>
      <c r="E1177">
        <v>366900</v>
      </c>
      <c r="F1177" t="s">
        <v>35</v>
      </c>
      <c r="G1177" t="s">
        <v>18</v>
      </c>
    </row>
    <row r="1178" spans="1:7" x14ac:dyDescent="0.2">
      <c r="A1178" t="s">
        <v>799</v>
      </c>
      <c r="B1178" t="s">
        <v>800</v>
      </c>
      <c r="C1178">
        <v>2054</v>
      </c>
      <c r="D1178">
        <v>108787</v>
      </c>
      <c r="E1178">
        <v>608155</v>
      </c>
      <c r="F1178" t="s">
        <v>35</v>
      </c>
      <c r="G1178" t="s">
        <v>18</v>
      </c>
    </row>
    <row r="1179" spans="1:7" x14ac:dyDescent="0.2">
      <c r="A1179" t="s">
        <v>811</v>
      </c>
      <c r="B1179" t="s">
        <v>812</v>
      </c>
      <c r="C1179">
        <v>1869</v>
      </c>
      <c r="D1179">
        <v>288374</v>
      </c>
      <c r="E1179">
        <v>1557358</v>
      </c>
      <c r="F1179" t="s">
        <v>35</v>
      </c>
      <c r="G1179" t="s">
        <v>18</v>
      </c>
    </row>
    <row r="1180" spans="1:7" x14ac:dyDescent="0.2">
      <c r="A1180" t="s">
        <v>805</v>
      </c>
      <c r="B1180" t="s">
        <v>806</v>
      </c>
      <c r="C1180">
        <v>1653</v>
      </c>
      <c r="D1180">
        <v>55228</v>
      </c>
      <c r="E1180">
        <v>305245</v>
      </c>
      <c r="F1180" t="s">
        <v>35</v>
      </c>
      <c r="G1180" t="s">
        <v>18</v>
      </c>
    </row>
    <row r="1181" spans="1:7" x14ac:dyDescent="0.2">
      <c r="A1181" t="s">
        <v>801</v>
      </c>
      <c r="B1181" t="s">
        <v>802</v>
      </c>
      <c r="C1181">
        <v>1623</v>
      </c>
      <c r="D1181">
        <v>156819</v>
      </c>
      <c r="E1181">
        <v>907399</v>
      </c>
      <c r="F1181" t="s">
        <v>35</v>
      </c>
      <c r="G1181" t="s">
        <v>18</v>
      </c>
    </row>
    <row r="1182" spans="1:7" x14ac:dyDescent="0.2">
      <c r="A1182" t="s">
        <v>807</v>
      </c>
      <c r="B1182" t="s">
        <v>808</v>
      </c>
      <c r="C1182">
        <v>1597</v>
      </c>
      <c r="D1182">
        <v>336677</v>
      </c>
      <c r="E1182">
        <v>1898349</v>
      </c>
      <c r="F1182" t="s">
        <v>35</v>
      </c>
      <c r="G1182" t="s">
        <v>18</v>
      </c>
    </row>
    <row r="1183" spans="1:7" x14ac:dyDescent="0.2">
      <c r="A1183" t="s">
        <v>785</v>
      </c>
      <c r="B1183" t="s">
        <v>786</v>
      </c>
      <c r="C1183">
        <v>1510</v>
      </c>
      <c r="D1183">
        <v>74682</v>
      </c>
      <c r="E1183">
        <v>436008</v>
      </c>
      <c r="F1183" t="s">
        <v>35</v>
      </c>
      <c r="G1183" t="s">
        <v>18</v>
      </c>
    </row>
    <row r="1184" spans="1:7" x14ac:dyDescent="0.2">
      <c r="A1184" t="s">
        <v>817</v>
      </c>
      <c r="B1184" t="s">
        <v>818</v>
      </c>
      <c r="C1184">
        <v>1007</v>
      </c>
      <c r="D1184">
        <v>405217</v>
      </c>
      <c r="E1184">
        <v>2207911</v>
      </c>
      <c r="F1184" t="s">
        <v>35</v>
      </c>
      <c r="G1184" t="s">
        <v>18</v>
      </c>
    </row>
    <row r="1185" spans="1:7" x14ac:dyDescent="0.2">
      <c r="A1185" t="s">
        <v>813</v>
      </c>
      <c r="B1185" t="s">
        <v>814</v>
      </c>
      <c r="C1185">
        <v>900</v>
      </c>
      <c r="D1185">
        <v>54894</v>
      </c>
      <c r="E1185">
        <v>317681</v>
      </c>
      <c r="F1185" t="s">
        <v>35</v>
      </c>
      <c r="G1185" t="s">
        <v>18</v>
      </c>
    </row>
    <row r="1186" spans="1:7" x14ac:dyDescent="0.2">
      <c r="A1186" t="s">
        <v>825</v>
      </c>
      <c r="B1186" t="s">
        <v>826</v>
      </c>
      <c r="C1186">
        <v>742</v>
      </c>
      <c r="D1186">
        <v>59072</v>
      </c>
      <c r="E1186">
        <v>351259</v>
      </c>
      <c r="F1186" t="s">
        <v>35</v>
      </c>
      <c r="G1186" t="s">
        <v>18</v>
      </c>
    </row>
    <row r="1187" spans="1:7" x14ac:dyDescent="0.2">
      <c r="A1187" t="s">
        <v>901</v>
      </c>
      <c r="B1187" t="s">
        <v>902</v>
      </c>
      <c r="C1187">
        <v>668</v>
      </c>
      <c r="D1187">
        <v>107479</v>
      </c>
      <c r="E1187">
        <v>565363</v>
      </c>
      <c r="F1187" t="s">
        <v>35</v>
      </c>
      <c r="G1187" t="s">
        <v>18</v>
      </c>
    </row>
    <row r="1188" spans="1:7" x14ac:dyDescent="0.2">
      <c r="A1188" t="s">
        <v>973</v>
      </c>
      <c r="B1188" t="s">
        <v>974</v>
      </c>
      <c r="C1188">
        <v>539</v>
      </c>
      <c r="D1188">
        <v>77446</v>
      </c>
      <c r="E1188">
        <v>443481</v>
      </c>
      <c r="F1188" t="s">
        <v>35</v>
      </c>
      <c r="G1188" t="s">
        <v>18</v>
      </c>
    </row>
    <row r="1189" spans="1:7" x14ac:dyDescent="0.2">
      <c r="A1189" t="s">
        <v>829</v>
      </c>
      <c r="B1189" t="s">
        <v>830</v>
      </c>
      <c r="C1189">
        <v>456</v>
      </c>
      <c r="D1189">
        <v>68280</v>
      </c>
      <c r="E1189">
        <v>384959</v>
      </c>
      <c r="F1189" t="s">
        <v>35</v>
      </c>
      <c r="G1189" t="s">
        <v>18</v>
      </c>
    </row>
    <row r="1190" spans="1:7" x14ac:dyDescent="0.2">
      <c r="A1190" t="s">
        <v>823</v>
      </c>
      <c r="B1190" t="s">
        <v>824</v>
      </c>
      <c r="C1190">
        <v>428</v>
      </c>
      <c r="D1190">
        <v>88437</v>
      </c>
      <c r="E1190">
        <v>489532</v>
      </c>
      <c r="F1190" t="s">
        <v>35</v>
      </c>
      <c r="G1190" t="s">
        <v>18</v>
      </c>
    </row>
    <row r="1191" spans="1:7" x14ac:dyDescent="0.2">
      <c r="A1191" t="s">
        <v>771</v>
      </c>
      <c r="B1191" t="s">
        <v>772</v>
      </c>
      <c r="C1191">
        <v>337</v>
      </c>
      <c r="D1191">
        <v>106280</v>
      </c>
      <c r="E1191">
        <v>585684</v>
      </c>
      <c r="F1191" t="s">
        <v>35</v>
      </c>
      <c r="G1191" t="s">
        <v>18</v>
      </c>
    </row>
    <row r="1192" spans="1:7" x14ac:dyDescent="0.2">
      <c r="A1192" t="s">
        <v>831</v>
      </c>
      <c r="B1192" t="s">
        <v>832</v>
      </c>
      <c r="C1192">
        <v>215</v>
      </c>
      <c r="D1192">
        <v>317465</v>
      </c>
      <c r="E1192">
        <v>1729124</v>
      </c>
      <c r="F1192" t="s">
        <v>35</v>
      </c>
      <c r="G1192" t="s">
        <v>18</v>
      </c>
    </row>
    <row r="1193" spans="1:7" x14ac:dyDescent="0.2">
      <c r="A1193" t="s">
        <v>835</v>
      </c>
      <c r="B1193" t="s">
        <v>836</v>
      </c>
      <c r="C1193">
        <v>210</v>
      </c>
      <c r="D1193">
        <v>69484</v>
      </c>
      <c r="E1193">
        <v>365281</v>
      </c>
      <c r="F1193" t="s">
        <v>35</v>
      </c>
      <c r="G1193"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7A75-F28E-EA46-8647-7C185CC64DEB}">
  <dimension ref="A1:G415"/>
  <sheetViews>
    <sheetView workbookViewId="0"/>
  </sheetViews>
  <sheetFormatPr baseColWidth="10" defaultRowHeight="16" x14ac:dyDescent="0.2"/>
  <cols>
    <col min="1" max="1" width="63.83203125" bestFit="1" customWidth="1"/>
    <col min="2" max="2" width="68.6640625" bestFit="1" customWidth="1"/>
    <col min="3" max="4" width="31.83203125" bestFit="1" customWidth="1"/>
    <col min="5" max="5" width="25.5" bestFit="1" customWidth="1"/>
    <col min="6" max="6" width="80.6640625" bestFit="1" customWidth="1"/>
    <col min="7" max="7" width="7.83203125" bestFit="1" customWidth="1"/>
  </cols>
  <sheetData>
    <row r="1" spans="1:7" x14ac:dyDescent="0.2">
      <c r="A1" t="s">
        <v>26</v>
      </c>
      <c r="B1" t="s">
        <v>27</v>
      </c>
      <c r="C1" t="s">
        <v>28</v>
      </c>
      <c r="D1" t="s">
        <v>29</v>
      </c>
      <c r="E1" t="s">
        <v>30</v>
      </c>
      <c r="F1" t="s">
        <v>31</v>
      </c>
      <c r="G1" t="s">
        <v>32</v>
      </c>
    </row>
    <row r="2" spans="1:7" x14ac:dyDescent="0.2">
      <c r="A2" t="s">
        <v>33</v>
      </c>
      <c r="B2" t="s">
        <v>34</v>
      </c>
      <c r="C2">
        <v>30439497</v>
      </c>
      <c r="D2">
        <v>247661</v>
      </c>
      <c r="E2">
        <v>233755617</v>
      </c>
      <c r="F2" t="s">
        <v>35</v>
      </c>
      <c r="G2" t="s">
        <v>18</v>
      </c>
    </row>
    <row r="3" spans="1:7" x14ac:dyDescent="0.2">
      <c r="A3" t="s">
        <v>38</v>
      </c>
      <c r="B3" t="s">
        <v>39</v>
      </c>
      <c r="C3">
        <v>17580946</v>
      </c>
      <c r="D3">
        <v>247152</v>
      </c>
      <c r="E3">
        <v>141704040</v>
      </c>
      <c r="F3" t="s">
        <v>35</v>
      </c>
      <c r="G3" t="s">
        <v>18</v>
      </c>
    </row>
    <row r="4" spans="1:7" x14ac:dyDescent="0.2">
      <c r="A4" t="s">
        <v>36</v>
      </c>
      <c r="B4" t="s">
        <v>37</v>
      </c>
      <c r="C4">
        <v>16229932</v>
      </c>
      <c r="D4">
        <v>51049</v>
      </c>
      <c r="E4">
        <v>117359330</v>
      </c>
      <c r="F4" t="s">
        <v>35</v>
      </c>
      <c r="G4" t="s">
        <v>18</v>
      </c>
    </row>
    <row r="5" spans="1:7" x14ac:dyDescent="0.2">
      <c r="A5" t="s">
        <v>40</v>
      </c>
      <c r="B5" t="s">
        <v>41</v>
      </c>
      <c r="C5">
        <v>15797721</v>
      </c>
      <c r="D5">
        <v>2251142.91</v>
      </c>
      <c r="E5">
        <v>139593414.44</v>
      </c>
      <c r="F5" t="s">
        <v>35</v>
      </c>
      <c r="G5" t="s">
        <v>18</v>
      </c>
    </row>
    <row r="6" spans="1:7" x14ac:dyDescent="0.2">
      <c r="A6" t="s">
        <v>42</v>
      </c>
      <c r="B6" t="s">
        <v>43</v>
      </c>
      <c r="C6">
        <v>13067963</v>
      </c>
      <c r="D6">
        <v>1354</v>
      </c>
      <c r="E6">
        <v>148952943</v>
      </c>
      <c r="F6" t="s">
        <v>35</v>
      </c>
      <c r="G6" t="s">
        <v>18</v>
      </c>
    </row>
    <row r="7" spans="1:7" x14ac:dyDescent="0.2">
      <c r="A7" t="s">
        <v>44</v>
      </c>
      <c r="B7" t="s">
        <v>45</v>
      </c>
      <c r="C7">
        <v>10456586</v>
      </c>
      <c r="D7">
        <v>5308</v>
      </c>
      <c r="E7">
        <v>84483768</v>
      </c>
      <c r="F7" t="s">
        <v>35</v>
      </c>
      <c r="G7" t="s">
        <v>18</v>
      </c>
    </row>
    <row r="8" spans="1:7" x14ac:dyDescent="0.2">
      <c r="A8" t="s">
        <v>48</v>
      </c>
      <c r="B8" t="s">
        <v>49</v>
      </c>
      <c r="C8">
        <v>10412812</v>
      </c>
      <c r="D8">
        <v>82557</v>
      </c>
      <c r="E8">
        <v>73834236</v>
      </c>
      <c r="F8" t="s">
        <v>903</v>
      </c>
      <c r="G8" t="s">
        <v>18</v>
      </c>
    </row>
    <row r="9" spans="1:7" x14ac:dyDescent="0.2">
      <c r="A9" t="s">
        <v>46</v>
      </c>
      <c r="B9" t="s">
        <v>47</v>
      </c>
      <c r="C9">
        <v>8178233</v>
      </c>
      <c r="D9">
        <v>5443</v>
      </c>
      <c r="E9">
        <v>128500073</v>
      </c>
      <c r="F9" t="s">
        <v>35</v>
      </c>
      <c r="G9" t="s">
        <v>18</v>
      </c>
    </row>
    <row r="10" spans="1:7" x14ac:dyDescent="0.2">
      <c r="A10" t="s">
        <v>51</v>
      </c>
      <c r="B10" t="s">
        <v>52</v>
      </c>
      <c r="C10">
        <v>7413233.9199999999</v>
      </c>
      <c r="D10">
        <v>6938447.3600000003</v>
      </c>
      <c r="E10">
        <v>145138974.32999998</v>
      </c>
      <c r="F10" t="s">
        <v>35</v>
      </c>
      <c r="G10" t="s">
        <v>18</v>
      </c>
    </row>
    <row r="11" spans="1:7" x14ac:dyDescent="0.2">
      <c r="A11" t="s">
        <v>59</v>
      </c>
      <c r="B11" t="s">
        <v>60</v>
      </c>
      <c r="C11">
        <v>6366079</v>
      </c>
      <c r="D11">
        <v>46994</v>
      </c>
      <c r="E11">
        <v>48639651</v>
      </c>
      <c r="F11" t="s">
        <v>35</v>
      </c>
      <c r="G11" t="s">
        <v>18</v>
      </c>
    </row>
    <row r="12" spans="1:7" x14ac:dyDescent="0.2">
      <c r="A12" t="s">
        <v>67</v>
      </c>
      <c r="B12" t="s">
        <v>68</v>
      </c>
      <c r="C12">
        <v>6255335</v>
      </c>
      <c r="D12">
        <v>612</v>
      </c>
      <c r="E12">
        <v>69063980</v>
      </c>
      <c r="F12" t="s">
        <v>35</v>
      </c>
      <c r="G12" t="s">
        <v>18</v>
      </c>
    </row>
    <row r="13" spans="1:7" x14ac:dyDescent="0.2">
      <c r="A13" t="s">
        <v>61</v>
      </c>
      <c r="B13" t="s">
        <v>62</v>
      </c>
      <c r="C13">
        <v>6223931.0499999998</v>
      </c>
      <c r="D13">
        <v>786480.54</v>
      </c>
      <c r="E13">
        <v>73728065.25</v>
      </c>
      <c r="F13" t="s">
        <v>35</v>
      </c>
      <c r="G13" t="s">
        <v>18</v>
      </c>
    </row>
    <row r="14" spans="1:7" x14ac:dyDescent="0.2">
      <c r="A14" t="s">
        <v>53</v>
      </c>
      <c r="B14" t="s">
        <v>54</v>
      </c>
      <c r="C14">
        <v>6109713</v>
      </c>
      <c r="D14">
        <v>71114</v>
      </c>
      <c r="E14">
        <v>42046913</v>
      </c>
      <c r="F14" t="s">
        <v>35</v>
      </c>
      <c r="G14" t="s">
        <v>18</v>
      </c>
    </row>
    <row r="15" spans="1:7" x14ac:dyDescent="0.2">
      <c r="A15" t="s">
        <v>69</v>
      </c>
      <c r="B15" t="s">
        <v>70</v>
      </c>
      <c r="C15">
        <v>5675503</v>
      </c>
      <c r="D15">
        <v>1295857</v>
      </c>
      <c r="E15">
        <v>57997498</v>
      </c>
      <c r="F15" t="s">
        <v>35</v>
      </c>
      <c r="G15" t="s">
        <v>18</v>
      </c>
    </row>
    <row r="16" spans="1:7" x14ac:dyDescent="0.2">
      <c r="A16" t="s">
        <v>65</v>
      </c>
      <c r="B16" t="s">
        <v>66</v>
      </c>
      <c r="C16">
        <v>5312947</v>
      </c>
      <c r="D16">
        <v>3261567</v>
      </c>
      <c r="E16">
        <v>108118414</v>
      </c>
      <c r="F16" t="s">
        <v>35</v>
      </c>
      <c r="G16" t="s">
        <v>18</v>
      </c>
    </row>
    <row r="17" spans="1:7" x14ac:dyDescent="0.2">
      <c r="A17" t="s">
        <v>75</v>
      </c>
      <c r="B17" t="s">
        <v>76</v>
      </c>
      <c r="C17">
        <v>4622401</v>
      </c>
      <c r="D17">
        <v>57564</v>
      </c>
      <c r="E17">
        <v>67860576</v>
      </c>
      <c r="F17" t="s">
        <v>35</v>
      </c>
      <c r="G17" t="s">
        <v>18</v>
      </c>
    </row>
    <row r="18" spans="1:7" x14ac:dyDescent="0.2">
      <c r="A18" t="s">
        <v>63</v>
      </c>
      <c r="B18" t="s">
        <v>64</v>
      </c>
      <c r="C18">
        <v>4347490</v>
      </c>
      <c r="D18">
        <v>4149</v>
      </c>
      <c r="E18">
        <v>33565945</v>
      </c>
      <c r="F18" t="s">
        <v>35</v>
      </c>
      <c r="G18" t="s">
        <v>18</v>
      </c>
    </row>
    <row r="19" spans="1:7" x14ac:dyDescent="0.2">
      <c r="A19" t="s">
        <v>71</v>
      </c>
      <c r="B19" t="s">
        <v>72</v>
      </c>
      <c r="C19">
        <v>4280875</v>
      </c>
      <c r="D19">
        <v>59611</v>
      </c>
      <c r="E19">
        <v>38135877</v>
      </c>
      <c r="F19" t="s">
        <v>35</v>
      </c>
      <c r="G19" t="s">
        <v>18</v>
      </c>
    </row>
    <row r="20" spans="1:7" x14ac:dyDescent="0.2">
      <c r="A20" t="s">
        <v>904</v>
      </c>
      <c r="B20" t="s">
        <v>905</v>
      </c>
      <c r="C20">
        <v>3699076</v>
      </c>
      <c r="D20">
        <v>38084</v>
      </c>
      <c r="E20">
        <v>24690412</v>
      </c>
      <c r="F20" t="s">
        <v>903</v>
      </c>
      <c r="G20" t="s">
        <v>18</v>
      </c>
    </row>
    <row r="21" spans="1:7" x14ac:dyDescent="0.2">
      <c r="A21" t="s">
        <v>55</v>
      </c>
      <c r="B21" t="s">
        <v>56</v>
      </c>
      <c r="C21">
        <v>3476916</v>
      </c>
      <c r="D21">
        <v>28306</v>
      </c>
      <c r="E21">
        <v>52156288</v>
      </c>
      <c r="F21" t="s">
        <v>35</v>
      </c>
      <c r="G21" t="s">
        <v>18</v>
      </c>
    </row>
    <row r="22" spans="1:7" x14ac:dyDescent="0.2">
      <c r="A22" t="s">
        <v>77</v>
      </c>
      <c r="B22" t="s">
        <v>78</v>
      </c>
      <c r="C22">
        <v>3379337</v>
      </c>
      <c r="D22">
        <v>1327099</v>
      </c>
      <c r="E22">
        <v>63175736</v>
      </c>
      <c r="F22" t="s">
        <v>35</v>
      </c>
      <c r="G22" t="s">
        <v>18</v>
      </c>
    </row>
    <row r="23" spans="1:7" x14ac:dyDescent="0.2">
      <c r="A23" t="s">
        <v>83</v>
      </c>
      <c r="B23" t="s">
        <v>84</v>
      </c>
      <c r="C23">
        <v>3169994</v>
      </c>
      <c r="D23">
        <v>521648</v>
      </c>
      <c r="E23">
        <v>41950200</v>
      </c>
      <c r="F23" t="s">
        <v>35</v>
      </c>
      <c r="G23" t="s">
        <v>18</v>
      </c>
    </row>
    <row r="24" spans="1:7" x14ac:dyDescent="0.2">
      <c r="A24" t="s">
        <v>89</v>
      </c>
      <c r="B24" t="s">
        <v>90</v>
      </c>
      <c r="C24">
        <v>3152769</v>
      </c>
      <c r="D24">
        <v>350244</v>
      </c>
      <c r="E24">
        <v>19951791</v>
      </c>
      <c r="F24" t="s">
        <v>35</v>
      </c>
      <c r="G24" t="s">
        <v>18</v>
      </c>
    </row>
    <row r="25" spans="1:7" x14ac:dyDescent="0.2">
      <c r="A25" t="s">
        <v>73</v>
      </c>
      <c r="B25" t="s">
        <v>74</v>
      </c>
      <c r="C25">
        <v>3018894</v>
      </c>
      <c r="D25">
        <v>519859</v>
      </c>
      <c r="E25">
        <v>13346884</v>
      </c>
      <c r="F25" t="s">
        <v>35</v>
      </c>
      <c r="G25" t="s">
        <v>18</v>
      </c>
    </row>
    <row r="26" spans="1:7" x14ac:dyDescent="0.2">
      <c r="A26" t="s">
        <v>906</v>
      </c>
      <c r="B26" t="s">
        <v>907</v>
      </c>
      <c r="C26">
        <v>2844529</v>
      </c>
      <c r="D26">
        <v>271801</v>
      </c>
      <c r="E26">
        <v>1770955</v>
      </c>
      <c r="F26" t="s">
        <v>35</v>
      </c>
      <c r="G26" t="s">
        <v>18</v>
      </c>
    </row>
    <row r="27" spans="1:7" x14ac:dyDescent="0.2">
      <c r="A27" t="s">
        <v>57</v>
      </c>
      <c r="B27" t="s">
        <v>58</v>
      </c>
      <c r="C27">
        <v>2770980</v>
      </c>
      <c r="D27">
        <v>794219</v>
      </c>
      <c r="E27">
        <v>39568768</v>
      </c>
      <c r="F27" t="s">
        <v>35</v>
      </c>
      <c r="G27" t="s">
        <v>18</v>
      </c>
    </row>
    <row r="28" spans="1:7" x14ac:dyDescent="0.2">
      <c r="A28" t="s">
        <v>85</v>
      </c>
      <c r="B28" t="s">
        <v>86</v>
      </c>
      <c r="C28">
        <v>2656508</v>
      </c>
      <c r="D28">
        <v>180733</v>
      </c>
      <c r="E28">
        <v>13657298</v>
      </c>
      <c r="F28" t="s">
        <v>35</v>
      </c>
      <c r="G28" t="s">
        <v>18</v>
      </c>
    </row>
    <row r="29" spans="1:7" x14ac:dyDescent="0.2">
      <c r="A29" t="s">
        <v>79</v>
      </c>
      <c r="B29" t="s">
        <v>80</v>
      </c>
      <c r="C29">
        <v>2585996</v>
      </c>
      <c r="D29">
        <v>685026</v>
      </c>
      <c r="E29">
        <v>27568381</v>
      </c>
      <c r="F29" t="s">
        <v>35</v>
      </c>
      <c r="G29" t="s">
        <v>18</v>
      </c>
    </row>
    <row r="30" spans="1:7" x14ac:dyDescent="0.2">
      <c r="A30" t="s">
        <v>87</v>
      </c>
      <c r="B30" t="s">
        <v>88</v>
      </c>
      <c r="C30">
        <v>2423180</v>
      </c>
      <c r="D30">
        <v>19184</v>
      </c>
      <c r="E30">
        <v>29693485</v>
      </c>
      <c r="F30" t="s">
        <v>35</v>
      </c>
      <c r="G30" t="s">
        <v>18</v>
      </c>
    </row>
    <row r="31" spans="1:7" x14ac:dyDescent="0.2">
      <c r="A31" t="s">
        <v>840</v>
      </c>
      <c r="B31" t="s">
        <v>96</v>
      </c>
      <c r="C31">
        <v>2255843</v>
      </c>
      <c r="D31">
        <v>806331</v>
      </c>
      <c r="E31">
        <v>38361571</v>
      </c>
      <c r="F31" t="s">
        <v>35</v>
      </c>
      <c r="G31" t="s">
        <v>18</v>
      </c>
    </row>
    <row r="32" spans="1:7" x14ac:dyDescent="0.2">
      <c r="A32" t="s">
        <v>93</v>
      </c>
      <c r="B32" t="s">
        <v>94</v>
      </c>
      <c r="C32">
        <v>2215462</v>
      </c>
      <c r="D32">
        <v>7423</v>
      </c>
      <c r="E32">
        <v>31599452</v>
      </c>
      <c r="F32" t="s">
        <v>35</v>
      </c>
      <c r="G32" t="s">
        <v>18</v>
      </c>
    </row>
    <row r="33" spans="1:7" x14ac:dyDescent="0.2">
      <c r="A33" t="s">
        <v>91</v>
      </c>
      <c r="B33" t="s">
        <v>92</v>
      </c>
      <c r="C33">
        <v>2206497</v>
      </c>
      <c r="D33">
        <v>380</v>
      </c>
      <c r="E33">
        <v>41730150</v>
      </c>
      <c r="F33" t="s">
        <v>35</v>
      </c>
      <c r="G33" t="s">
        <v>18</v>
      </c>
    </row>
    <row r="34" spans="1:7" x14ac:dyDescent="0.2">
      <c r="A34" t="s">
        <v>101</v>
      </c>
      <c r="B34" t="s">
        <v>102</v>
      </c>
      <c r="C34">
        <v>2126535</v>
      </c>
      <c r="D34">
        <v>177674.96</v>
      </c>
      <c r="E34">
        <v>8381676.6299999999</v>
      </c>
      <c r="F34" t="s">
        <v>35</v>
      </c>
      <c r="G34" t="s">
        <v>18</v>
      </c>
    </row>
    <row r="35" spans="1:7" x14ac:dyDescent="0.2">
      <c r="A35" t="s">
        <v>125</v>
      </c>
      <c r="B35" t="s">
        <v>126</v>
      </c>
      <c r="C35">
        <v>1957746</v>
      </c>
      <c r="D35">
        <v>271469</v>
      </c>
      <c r="E35">
        <v>15521790</v>
      </c>
      <c r="F35" t="s">
        <v>35</v>
      </c>
      <c r="G35" t="s">
        <v>18</v>
      </c>
    </row>
    <row r="36" spans="1:7" x14ac:dyDescent="0.2">
      <c r="A36" t="s">
        <v>113</v>
      </c>
      <c r="B36" t="s">
        <v>114</v>
      </c>
      <c r="C36">
        <v>1862642</v>
      </c>
      <c r="D36">
        <v>150470</v>
      </c>
      <c r="E36">
        <v>23922231</v>
      </c>
      <c r="F36" t="s">
        <v>35</v>
      </c>
      <c r="G36" t="s">
        <v>18</v>
      </c>
    </row>
    <row r="37" spans="1:7" x14ac:dyDescent="0.2">
      <c r="A37" t="s">
        <v>103</v>
      </c>
      <c r="B37" t="s">
        <v>104</v>
      </c>
      <c r="C37">
        <v>1861809</v>
      </c>
      <c r="D37">
        <v>0</v>
      </c>
      <c r="E37">
        <v>34399620</v>
      </c>
      <c r="F37" t="s">
        <v>35</v>
      </c>
      <c r="G37" t="s">
        <v>18</v>
      </c>
    </row>
    <row r="38" spans="1:7" x14ac:dyDescent="0.2">
      <c r="A38" t="s">
        <v>99</v>
      </c>
      <c r="B38" t="s">
        <v>100</v>
      </c>
      <c r="C38">
        <v>1764178.27</v>
      </c>
      <c r="D38">
        <v>40343.46</v>
      </c>
      <c r="E38">
        <v>21012607.620000001</v>
      </c>
      <c r="F38" t="s">
        <v>35</v>
      </c>
      <c r="G38" t="s">
        <v>18</v>
      </c>
    </row>
    <row r="39" spans="1:7" x14ac:dyDescent="0.2">
      <c r="A39" t="s">
        <v>842</v>
      </c>
      <c r="B39" t="s">
        <v>843</v>
      </c>
      <c r="C39">
        <v>1689273</v>
      </c>
      <c r="D39">
        <v>407</v>
      </c>
      <c r="E39">
        <v>29064665</v>
      </c>
      <c r="F39" t="s">
        <v>35</v>
      </c>
      <c r="G39" t="s">
        <v>18</v>
      </c>
    </row>
    <row r="40" spans="1:7" x14ac:dyDescent="0.2">
      <c r="A40" t="s">
        <v>107</v>
      </c>
      <c r="B40" t="s">
        <v>108</v>
      </c>
      <c r="C40">
        <v>1638976</v>
      </c>
      <c r="D40">
        <v>12227</v>
      </c>
      <c r="E40">
        <v>32989462</v>
      </c>
      <c r="F40" t="s">
        <v>35</v>
      </c>
      <c r="G40" t="s">
        <v>18</v>
      </c>
    </row>
    <row r="41" spans="1:7" x14ac:dyDescent="0.2">
      <c r="A41" t="s">
        <v>841</v>
      </c>
      <c r="B41" t="s">
        <v>98</v>
      </c>
      <c r="C41">
        <v>1579275</v>
      </c>
      <c r="D41">
        <v>119891</v>
      </c>
      <c r="E41">
        <v>11739873</v>
      </c>
      <c r="F41" t="s">
        <v>35</v>
      </c>
      <c r="G41" t="s">
        <v>18</v>
      </c>
    </row>
    <row r="42" spans="1:7" x14ac:dyDescent="0.2">
      <c r="A42" t="s">
        <v>135</v>
      </c>
      <c r="B42" t="s">
        <v>136</v>
      </c>
      <c r="C42">
        <v>1540540</v>
      </c>
      <c r="D42">
        <v>743</v>
      </c>
      <c r="E42">
        <v>10416006</v>
      </c>
      <c r="F42" t="s">
        <v>35</v>
      </c>
      <c r="G42" t="s">
        <v>18</v>
      </c>
    </row>
    <row r="43" spans="1:7" x14ac:dyDescent="0.2">
      <c r="A43" t="s">
        <v>159</v>
      </c>
      <c r="B43" t="s">
        <v>160</v>
      </c>
      <c r="C43">
        <v>1427368</v>
      </c>
      <c r="D43">
        <v>639</v>
      </c>
      <c r="E43">
        <v>9612975</v>
      </c>
      <c r="F43" t="s">
        <v>35</v>
      </c>
      <c r="G43" t="s">
        <v>18</v>
      </c>
    </row>
    <row r="44" spans="1:7" x14ac:dyDescent="0.2">
      <c r="A44" t="s">
        <v>81</v>
      </c>
      <c r="B44" t="s">
        <v>82</v>
      </c>
      <c r="C44">
        <v>1425876</v>
      </c>
      <c r="D44">
        <v>107057.18</v>
      </c>
      <c r="E44">
        <v>9211901.8699999992</v>
      </c>
      <c r="F44" t="s">
        <v>35</v>
      </c>
      <c r="G44" t="s">
        <v>18</v>
      </c>
    </row>
    <row r="45" spans="1:7" x14ac:dyDescent="0.2">
      <c r="A45" t="s">
        <v>105</v>
      </c>
      <c r="B45" t="s">
        <v>106</v>
      </c>
      <c r="C45">
        <v>1422754</v>
      </c>
      <c r="D45">
        <v>264348</v>
      </c>
      <c r="E45">
        <v>18921886</v>
      </c>
      <c r="F45" t="s">
        <v>35</v>
      </c>
      <c r="G45" t="s">
        <v>18</v>
      </c>
    </row>
    <row r="46" spans="1:7" x14ac:dyDescent="0.2">
      <c r="A46" t="s">
        <v>109</v>
      </c>
      <c r="B46" t="s">
        <v>110</v>
      </c>
      <c r="C46">
        <v>1263099</v>
      </c>
      <c r="D46">
        <v>153730</v>
      </c>
      <c r="E46">
        <v>8383267</v>
      </c>
      <c r="F46" t="s">
        <v>35</v>
      </c>
      <c r="G46" t="s">
        <v>18</v>
      </c>
    </row>
    <row r="47" spans="1:7" x14ac:dyDescent="0.2">
      <c r="A47" t="s">
        <v>844</v>
      </c>
      <c r="B47" t="s">
        <v>120</v>
      </c>
      <c r="C47">
        <v>1191558</v>
      </c>
      <c r="D47">
        <v>266310</v>
      </c>
      <c r="E47">
        <v>10204233</v>
      </c>
      <c r="F47" t="s">
        <v>35</v>
      </c>
      <c r="G47" t="s">
        <v>18</v>
      </c>
    </row>
    <row r="48" spans="1:7" x14ac:dyDescent="0.2">
      <c r="A48" t="s">
        <v>127</v>
      </c>
      <c r="B48" t="s">
        <v>128</v>
      </c>
      <c r="C48">
        <v>1093184</v>
      </c>
      <c r="D48">
        <v>158829</v>
      </c>
      <c r="E48">
        <v>5559608</v>
      </c>
      <c r="F48" t="s">
        <v>35</v>
      </c>
      <c r="G48" t="s">
        <v>18</v>
      </c>
    </row>
    <row r="49" spans="1:7" x14ac:dyDescent="0.2">
      <c r="A49" t="s">
        <v>123</v>
      </c>
      <c r="B49" t="s">
        <v>124</v>
      </c>
      <c r="C49">
        <v>1087025</v>
      </c>
      <c r="D49">
        <v>5380125</v>
      </c>
      <c r="E49">
        <v>39496554</v>
      </c>
      <c r="F49" t="s">
        <v>35</v>
      </c>
      <c r="G49" t="s">
        <v>18</v>
      </c>
    </row>
    <row r="50" spans="1:7" x14ac:dyDescent="0.2">
      <c r="A50" t="s">
        <v>133</v>
      </c>
      <c r="B50" t="s">
        <v>134</v>
      </c>
      <c r="C50">
        <v>1083012.82</v>
      </c>
      <c r="D50">
        <v>363729.83</v>
      </c>
      <c r="E50">
        <v>17281731.219999999</v>
      </c>
      <c r="F50" t="s">
        <v>35</v>
      </c>
      <c r="G50" t="s">
        <v>18</v>
      </c>
    </row>
    <row r="51" spans="1:7" x14ac:dyDescent="0.2">
      <c r="A51" t="s">
        <v>129</v>
      </c>
      <c r="B51" t="s">
        <v>130</v>
      </c>
      <c r="C51">
        <v>1082265</v>
      </c>
      <c r="D51">
        <v>52035</v>
      </c>
      <c r="E51">
        <v>5767408</v>
      </c>
      <c r="F51" t="s">
        <v>35</v>
      </c>
      <c r="G51" t="s">
        <v>18</v>
      </c>
    </row>
    <row r="52" spans="1:7" x14ac:dyDescent="0.2">
      <c r="A52" t="s">
        <v>149</v>
      </c>
      <c r="B52" t="s">
        <v>150</v>
      </c>
      <c r="C52">
        <v>1027380.37</v>
      </c>
      <c r="D52">
        <v>108419.21</v>
      </c>
      <c r="E52">
        <v>8588043.3300000001</v>
      </c>
      <c r="F52" t="s">
        <v>35</v>
      </c>
      <c r="G52" t="s">
        <v>18</v>
      </c>
    </row>
    <row r="53" spans="1:7" x14ac:dyDescent="0.2">
      <c r="A53" t="s">
        <v>845</v>
      </c>
      <c r="B53" t="s">
        <v>846</v>
      </c>
      <c r="C53">
        <v>945868</v>
      </c>
      <c r="D53">
        <v>157970</v>
      </c>
      <c r="E53">
        <v>5186538</v>
      </c>
      <c r="F53" t="s">
        <v>35</v>
      </c>
      <c r="G53" t="s">
        <v>18</v>
      </c>
    </row>
    <row r="54" spans="1:7" x14ac:dyDescent="0.2">
      <c r="A54" t="s">
        <v>139</v>
      </c>
      <c r="B54" t="s">
        <v>140</v>
      </c>
      <c r="C54">
        <v>924297</v>
      </c>
      <c r="D54">
        <v>105</v>
      </c>
      <c r="E54">
        <v>12285065</v>
      </c>
      <c r="F54" t="s">
        <v>35</v>
      </c>
      <c r="G54" t="s">
        <v>18</v>
      </c>
    </row>
    <row r="55" spans="1:7" x14ac:dyDescent="0.2">
      <c r="A55" t="s">
        <v>137</v>
      </c>
      <c r="B55" t="s">
        <v>138</v>
      </c>
      <c r="C55">
        <v>909001</v>
      </c>
      <c r="D55">
        <v>2239386</v>
      </c>
      <c r="E55">
        <v>25159609</v>
      </c>
      <c r="F55" t="s">
        <v>35</v>
      </c>
      <c r="G55" t="s">
        <v>18</v>
      </c>
    </row>
    <row r="56" spans="1:7" x14ac:dyDescent="0.2">
      <c r="A56" t="s">
        <v>115</v>
      </c>
      <c r="B56" t="s">
        <v>116</v>
      </c>
      <c r="C56">
        <v>881599</v>
      </c>
      <c r="D56">
        <v>199937</v>
      </c>
      <c r="E56">
        <v>1499124</v>
      </c>
      <c r="F56" t="s">
        <v>35</v>
      </c>
      <c r="G56" t="s">
        <v>18</v>
      </c>
    </row>
    <row r="57" spans="1:7" x14ac:dyDescent="0.2">
      <c r="A57" t="s">
        <v>157</v>
      </c>
      <c r="B57" t="s">
        <v>158</v>
      </c>
      <c r="C57">
        <v>839977</v>
      </c>
      <c r="D57">
        <v>69435</v>
      </c>
      <c r="E57">
        <v>5160966</v>
      </c>
      <c r="F57" t="s">
        <v>35</v>
      </c>
      <c r="G57" t="s">
        <v>18</v>
      </c>
    </row>
    <row r="58" spans="1:7" x14ac:dyDescent="0.2">
      <c r="A58" t="s">
        <v>121</v>
      </c>
      <c r="B58" t="s">
        <v>122</v>
      </c>
      <c r="C58">
        <v>836882</v>
      </c>
      <c r="D58">
        <v>126</v>
      </c>
      <c r="E58">
        <v>15480447</v>
      </c>
      <c r="F58" t="s">
        <v>35</v>
      </c>
      <c r="G58" t="s">
        <v>18</v>
      </c>
    </row>
    <row r="59" spans="1:7" x14ac:dyDescent="0.2">
      <c r="A59" t="s">
        <v>153</v>
      </c>
      <c r="B59" t="s">
        <v>154</v>
      </c>
      <c r="C59">
        <v>799233</v>
      </c>
      <c r="D59">
        <v>305922</v>
      </c>
      <c r="E59">
        <v>15119578</v>
      </c>
      <c r="F59" t="s">
        <v>35</v>
      </c>
      <c r="G59" t="s">
        <v>18</v>
      </c>
    </row>
    <row r="60" spans="1:7" x14ac:dyDescent="0.2">
      <c r="A60" t="s">
        <v>171</v>
      </c>
      <c r="B60" t="s">
        <v>172</v>
      </c>
      <c r="C60">
        <v>797700</v>
      </c>
      <c r="D60">
        <v>253</v>
      </c>
      <c r="E60">
        <v>8820342</v>
      </c>
      <c r="F60" t="s">
        <v>35</v>
      </c>
      <c r="G60" t="s">
        <v>18</v>
      </c>
    </row>
    <row r="61" spans="1:7" x14ac:dyDescent="0.2">
      <c r="A61" t="s">
        <v>908</v>
      </c>
      <c r="B61" t="s">
        <v>118</v>
      </c>
      <c r="C61">
        <v>796416</v>
      </c>
      <c r="D61">
        <v>48183</v>
      </c>
      <c r="E61">
        <v>16424840</v>
      </c>
      <c r="F61" t="s">
        <v>35</v>
      </c>
      <c r="G61" t="s">
        <v>18</v>
      </c>
    </row>
    <row r="62" spans="1:7" x14ac:dyDescent="0.2">
      <c r="A62" t="s">
        <v>131</v>
      </c>
      <c r="B62" t="s">
        <v>132</v>
      </c>
      <c r="C62">
        <v>793653</v>
      </c>
      <c r="D62">
        <v>64649</v>
      </c>
      <c r="E62">
        <v>2886774</v>
      </c>
      <c r="F62" t="s">
        <v>35</v>
      </c>
      <c r="G62" t="s">
        <v>18</v>
      </c>
    </row>
    <row r="63" spans="1:7" x14ac:dyDescent="0.2">
      <c r="A63" t="s">
        <v>143</v>
      </c>
      <c r="B63" t="s">
        <v>144</v>
      </c>
      <c r="C63">
        <v>786392.6</v>
      </c>
      <c r="D63">
        <v>468676.05</v>
      </c>
      <c r="E63">
        <v>17504001.739999998</v>
      </c>
      <c r="F63" t="s">
        <v>35</v>
      </c>
      <c r="G63" t="s">
        <v>18</v>
      </c>
    </row>
    <row r="64" spans="1:7" x14ac:dyDescent="0.2">
      <c r="A64" t="s">
        <v>847</v>
      </c>
      <c r="B64" t="s">
        <v>848</v>
      </c>
      <c r="C64">
        <v>771327</v>
      </c>
      <c r="D64">
        <v>65918</v>
      </c>
      <c r="E64">
        <v>4246374</v>
      </c>
      <c r="F64" t="s">
        <v>35</v>
      </c>
      <c r="G64" t="s">
        <v>18</v>
      </c>
    </row>
    <row r="65" spans="1:7" x14ac:dyDescent="0.2">
      <c r="A65" t="s">
        <v>167</v>
      </c>
      <c r="B65" t="s">
        <v>168</v>
      </c>
      <c r="C65">
        <v>755960</v>
      </c>
      <c r="D65">
        <v>126137</v>
      </c>
      <c r="E65">
        <v>12072272</v>
      </c>
      <c r="F65" t="s">
        <v>35</v>
      </c>
      <c r="G65" t="s">
        <v>18</v>
      </c>
    </row>
    <row r="66" spans="1:7" x14ac:dyDescent="0.2">
      <c r="A66" t="s">
        <v>141</v>
      </c>
      <c r="B66" t="s">
        <v>142</v>
      </c>
      <c r="C66">
        <v>745732</v>
      </c>
      <c r="D66">
        <v>27</v>
      </c>
      <c r="E66">
        <v>9708472</v>
      </c>
      <c r="F66" t="s">
        <v>35</v>
      </c>
      <c r="G66" t="s">
        <v>18</v>
      </c>
    </row>
    <row r="67" spans="1:7" x14ac:dyDescent="0.2">
      <c r="A67" t="s">
        <v>111</v>
      </c>
      <c r="B67" t="s">
        <v>112</v>
      </c>
      <c r="C67">
        <v>744604.95</v>
      </c>
      <c r="D67">
        <v>144285.71</v>
      </c>
      <c r="E67">
        <v>18709518.460000001</v>
      </c>
      <c r="F67" t="s">
        <v>35</v>
      </c>
      <c r="G67" t="s">
        <v>18</v>
      </c>
    </row>
    <row r="68" spans="1:7" x14ac:dyDescent="0.2">
      <c r="A68" t="s">
        <v>199</v>
      </c>
      <c r="B68" t="s">
        <v>200</v>
      </c>
      <c r="C68">
        <v>741002</v>
      </c>
      <c r="D68">
        <v>200</v>
      </c>
      <c r="E68">
        <v>4136702</v>
      </c>
      <c r="F68" t="s">
        <v>35</v>
      </c>
      <c r="G68" t="s">
        <v>18</v>
      </c>
    </row>
    <row r="69" spans="1:7" x14ac:dyDescent="0.2">
      <c r="A69" t="s">
        <v>147</v>
      </c>
      <c r="B69" t="s">
        <v>148</v>
      </c>
      <c r="C69">
        <v>728189</v>
      </c>
      <c r="D69">
        <v>73496</v>
      </c>
      <c r="E69">
        <v>10760588</v>
      </c>
      <c r="F69" t="s">
        <v>35</v>
      </c>
      <c r="G69" t="s">
        <v>18</v>
      </c>
    </row>
    <row r="70" spans="1:7" x14ac:dyDescent="0.2">
      <c r="A70" t="s">
        <v>211</v>
      </c>
      <c r="B70" t="s">
        <v>212</v>
      </c>
      <c r="C70">
        <v>710265</v>
      </c>
      <c r="D70">
        <v>15946</v>
      </c>
      <c r="E70">
        <v>10892896</v>
      </c>
      <c r="F70" t="s">
        <v>35</v>
      </c>
      <c r="G70" t="s">
        <v>18</v>
      </c>
    </row>
    <row r="71" spans="1:7" x14ac:dyDescent="0.2">
      <c r="A71" t="s">
        <v>169</v>
      </c>
      <c r="B71" t="s">
        <v>170</v>
      </c>
      <c r="C71">
        <v>703766</v>
      </c>
      <c r="D71">
        <v>270624</v>
      </c>
      <c r="E71">
        <v>11395692</v>
      </c>
      <c r="F71" t="s">
        <v>35</v>
      </c>
      <c r="G71" t="s">
        <v>18</v>
      </c>
    </row>
    <row r="72" spans="1:7" x14ac:dyDescent="0.2">
      <c r="A72" t="s">
        <v>909</v>
      </c>
      <c r="B72" t="s">
        <v>910</v>
      </c>
      <c r="C72">
        <v>695012</v>
      </c>
      <c r="D72">
        <v>29316.66</v>
      </c>
      <c r="E72">
        <v>7634705.3899999997</v>
      </c>
      <c r="F72" t="s">
        <v>35</v>
      </c>
      <c r="G72" t="s">
        <v>18</v>
      </c>
    </row>
    <row r="73" spans="1:7" x14ac:dyDescent="0.2">
      <c r="A73" t="s">
        <v>163</v>
      </c>
      <c r="B73" t="s">
        <v>164</v>
      </c>
      <c r="C73">
        <v>653888.43999999994</v>
      </c>
      <c r="D73">
        <v>195857.61</v>
      </c>
      <c r="E73">
        <v>14441312.810000001</v>
      </c>
      <c r="F73" t="s">
        <v>35</v>
      </c>
      <c r="G73" t="s">
        <v>18</v>
      </c>
    </row>
    <row r="74" spans="1:7" x14ac:dyDescent="0.2">
      <c r="A74" t="s">
        <v>155</v>
      </c>
      <c r="B74" t="s">
        <v>156</v>
      </c>
      <c r="C74">
        <v>648226</v>
      </c>
      <c r="D74">
        <v>234669</v>
      </c>
      <c r="E74">
        <v>11292630</v>
      </c>
      <c r="F74" t="s">
        <v>35</v>
      </c>
      <c r="G74" t="s">
        <v>18</v>
      </c>
    </row>
    <row r="75" spans="1:7" x14ac:dyDescent="0.2">
      <c r="A75" t="s">
        <v>161</v>
      </c>
      <c r="B75" t="s">
        <v>162</v>
      </c>
      <c r="C75">
        <v>647412</v>
      </c>
      <c r="D75">
        <v>863505</v>
      </c>
      <c r="E75">
        <v>25912238</v>
      </c>
      <c r="F75" t="s">
        <v>35</v>
      </c>
      <c r="G75" t="s">
        <v>18</v>
      </c>
    </row>
    <row r="76" spans="1:7" x14ac:dyDescent="0.2">
      <c r="A76" t="s">
        <v>165</v>
      </c>
      <c r="B76" t="s">
        <v>166</v>
      </c>
      <c r="C76">
        <v>599161</v>
      </c>
      <c r="D76">
        <v>221209</v>
      </c>
      <c r="E76">
        <v>6890804</v>
      </c>
      <c r="F76" t="s">
        <v>35</v>
      </c>
      <c r="G76" t="s">
        <v>18</v>
      </c>
    </row>
    <row r="77" spans="1:7" x14ac:dyDescent="0.2">
      <c r="A77" t="s">
        <v>191</v>
      </c>
      <c r="B77" t="s">
        <v>192</v>
      </c>
      <c r="C77">
        <v>552849</v>
      </c>
      <c r="D77">
        <v>137329</v>
      </c>
      <c r="E77">
        <v>10663636</v>
      </c>
      <c r="F77" t="s">
        <v>35</v>
      </c>
      <c r="G77" t="s">
        <v>18</v>
      </c>
    </row>
    <row r="78" spans="1:7" x14ac:dyDescent="0.2">
      <c r="A78" t="s">
        <v>195</v>
      </c>
      <c r="B78" t="s">
        <v>196</v>
      </c>
      <c r="C78">
        <v>543777</v>
      </c>
      <c r="D78">
        <v>23284</v>
      </c>
      <c r="E78">
        <v>6090266</v>
      </c>
      <c r="F78" t="s">
        <v>35</v>
      </c>
      <c r="G78" t="s">
        <v>18</v>
      </c>
    </row>
    <row r="79" spans="1:7" x14ac:dyDescent="0.2">
      <c r="A79" t="s">
        <v>151</v>
      </c>
      <c r="B79" t="s">
        <v>152</v>
      </c>
      <c r="C79">
        <v>518914</v>
      </c>
      <c r="D79">
        <v>3939</v>
      </c>
      <c r="E79">
        <v>6289248</v>
      </c>
      <c r="F79" t="s">
        <v>35</v>
      </c>
      <c r="G79" t="s">
        <v>18</v>
      </c>
    </row>
    <row r="80" spans="1:7" x14ac:dyDescent="0.2">
      <c r="A80" t="s">
        <v>209</v>
      </c>
      <c r="B80" t="s">
        <v>210</v>
      </c>
      <c r="C80">
        <v>449131</v>
      </c>
      <c r="D80">
        <v>188564</v>
      </c>
      <c r="E80">
        <v>10103579</v>
      </c>
      <c r="F80" t="s">
        <v>35</v>
      </c>
      <c r="G80" t="s">
        <v>18</v>
      </c>
    </row>
    <row r="81" spans="1:7" x14ac:dyDescent="0.2">
      <c r="A81" t="s">
        <v>187</v>
      </c>
      <c r="B81" t="s">
        <v>188</v>
      </c>
      <c r="C81">
        <v>444769</v>
      </c>
      <c r="D81">
        <v>101</v>
      </c>
      <c r="E81">
        <v>7964355</v>
      </c>
      <c r="F81" t="s">
        <v>35</v>
      </c>
      <c r="G81" t="s">
        <v>18</v>
      </c>
    </row>
    <row r="82" spans="1:7" x14ac:dyDescent="0.2">
      <c r="A82" t="s">
        <v>203</v>
      </c>
      <c r="B82" t="s">
        <v>204</v>
      </c>
      <c r="C82">
        <v>425732.69</v>
      </c>
      <c r="D82">
        <v>479673</v>
      </c>
      <c r="E82">
        <v>10365848.369999999</v>
      </c>
      <c r="F82" t="s">
        <v>35</v>
      </c>
      <c r="G82" t="s">
        <v>18</v>
      </c>
    </row>
    <row r="83" spans="1:7" x14ac:dyDescent="0.2">
      <c r="A83" t="s">
        <v>185</v>
      </c>
      <c r="B83" t="s">
        <v>186</v>
      </c>
      <c r="C83">
        <v>421598</v>
      </c>
      <c r="D83">
        <v>69417</v>
      </c>
      <c r="E83">
        <v>13054354</v>
      </c>
      <c r="F83" t="s">
        <v>35</v>
      </c>
      <c r="G83" t="s">
        <v>18</v>
      </c>
    </row>
    <row r="84" spans="1:7" x14ac:dyDescent="0.2">
      <c r="A84" t="s">
        <v>179</v>
      </c>
      <c r="B84" t="s">
        <v>180</v>
      </c>
      <c r="C84">
        <v>421570</v>
      </c>
      <c r="D84">
        <v>10921</v>
      </c>
      <c r="E84">
        <v>6340569</v>
      </c>
      <c r="F84" t="s">
        <v>35</v>
      </c>
      <c r="G84" t="s">
        <v>18</v>
      </c>
    </row>
    <row r="85" spans="1:7" x14ac:dyDescent="0.2">
      <c r="A85" t="s">
        <v>213</v>
      </c>
      <c r="B85" t="s">
        <v>214</v>
      </c>
      <c r="C85">
        <v>415111.12</v>
      </c>
      <c r="D85">
        <v>88747.82</v>
      </c>
      <c r="E85">
        <v>8503858.8000000007</v>
      </c>
      <c r="F85" t="s">
        <v>35</v>
      </c>
      <c r="G85" t="s">
        <v>18</v>
      </c>
    </row>
    <row r="86" spans="1:7" x14ac:dyDescent="0.2">
      <c r="A86" t="s">
        <v>197</v>
      </c>
      <c r="B86" t="s">
        <v>198</v>
      </c>
      <c r="C86">
        <v>414854</v>
      </c>
      <c r="D86">
        <v>22218</v>
      </c>
      <c r="E86">
        <v>6042119</v>
      </c>
      <c r="F86" t="s">
        <v>35</v>
      </c>
      <c r="G86" t="s">
        <v>18</v>
      </c>
    </row>
    <row r="87" spans="1:7" x14ac:dyDescent="0.2">
      <c r="A87" t="s">
        <v>245</v>
      </c>
      <c r="B87" t="s">
        <v>246</v>
      </c>
      <c r="C87">
        <v>406136</v>
      </c>
      <c r="D87">
        <v>11493</v>
      </c>
      <c r="E87">
        <v>2972707</v>
      </c>
      <c r="F87" t="s">
        <v>35</v>
      </c>
      <c r="G87" t="s">
        <v>18</v>
      </c>
    </row>
    <row r="88" spans="1:7" x14ac:dyDescent="0.2">
      <c r="A88" t="s">
        <v>856</v>
      </c>
      <c r="B88" t="s">
        <v>857</v>
      </c>
      <c r="C88">
        <v>392766</v>
      </c>
      <c r="D88">
        <v>32071</v>
      </c>
      <c r="E88">
        <v>3075454</v>
      </c>
      <c r="F88" t="s">
        <v>35</v>
      </c>
      <c r="G88" t="s">
        <v>18</v>
      </c>
    </row>
    <row r="89" spans="1:7" x14ac:dyDescent="0.2">
      <c r="A89" t="s">
        <v>205</v>
      </c>
      <c r="B89" t="s">
        <v>206</v>
      </c>
      <c r="C89">
        <v>359077</v>
      </c>
      <c r="D89">
        <v>1231627</v>
      </c>
      <c r="E89">
        <v>8709104</v>
      </c>
      <c r="F89" t="s">
        <v>35</v>
      </c>
      <c r="G89" t="s">
        <v>18</v>
      </c>
    </row>
    <row r="90" spans="1:7" x14ac:dyDescent="0.2">
      <c r="A90" t="s">
        <v>319</v>
      </c>
      <c r="B90" t="s">
        <v>911</v>
      </c>
      <c r="C90">
        <v>323242</v>
      </c>
      <c r="D90">
        <v>26</v>
      </c>
      <c r="E90">
        <v>4694480</v>
      </c>
      <c r="F90" t="s">
        <v>35</v>
      </c>
      <c r="G90" t="s">
        <v>18</v>
      </c>
    </row>
    <row r="91" spans="1:7" x14ac:dyDescent="0.2">
      <c r="A91" t="s">
        <v>221</v>
      </c>
      <c r="B91" t="s">
        <v>222</v>
      </c>
      <c r="C91">
        <v>303289</v>
      </c>
      <c r="D91">
        <v>235654</v>
      </c>
      <c r="E91">
        <v>4183109</v>
      </c>
      <c r="F91" t="s">
        <v>35</v>
      </c>
      <c r="G91" t="s">
        <v>18</v>
      </c>
    </row>
    <row r="92" spans="1:7" x14ac:dyDescent="0.2">
      <c r="A92" t="s">
        <v>201</v>
      </c>
      <c r="B92" t="s">
        <v>202</v>
      </c>
      <c r="C92">
        <v>297247.17</v>
      </c>
      <c r="D92">
        <v>318731.90999999997</v>
      </c>
      <c r="E92">
        <v>10989679.65</v>
      </c>
      <c r="F92" t="s">
        <v>35</v>
      </c>
      <c r="G92" t="s">
        <v>18</v>
      </c>
    </row>
    <row r="93" spans="1:7" x14ac:dyDescent="0.2">
      <c r="A93" t="s">
        <v>227</v>
      </c>
      <c r="B93" t="s">
        <v>228</v>
      </c>
      <c r="C93">
        <v>288026</v>
      </c>
      <c r="D93">
        <v>2804</v>
      </c>
      <c r="E93">
        <v>551347</v>
      </c>
      <c r="F93" t="s">
        <v>35</v>
      </c>
      <c r="G93" t="s">
        <v>18</v>
      </c>
    </row>
    <row r="94" spans="1:7" x14ac:dyDescent="0.2">
      <c r="A94" t="s">
        <v>852</v>
      </c>
      <c r="B94" t="s">
        <v>308</v>
      </c>
      <c r="C94">
        <v>280892</v>
      </c>
      <c r="D94">
        <v>19832</v>
      </c>
      <c r="E94">
        <v>4786047</v>
      </c>
      <c r="F94" t="s">
        <v>35</v>
      </c>
      <c r="G94" t="s">
        <v>18</v>
      </c>
    </row>
    <row r="95" spans="1:7" x14ac:dyDescent="0.2">
      <c r="A95" t="s">
        <v>239</v>
      </c>
      <c r="B95" t="s">
        <v>240</v>
      </c>
      <c r="C95">
        <v>269851</v>
      </c>
      <c r="D95">
        <v>43700</v>
      </c>
      <c r="E95">
        <v>1684435</v>
      </c>
      <c r="F95" t="s">
        <v>35</v>
      </c>
      <c r="G95" t="s">
        <v>18</v>
      </c>
    </row>
    <row r="96" spans="1:7" x14ac:dyDescent="0.2">
      <c r="A96" t="s">
        <v>912</v>
      </c>
      <c r="B96" t="s">
        <v>260</v>
      </c>
      <c r="C96">
        <v>266489</v>
      </c>
      <c r="D96">
        <v>10934</v>
      </c>
      <c r="E96">
        <v>2410850</v>
      </c>
      <c r="F96" t="s">
        <v>35</v>
      </c>
      <c r="G96" t="s">
        <v>18</v>
      </c>
    </row>
    <row r="97" spans="1:7" x14ac:dyDescent="0.2">
      <c r="A97" t="s">
        <v>851</v>
      </c>
      <c r="B97" t="s">
        <v>208</v>
      </c>
      <c r="C97">
        <v>264030</v>
      </c>
      <c r="D97">
        <v>47016</v>
      </c>
      <c r="E97">
        <v>2976418</v>
      </c>
      <c r="F97" t="s">
        <v>35</v>
      </c>
      <c r="G97" t="s">
        <v>18</v>
      </c>
    </row>
    <row r="98" spans="1:7" x14ac:dyDescent="0.2">
      <c r="A98" t="s">
        <v>913</v>
      </c>
      <c r="B98" t="s">
        <v>914</v>
      </c>
      <c r="C98">
        <v>263580</v>
      </c>
      <c r="D98">
        <v>13</v>
      </c>
      <c r="E98">
        <v>4823415</v>
      </c>
      <c r="F98" t="s">
        <v>35</v>
      </c>
      <c r="G98" t="s">
        <v>18</v>
      </c>
    </row>
    <row r="99" spans="1:7" x14ac:dyDescent="0.2">
      <c r="A99" t="s">
        <v>853</v>
      </c>
      <c r="B99" t="s">
        <v>854</v>
      </c>
      <c r="C99">
        <v>261277</v>
      </c>
      <c r="D99">
        <v>45344</v>
      </c>
      <c r="E99">
        <v>440176</v>
      </c>
      <c r="F99" t="s">
        <v>35</v>
      </c>
      <c r="G99" t="s">
        <v>18</v>
      </c>
    </row>
    <row r="100" spans="1:7" x14ac:dyDescent="0.2">
      <c r="A100" t="s">
        <v>233</v>
      </c>
      <c r="B100" t="s">
        <v>234</v>
      </c>
      <c r="C100">
        <v>260616.65000000002</v>
      </c>
      <c r="D100">
        <v>671735.98</v>
      </c>
      <c r="E100">
        <v>7435812.9400000004</v>
      </c>
      <c r="F100" t="s">
        <v>35</v>
      </c>
      <c r="G100" t="s">
        <v>18</v>
      </c>
    </row>
    <row r="101" spans="1:7" x14ac:dyDescent="0.2">
      <c r="A101" t="s">
        <v>263</v>
      </c>
      <c r="B101" t="s">
        <v>264</v>
      </c>
      <c r="C101">
        <v>258373</v>
      </c>
      <c r="D101">
        <v>11951</v>
      </c>
      <c r="E101">
        <v>3818071</v>
      </c>
      <c r="F101" t="s">
        <v>35</v>
      </c>
      <c r="G101" t="s">
        <v>18</v>
      </c>
    </row>
    <row r="102" spans="1:7" x14ac:dyDescent="0.2">
      <c r="A102" t="s">
        <v>235</v>
      </c>
      <c r="B102" t="s">
        <v>236</v>
      </c>
      <c r="C102">
        <v>256791</v>
      </c>
      <c r="D102">
        <v>1041747</v>
      </c>
      <c r="E102">
        <v>6901598</v>
      </c>
      <c r="F102" t="s">
        <v>35</v>
      </c>
      <c r="G102" t="s">
        <v>18</v>
      </c>
    </row>
    <row r="103" spans="1:7" x14ac:dyDescent="0.2">
      <c r="A103" t="s">
        <v>219</v>
      </c>
      <c r="B103" t="s">
        <v>220</v>
      </c>
      <c r="C103">
        <v>240893</v>
      </c>
      <c r="D103">
        <v>910</v>
      </c>
      <c r="E103">
        <v>516947</v>
      </c>
      <c r="F103" t="s">
        <v>35</v>
      </c>
      <c r="G103" t="s">
        <v>18</v>
      </c>
    </row>
    <row r="104" spans="1:7" x14ac:dyDescent="0.2">
      <c r="A104" t="s">
        <v>915</v>
      </c>
      <c r="B104" t="s">
        <v>232</v>
      </c>
      <c r="C104">
        <v>240000</v>
      </c>
      <c r="D104">
        <v>140146</v>
      </c>
      <c r="E104">
        <v>4994260</v>
      </c>
      <c r="F104" t="s">
        <v>35</v>
      </c>
      <c r="G104" t="s">
        <v>18</v>
      </c>
    </row>
    <row r="105" spans="1:7" x14ac:dyDescent="0.2">
      <c r="A105" t="s">
        <v>241</v>
      </c>
      <c r="B105" t="s">
        <v>242</v>
      </c>
      <c r="C105">
        <v>238835</v>
      </c>
      <c r="D105">
        <v>158810</v>
      </c>
      <c r="E105">
        <v>2087735</v>
      </c>
      <c r="F105" t="s">
        <v>35</v>
      </c>
      <c r="G105" t="s">
        <v>18</v>
      </c>
    </row>
    <row r="106" spans="1:7" x14ac:dyDescent="0.2">
      <c r="A106" t="s">
        <v>267</v>
      </c>
      <c r="B106" t="s">
        <v>268</v>
      </c>
      <c r="C106">
        <v>234549</v>
      </c>
      <c r="D106">
        <v>1190724</v>
      </c>
      <c r="E106">
        <v>6963862</v>
      </c>
      <c r="F106" t="s">
        <v>35</v>
      </c>
      <c r="G106" t="s">
        <v>18</v>
      </c>
    </row>
    <row r="107" spans="1:7" x14ac:dyDescent="0.2">
      <c r="A107" t="s">
        <v>193</v>
      </c>
      <c r="B107" t="s">
        <v>194</v>
      </c>
      <c r="C107">
        <v>232626</v>
      </c>
      <c r="D107">
        <v>15038</v>
      </c>
      <c r="E107">
        <v>3442436</v>
      </c>
      <c r="F107" t="s">
        <v>35</v>
      </c>
      <c r="G107" t="s">
        <v>18</v>
      </c>
    </row>
    <row r="108" spans="1:7" x14ac:dyDescent="0.2">
      <c r="A108" t="s">
        <v>271</v>
      </c>
      <c r="B108" t="s">
        <v>272</v>
      </c>
      <c r="C108">
        <v>229693</v>
      </c>
      <c r="D108">
        <v>33150</v>
      </c>
      <c r="E108">
        <v>3465960</v>
      </c>
      <c r="F108" t="s">
        <v>35</v>
      </c>
      <c r="G108" t="s">
        <v>18</v>
      </c>
    </row>
    <row r="109" spans="1:7" x14ac:dyDescent="0.2">
      <c r="A109" t="s">
        <v>223</v>
      </c>
      <c r="B109" t="s">
        <v>224</v>
      </c>
      <c r="C109">
        <v>228756</v>
      </c>
      <c r="D109">
        <v>21872</v>
      </c>
      <c r="E109">
        <v>1314822</v>
      </c>
      <c r="F109" t="s">
        <v>35</v>
      </c>
      <c r="G109" t="s">
        <v>18</v>
      </c>
    </row>
    <row r="110" spans="1:7" x14ac:dyDescent="0.2">
      <c r="A110" t="s">
        <v>305</v>
      </c>
      <c r="B110" t="s">
        <v>306</v>
      </c>
      <c r="C110">
        <v>225198</v>
      </c>
      <c r="D110">
        <v>4768</v>
      </c>
      <c r="E110">
        <v>3237946</v>
      </c>
      <c r="F110" t="s">
        <v>35</v>
      </c>
      <c r="G110" t="s">
        <v>18</v>
      </c>
    </row>
    <row r="111" spans="1:7" x14ac:dyDescent="0.2">
      <c r="A111" t="s">
        <v>261</v>
      </c>
      <c r="B111" t="s">
        <v>262</v>
      </c>
      <c r="C111">
        <v>224401</v>
      </c>
      <c r="D111">
        <v>758</v>
      </c>
      <c r="E111">
        <v>3202509</v>
      </c>
      <c r="F111" t="s">
        <v>35</v>
      </c>
      <c r="G111" t="s">
        <v>18</v>
      </c>
    </row>
    <row r="112" spans="1:7" x14ac:dyDescent="0.2">
      <c r="A112" t="s">
        <v>145</v>
      </c>
      <c r="B112" t="s">
        <v>146</v>
      </c>
      <c r="C112">
        <v>222360</v>
      </c>
      <c r="D112">
        <v>32829</v>
      </c>
      <c r="E112">
        <v>2215101</v>
      </c>
      <c r="F112" t="s">
        <v>35</v>
      </c>
      <c r="G112" t="s">
        <v>18</v>
      </c>
    </row>
    <row r="113" spans="1:7" x14ac:dyDescent="0.2">
      <c r="A113" t="s">
        <v>273</v>
      </c>
      <c r="B113" t="s">
        <v>274</v>
      </c>
      <c r="C113">
        <v>221378</v>
      </c>
      <c r="D113">
        <v>19000</v>
      </c>
      <c r="E113">
        <v>3280289</v>
      </c>
      <c r="F113" t="s">
        <v>35</v>
      </c>
      <c r="G113" t="s">
        <v>18</v>
      </c>
    </row>
    <row r="114" spans="1:7" x14ac:dyDescent="0.2">
      <c r="A114" t="s">
        <v>243</v>
      </c>
      <c r="B114" t="s">
        <v>244</v>
      </c>
      <c r="C114">
        <v>216204</v>
      </c>
      <c r="D114">
        <v>2437</v>
      </c>
      <c r="E114">
        <v>2654401</v>
      </c>
      <c r="F114" t="s">
        <v>35</v>
      </c>
      <c r="G114" t="s">
        <v>18</v>
      </c>
    </row>
    <row r="115" spans="1:7" x14ac:dyDescent="0.2">
      <c r="A115" t="s">
        <v>253</v>
      </c>
      <c r="B115" t="s">
        <v>254</v>
      </c>
      <c r="C115">
        <v>215966</v>
      </c>
      <c r="D115">
        <v>36822</v>
      </c>
      <c r="E115">
        <v>4452352</v>
      </c>
      <c r="F115" t="s">
        <v>35</v>
      </c>
      <c r="G115" t="s">
        <v>18</v>
      </c>
    </row>
    <row r="116" spans="1:7" x14ac:dyDescent="0.2">
      <c r="A116" t="s">
        <v>237</v>
      </c>
      <c r="B116" t="s">
        <v>238</v>
      </c>
      <c r="C116">
        <v>211923</v>
      </c>
      <c r="D116">
        <v>1322</v>
      </c>
      <c r="E116">
        <v>3410003</v>
      </c>
      <c r="F116" t="s">
        <v>35</v>
      </c>
      <c r="G116" t="s">
        <v>18</v>
      </c>
    </row>
    <row r="117" spans="1:7" x14ac:dyDescent="0.2">
      <c r="A117" t="s">
        <v>849</v>
      </c>
      <c r="B117" t="s">
        <v>850</v>
      </c>
      <c r="C117">
        <v>204632.55</v>
      </c>
      <c r="D117">
        <v>836591</v>
      </c>
      <c r="E117">
        <v>7865081.4500000002</v>
      </c>
      <c r="F117" t="s">
        <v>35</v>
      </c>
      <c r="G117" t="s">
        <v>18</v>
      </c>
    </row>
    <row r="118" spans="1:7" x14ac:dyDescent="0.2">
      <c r="A118" t="s">
        <v>279</v>
      </c>
      <c r="B118" t="s">
        <v>280</v>
      </c>
      <c r="C118">
        <v>202345</v>
      </c>
      <c r="D118">
        <v>616462</v>
      </c>
      <c r="E118">
        <v>6784464</v>
      </c>
      <c r="F118" t="s">
        <v>35</v>
      </c>
      <c r="G118" t="s">
        <v>18</v>
      </c>
    </row>
    <row r="119" spans="1:7" x14ac:dyDescent="0.2">
      <c r="A119" t="s">
        <v>249</v>
      </c>
      <c r="B119" t="s">
        <v>250</v>
      </c>
      <c r="C119">
        <v>195436</v>
      </c>
      <c r="D119">
        <v>549788</v>
      </c>
      <c r="E119">
        <v>5706954</v>
      </c>
      <c r="F119" t="s">
        <v>35</v>
      </c>
      <c r="G119" t="s">
        <v>18</v>
      </c>
    </row>
    <row r="120" spans="1:7" x14ac:dyDescent="0.2">
      <c r="A120" t="s">
        <v>257</v>
      </c>
      <c r="B120" t="s">
        <v>258</v>
      </c>
      <c r="C120">
        <v>190620</v>
      </c>
      <c r="D120">
        <v>52</v>
      </c>
      <c r="E120">
        <v>2817572</v>
      </c>
      <c r="F120" t="s">
        <v>35</v>
      </c>
      <c r="G120" t="s">
        <v>18</v>
      </c>
    </row>
    <row r="121" spans="1:7" x14ac:dyDescent="0.2">
      <c r="A121" t="s">
        <v>217</v>
      </c>
      <c r="B121" t="s">
        <v>218</v>
      </c>
      <c r="C121">
        <v>189872</v>
      </c>
      <c r="D121">
        <v>69166</v>
      </c>
      <c r="E121">
        <v>3545471</v>
      </c>
      <c r="F121" t="s">
        <v>35</v>
      </c>
      <c r="G121" t="s">
        <v>18</v>
      </c>
    </row>
    <row r="122" spans="1:7" x14ac:dyDescent="0.2">
      <c r="A122" t="s">
        <v>181</v>
      </c>
      <c r="B122" t="s">
        <v>182</v>
      </c>
      <c r="C122">
        <v>183919</v>
      </c>
      <c r="D122">
        <v>7270</v>
      </c>
      <c r="E122">
        <v>2637690</v>
      </c>
      <c r="F122" t="s">
        <v>35</v>
      </c>
      <c r="G122" t="s">
        <v>18</v>
      </c>
    </row>
    <row r="123" spans="1:7" x14ac:dyDescent="0.2">
      <c r="A123" t="s">
        <v>283</v>
      </c>
      <c r="B123" t="s">
        <v>284</v>
      </c>
      <c r="C123">
        <v>183116</v>
      </c>
      <c r="D123">
        <v>20828</v>
      </c>
      <c r="E123">
        <v>3254263</v>
      </c>
      <c r="F123" t="s">
        <v>35</v>
      </c>
      <c r="G123" t="s">
        <v>18</v>
      </c>
    </row>
    <row r="124" spans="1:7" x14ac:dyDescent="0.2">
      <c r="A124" t="s">
        <v>251</v>
      </c>
      <c r="B124" t="s">
        <v>252</v>
      </c>
      <c r="C124">
        <v>182823</v>
      </c>
      <c r="D124">
        <v>17262</v>
      </c>
      <c r="E124">
        <v>2721604</v>
      </c>
      <c r="F124" t="s">
        <v>35</v>
      </c>
      <c r="G124" t="s">
        <v>18</v>
      </c>
    </row>
    <row r="125" spans="1:7" x14ac:dyDescent="0.2">
      <c r="A125" t="s">
        <v>916</v>
      </c>
      <c r="B125" t="s">
        <v>917</v>
      </c>
      <c r="C125">
        <v>175088</v>
      </c>
      <c r="D125">
        <v>106105</v>
      </c>
      <c r="E125">
        <v>4509584</v>
      </c>
      <c r="F125" t="s">
        <v>35</v>
      </c>
      <c r="G125" t="s">
        <v>18</v>
      </c>
    </row>
    <row r="126" spans="1:7" x14ac:dyDescent="0.2">
      <c r="A126" t="s">
        <v>859</v>
      </c>
      <c r="B126" t="s">
        <v>860</v>
      </c>
      <c r="C126">
        <v>174709</v>
      </c>
      <c r="D126">
        <v>1486</v>
      </c>
      <c r="E126">
        <v>3072031</v>
      </c>
      <c r="F126" t="s">
        <v>35</v>
      </c>
      <c r="G126" t="s">
        <v>18</v>
      </c>
    </row>
    <row r="127" spans="1:7" x14ac:dyDescent="0.2">
      <c r="A127" t="s">
        <v>357</v>
      </c>
      <c r="B127" t="s">
        <v>358</v>
      </c>
      <c r="C127">
        <v>173658</v>
      </c>
      <c r="D127">
        <v>749</v>
      </c>
      <c r="E127">
        <v>1208750</v>
      </c>
      <c r="F127" t="s">
        <v>35</v>
      </c>
      <c r="G127" t="s">
        <v>18</v>
      </c>
    </row>
    <row r="128" spans="1:7" x14ac:dyDescent="0.2">
      <c r="A128" t="s">
        <v>225</v>
      </c>
      <c r="B128" t="s">
        <v>226</v>
      </c>
      <c r="C128">
        <v>172436</v>
      </c>
      <c r="D128">
        <v>4717</v>
      </c>
      <c r="E128">
        <v>28726</v>
      </c>
      <c r="F128" t="s">
        <v>35</v>
      </c>
      <c r="G128" t="s">
        <v>18</v>
      </c>
    </row>
    <row r="129" spans="1:7" x14ac:dyDescent="0.2">
      <c r="A129" t="s">
        <v>287</v>
      </c>
      <c r="B129" t="s">
        <v>288</v>
      </c>
      <c r="C129">
        <v>171003.04</v>
      </c>
      <c r="D129">
        <v>43135.07</v>
      </c>
      <c r="E129">
        <v>49020394.43</v>
      </c>
      <c r="F129" t="s">
        <v>35</v>
      </c>
      <c r="G129" t="s">
        <v>18</v>
      </c>
    </row>
    <row r="130" spans="1:7" x14ac:dyDescent="0.2">
      <c r="A130" t="s">
        <v>269</v>
      </c>
      <c r="B130" t="s">
        <v>270</v>
      </c>
      <c r="C130">
        <v>170883</v>
      </c>
      <c r="D130">
        <v>29572</v>
      </c>
      <c r="E130">
        <v>2788013</v>
      </c>
      <c r="F130" t="s">
        <v>35</v>
      </c>
      <c r="G130" t="s">
        <v>18</v>
      </c>
    </row>
    <row r="131" spans="1:7" x14ac:dyDescent="0.2">
      <c r="A131" t="s">
        <v>918</v>
      </c>
      <c r="B131" t="s">
        <v>298</v>
      </c>
      <c r="C131">
        <v>167449</v>
      </c>
      <c r="D131">
        <v>114</v>
      </c>
      <c r="E131">
        <v>2582504</v>
      </c>
      <c r="F131" t="s">
        <v>35</v>
      </c>
      <c r="G131" t="s">
        <v>18</v>
      </c>
    </row>
    <row r="132" spans="1:7" x14ac:dyDescent="0.2">
      <c r="A132" t="s">
        <v>293</v>
      </c>
      <c r="B132" t="s">
        <v>294</v>
      </c>
      <c r="C132">
        <v>164904</v>
      </c>
      <c r="D132">
        <v>23139</v>
      </c>
      <c r="E132">
        <v>2242109</v>
      </c>
      <c r="F132" t="s">
        <v>35</v>
      </c>
      <c r="G132" t="s">
        <v>18</v>
      </c>
    </row>
    <row r="133" spans="1:7" x14ac:dyDescent="0.2">
      <c r="A133" t="s">
        <v>919</v>
      </c>
      <c r="B133" t="s">
        <v>920</v>
      </c>
      <c r="C133">
        <v>163804</v>
      </c>
      <c r="D133">
        <v>7711</v>
      </c>
      <c r="E133">
        <v>72560</v>
      </c>
      <c r="F133" t="s">
        <v>35</v>
      </c>
      <c r="G133" t="s">
        <v>18</v>
      </c>
    </row>
    <row r="134" spans="1:7" x14ac:dyDescent="0.2">
      <c r="A134" t="s">
        <v>295</v>
      </c>
      <c r="B134" t="s">
        <v>296</v>
      </c>
      <c r="C134">
        <v>163243</v>
      </c>
      <c r="D134">
        <v>39044</v>
      </c>
      <c r="E134">
        <v>3114522</v>
      </c>
      <c r="F134" t="s">
        <v>35</v>
      </c>
      <c r="G134" t="s">
        <v>18</v>
      </c>
    </row>
    <row r="135" spans="1:7" x14ac:dyDescent="0.2">
      <c r="A135" t="s">
        <v>301</v>
      </c>
      <c r="B135" t="s">
        <v>302</v>
      </c>
      <c r="C135">
        <v>162879</v>
      </c>
      <c r="D135">
        <v>1104592</v>
      </c>
      <c r="E135">
        <v>7185680</v>
      </c>
      <c r="F135" t="s">
        <v>35</v>
      </c>
      <c r="G135" t="s">
        <v>18</v>
      </c>
    </row>
    <row r="136" spans="1:7" x14ac:dyDescent="0.2">
      <c r="A136" t="s">
        <v>247</v>
      </c>
      <c r="B136" t="s">
        <v>248</v>
      </c>
      <c r="C136">
        <v>156151</v>
      </c>
      <c r="D136">
        <v>51815</v>
      </c>
      <c r="E136">
        <v>2544140</v>
      </c>
      <c r="F136" t="s">
        <v>35</v>
      </c>
      <c r="G136" t="s">
        <v>18</v>
      </c>
    </row>
    <row r="137" spans="1:7" x14ac:dyDescent="0.2">
      <c r="A137" t="s">
        <v>291</v>
      </c>
      <c r="B137" t="s">
        <v>292</v>
      </c>
      <c r="C137">
        <v>154996</v>
      </c>
      <c r="D137">
        <v>986</v>
      </c>
      <c r="E137">
        <v>2209657</v>
      </c>
      <c r="F137" t="s">
        <v>35</v>
      </c>
      <c r="G137" t="s">
        <v>18</v>
      </c>
    </row>
    <row r="138" spans="1:7" x14ac:dyDescent="0.2">
      <c r="A138" t="s">
        <v>277</v>
      </c>
      <c r="B138" t="s">
        <v>278</v>
      </c>
      <c r="C138">
        <v>151356</v>
      </c>
      <c r="D138">
        <v>14315</v>
      </c>
      <c r="E138">
        <v>2237773</v>
      </c>
      <c r="F138" t="s">
        <v>35</v>
      </c>
      <c r="G138" t="s">
        <v>18</v>
      </c>
    </row>
    <row r="139" spans="1:7" x14ac:dyDescent="0.2">
      <c r="A139" t="s">
        <v>317</v>
      </c>
      <c r="B139" t="s">
        <v>318</v>
      </c>
      <c r="C139">
        <v>151324</v>
      </c>
      <c r="D139">
        <v>15529</v>
      </c>
      <c r="E139">
        <v>2236694</v>
      </c>
      <c r="F139" t="s">
        <v>35</v>
      </c>
      <c r="G139" t="s">
        <v>18</v>
      </c>
    </row>
    <row r="140" spans="1:7" x14ac:dyDescent="0.2">
      <c r="A140" t="s">
        <v>265</v>
      </c>
      <c r="B140" t="s">
        <v>266</v>
      </c>
      <c r="C140">
        <v>147960.03</v>
      </c>
      <c r="D140">
        <v>72187.06</v>
      </c>
      <c r="E140">
        <v>3018717.74</v>
      </c>
      <c r="F140" t="s">
        <v>35</v>
      </c>
      <c r="G140" t="s">
        <v>18</v>
      </c>
    </row>
    <row r="141" spans="1:7" x14ac:dyDescent="0.2">
      <c r="A141" t="s">
        <v>481</v>
      </c>
      <c r="B141" t="s">
        <v>482</v>
      </c>
      <c r="C141">
        <v>146744</v>
      </c>
      <c r="D141">
        <v>13179</v>
      </c>
      <c r="E141">
        <v>2230667</v>
      </c>
      <c r="F141" t="s">
        <v>35</v>
      </c>
      <c r="G141" t="s">
        <v>18</v>
      </c>
    </row>
    <row r="142" spans="1:7" x14ac:dyDescent="0.2">
      <c r="A142" t="s">
        <v>215</v>
      </c>
      <c r="B142" t="s">
        <v>216</v>
      </c>
      <c r="C142">
        <v>146552</v>
      </c>
      <c r="D142">
        <v>816325</v>
      </c>
      <c r="E142">
        <v>5873237</v>
      </c>
      <c r="F142" t="s">
        <v>35</v>
      </c>
      <c r="G142" t="s">
        <v>18</v>
      </c>
    </row>
    <row r="143" spans="1:7" x14ac:dyDescent="0.2">
      <c r="A143" t="s">
        <v>343</v>
      </c>
      <c r="B143" t="s">
        <v>344</v>
      </c>
      <c r="C143">
        <v>143978</v>
      </c>
      <c r="D143">
        <v>89502</v>
      </c>
      <c r="E143">
        <v>2529279</v>
      </c>
      <c r="F143" t="s">
        <v>35</v>
      </c>
      <c r="G143" t="s">
        <v>18</v>
      </c>
    </row>
    <row r="144" spans="1:7" x14ac:dyDescent="0.2">
      <c r="A144" t="s">
        <v>275</v>
      </c>
      <c r="B144" t="s">
        <v>276</v>
      </c>
      <c r="C144">
        <v>143117</v>
      </c>
      <c r="D144">
        <v>42572.92</v>
      </c>
      <c r="E144">
        <v>2903289.56</v>
      </c>
      <c r="F144" t="s">
        <v>35</v>
      </c>
      <c r="G144" t="s">
        <v>18</v>
      </c>
    </row>
    <row r="145" spans="1:7" x14ac:dyDescent="0.2">
      <c r="A145" t="s">
        <v>303</v>
      </c>
      <c r="B145" t="s">
        <v>304</v>
      </c>
      <c r="C145">
        <v>137983</v>
      </c>
      <c r="D145">
        <v>5047</v>
      </c>
      <c r="E145">
        <v>1984988</v>
      </c>
      <c r="F145" t="s">
        <v>35</v>
      </c>
      <c r="G145" t="s">
        <v>18</v>
      </c>
    </row>
    <row r="146" spans="1:7" x14ac:dyDescent="0.2">
      <c r="A146" t="s">
        <v>335</v>
      </c>
      <c r="B146" t="s">
        <v>336</v>
      </c>
      <c r="C146">
        <v>137912</v>
      </c>
      <c r="D146">
        <v>8870</v>
      </c>
      <c r="E146">
        <v>2007424</v>
      </c>
      <c r="F146" t="s">
        <v>35</v>
      </c>
      <c r="G146" t="s">
        <v>18</v>
      </c>
    </row>
    <row r="147" spans="1:7" x14ac:dyDescent="0.2">
      <c r="A147" t="s">
        <v>341</v>
      </c>
      <c r="B147" t="s">
        <v>342</v>
      </c>
      <c r="C147">
        <v>136752</v>
      </c>
      <c r="D147">
        <v>4841</v>
      </c>
      <c r="E147">
        <v>1969215</v>
      </c>
      <c r="F147" t="s">
        <v>35</v>
      </c>
      <c r="G147" t="s">
        <v>18</v>
      </c>
    </row>
    <row r="148" spans="1:7" x14ac:dyDescent="0.2">
      <c r="A148" t="s">
        <v>321</v>
      </c>
      <c r="B148" t="s">
        <v>322</v>
      </c>
      <c r="C148">
        <v>135550</v>
      </c>
      <c r="D148">
        <v>0</v>
      </c>
      <c r="E148">
        <v>1685086.05</v>
      </c>
      <c r="F148" t="s">
        <v>35</v>
      </c>
      <c r="G148" t="s">
        <v>18</v>
      </c>
    </row>
    <row r="149" spans="1:7" x14ac:dyDescent="0.2">
      <c r="A149" t="s">
        <v>289</v>
      </c>
      <c r="B149" t="s">
        <v>290</v>
      </c>
      <c r="C149">
        <v>133821</v>
      </c>
      <c r="D149">
        <v>48606.03</v>
      </c>
      <c r="E149">
        <v>2761093.47</v>
      </c>
      <c r="F149" t="s">
        <v>35</v>
      </c>
      <c r="G149" t="s">
        <v>18</v>
      </c>
    </row>
    <row r="150" spans="1:7" x14ac:dyDescent="0.2">
      <c r="A150" t="s">
        <v>329</v>
      </c>
      <c r="B150" t="s">
        <v>330</v>
      </c>
      <c r="C150">
        <v>133263</v>
      </c>
      <c r="D150">
        <v>1669</v>
      </c>
      <c r="E150">
        <v>1291925</v>
      </c>
      <c r="F150" t="s">
        <v>35</v>
      </c>
      <c r="G150" t="s">
        <v>18</v>
      </c>
    </row>
    <row r="151" spans="1:7" x14ac:dyDescent="0.2">
      <c r="A151" t="s">
        <v>339</v>
      </c>
      <c r="B151" t="s">
        <v>340</v>
      </c>
      <c r="C151">
        <v>132526</v>
      </c>
      <c r="D151">
        <v>8479</v>
      </c>
      <c r="E151">
        <v>1931929</v>
      </c>
      <c r="F151" t="s">
        <v>35</v>
      </c>
      <c r="G151" t="s">
        <v>18</v>
      </c>
    </row>
    <row r="152" spans="1:7" x14ac:dyDescent="0.2">
      <c r="A152" t="s">
        <v>311</v>
      </c>
      <c r="B152" t="s">
        <v>312</v>
      </c>
      <c r="C152">
        <v>131614</v>
      </c>
      <c r="D152">
        <v>18751</v>
      </c>
      <c r="E152">
        <v>2176865</v>
      </c>
      <c r="F152" t="s">
        <v>35</v>
      </c>
      <c r="G152" t="s">
        <v>18</v>
      </c>
    </row>
    <row r="153" spans="1:7" x14ac:dyDescent="0.2">
      <c r="A153" t="s">
        <v>299</v>
      </c>
      <c r="B153" t="s">
        <v>300</v>
      </c>
      <c r="C153">
        <v>129412</v>
      </c>
      <c r="D153">
        <v>673</v>
      </c>
      <c r="E153">
        <v>14499</v>
      </c>
      <c r="F153" t="s">
        <v>35</v>
      </c>
      <c r="G153" t="s">
        <v>18</v>
      </c>
    </row>
    <row r="154" spans="1:7" x14ac:dyDescent="0.2">
      <c r="A154" t="s">
        <v>433</v>
      </c>
      <c r="B154" t="s">
        <v>434</v>
      </c>
      <c r="C154">
        <v>128058</v>
      </c>
      <c r="D154">
        <v>85678</v>
      </c>
      <c r="E154">
        <v>2446491</v>
      </c>
      <c r="F154" t="s">
        <v>35</v>
      </c>
      <c r="G154" t="s">
        <v>18</v>
      </c>
    </row>
    <row r="155" spans="1:7" x14ac:dyDescent="0.2">
      <c r="A155" t="s">
        <v>309</v>
      </c>
      <c r="B155" t="s">
        <v>310</v>
      </c>
      <c r="C155">
        <v>127086</v>
      </c>
      <c r="D155">
        <v>124002</v>
      </c>
      <c r="E155">
        <v>2868360</v>
      </c>
      <c r="F155" t="s">
        <v>35</v>
      </c>
      <c r="G155" t="s">
        <v>18</v>
      </c>
    </row>
    <row r="156" spans="1:7" x14ac:dyDescent="0.2">
      <c r="A156" t="s">
        <v>405</v>
      </c>
      <c r="B156" t="s">
        <v>406</v>
      </c>
      <c r="C156">
        <v>124749</v>
      </c>
      <c r="D156">
        <v>949</v>
      </c>
      <c r="E156">
        <v>125748</v>
      </c>
      <c r="F156" t="s">
        <v>35</v>
      </c>
      <c r="G156" t="s">
        <v>18</v>
      </c>
    </row>
    <row r="157" spans="1:7" x14ac:dyDescent="0.2">
      <c r="A157" t="s">
        <v>353</v>
      </c>
      <c r="B157" t="s">
        <v>354</v>
      </c>
      <c r="C157">
        <v>121307</v>
      </c>
      <c r="D157">
        <v>85124</v>
      </c>
      <c r="E157">
        <v>1609027</v>
      </c>
      <c r="F157" t="s">
        <v>35</v>
      </c>
      <c r="G157" t="s">
        <v>18</v>
      </c>
    </row>
    <row r="158" spans="1:7" x14ac:dyDescent="0.2">
      <c r="A158" t="s">
        <v>327</v>
      </c>
      <c r="B158" t="s">
        <v>328</v>
      </c>
      <c r="C158">
        <v>120870</v>
      </c>
      <c r="D158">
        <v>101510</v>
      </c>
      <c r="E158">
        <v>2346225</v>
      </c>
      <c r="F158" t="s">
        <v>35</v>
      </c>
      <c r="G158" t="s">
        <v>18</v>
      </c>
    </row>
    <row r="159" spans="1:7" x14ac:dyDescent="0.2">
      <c r="A159" t="s">
        <v>391</v>
      </c>
      <c r="B159" t="s">
        <v>392</v>
      </c>
      <c r="C159">
        <v>117858</v>
      </c>
      <c r="D159">
        <v>64135</v>
      </c>
      <c r="E159">
        <v>2170879</v>
      </c>
      <c r="F159" t="s">
        <v>35</v>
      </c>
      <c r="G159" t="s">
        <v>18</v>
      </c>
    </row>
    <row r="160" spans="1:7" x14ac:dyDescent="0.2">
      <c r="A160" t="s">
        <v>861</v>
      </c>
      <c r="B160" t="s">
        <v>862</v>
      </c>
      <c r="C160">
        <v>117448</v>
      </c>
      <c r="D160">
        <v>65867</v>
      </c>
      <c r="E160">
        <v>2025529</v>
      </c>
      <c r="F160" t="s">
        <v>35</v>
      </c>
      <c r="G160" t="s">
        <v>18</v>
      </c>
    </row>
    <row r="161" spans="1:7" x14ac:dyDescent="0.2">
      <c r="A161" t="s">
        <v>333</v>
      </c>
      <c r="B161" t="s">
        <v>334</v>
      </c>
      <c r="C161">
        <v>114808</v>
      </c>
      <c r="D161">
        <v>6286</v>
      </c>
      <c r="E161">
        <v>1674472</v>
      </c>
      <c r="F161" t="s">
        <v>35</v>
      </c>
      <c r="G161" t="s">
        <v>18</v>
      </c>
    </row>
    <row r="162" spans="1:7" x14ac:dyDescent="0.2">
      <c r="A162" t="s">
        <v>323</v>
      </c>
      <c r="B162" t="s">
        <v>324</v>
      </c>
      <c r="C162">
        <v>113836</v>
      </c>
      <c r="D162">
        <v>270740</v>
      </c>
      <c r="E162">
        <v>3845115</v>
      </c>
      <c r="F162" t="s">
        <v>35</v>
      </c>
      <c r="G162" t="s">
        <v>18</v>
      </c>
    </row>
    <row r="163" spans="1:7" x14ac:dyDescent="0.2">
      <c r="A163" t="s">
        <v>371</v>
      </c>
      <c r="B163" t="s">
        <v>372</v>
      </c>
      <c r="C163">
        <v>112524</v>
      </c>
      <c r="D163">
        <v>132</v>
      </c>
      <c r="E163">
        <v>660385</v>
      </c>
      <c r="F163" t="s">
        <v>35</v>
      </c>
      <c r="G163" t="s">
        <v>18</v>
      </c>
    </row>
    <row r="164" spans="1:7" x14ac:dyDescent="0.2">
      <c r="A164" t="s">
        <v>858</v>
      </c>
      <c r="B164" t="s">
        <v>446</v>
      </c>
      <c r="C164">
        <v>112315</v>
      </c>
      <c r="D164">
        <v>2990</v>
      </c>
      <c r="E164">
        <v>1740797</v>
      </c>
      <c r="F164" t="s">
        <v>35</v>
      </c>
      <c r="G164" t="s">
        <v>18</v>
      </c>
    </row>
    <row r="165" spans="1:7" x14ac:dyDescent="0.2">
      <c r="A165" t="s">
        <v>393</v>
      </c>
      <c r="B165" t="s">
        <v>394</v>
      </c>
      <c r="C165">
        <v>110398</v>
      </c>
      <c r="D165">
        <v>537</v>
      </c>
      <c r="E165">
        <v>1580781</v>
      </c>
      <c r="F165" t="s">
        <v>35</v>
      </c>
      <c r="G165" t="s">
        <v>18</v>
      </c>
    </row>
    <row r="166" spans="1:7" x14ac:dyDescent="0.2">
      <c r="A166" t="s">
        <v>421</v>
      </c>
      <c r="B166" t="s">
        <v>422</v>
      </c>
      <c r="C166">
        <v>109583</v>
      </c>
      <c r="D166">
        <v>13</v>
      </c>
      <c r="E166">
        <v>1805868</v>
      </c>
      <c r="F166" t="s">
        <v>35</v>
      </c>
      <c r="G166" t="s">
        <v>18</v>
      </c>
    </row>
    <row r="167" spans="1:7" x14ac:dyDescent="0.2">
      <c r="A167" t="s">
        <v>355</v>
      </c>
      <c r="B167" t="s">
        <v>356</v>
      </c>
      <c r="C167">
        <v>107644</v>
      </c>
      <c r="D167">
        <v>18845</v>
      </c>
      <c r="E167">
        <v>1557827</v>
      </c>
      <c r="F167" t="s">
        <v>35</v>
      </c>
      <c r="G167" t="s">
        <v>18</v>
      </c>
    </row>
    <row r="168" spans="1:7" x14ac:dyDescent="0.2">
      <c r="A168" t="s">
        <v>285</v>
      </c>
      <c r="B168" t="s">
        <v>286</v>
      </c>
      <c r="C168">
        <v>107223</v>
      </c>
      <c r="D168">
        <v>50006</v>
      </c>
      <c r="E168">
        <v>1194292</v>
      </c>
      <c r="F168" t="s">
        <v>35</v>
      </c>
      <c r="G168" t="s">
        <v>18</v>
      </c>
    </row>
    <row r="169" spans="1:7" x14ac:dyDescent="0.2">
      <c r="A169" t="s">
        <v>229</v>
      </c>
      <c r="B169" t="s">
        <v>230</v>
      </c>
      <c r="C169">
        <v>105486</v>
      </c>
      <c r="D169">
        <v>1224</v>
      </c>
      <c r="E169">
        <v>1511083</v>
      </c>
      <c r="F169" t="s">
        <v>35</v>
      </c>
      <c r="G169" t="s">
        <v>18</v>
      </c>
    </row>
    <row r="170" spans="1:7" x14ac:dyDescent="0.2">
      <c r="A170" t="s">
        <v>383</v>
      </c>
      <c r="B170" t="s">
        <v>384</v>
      </c>
      <c r="C170">
        <v>104229</v>
      </c>
      <c r="D170">
        <v>9225</v>
      </c>
      <c r="E170">
        <v>1543800</v>
      </c>
      <c r="F170" t="s">
        <v>35</v>
      </c>
      <c r="G170" t="s">
        <v>18</v>
      </c>
    </row>
    <row r="171" spans="1:7" x14ac:dyDescent="0.2">
      <c r="A171" t="s">
        <v>377</v>
      </c>
      <c r="B171" t="s">
        <v>378</v>
      </c>
      <c r="C171">
        <v>103532</v>
      </c>
      <c r="D171">
        <v>11101</v>
      </c>
      <c r="E171">
        <v>669341</v>
      </c>
      <c r="F171" t="s">
        <v>35</v>
      </c>
      <c r="G171" t="s">
        <v>18</v>
      </c>
    </row>
    <row r="172" spans="1:7" x14ac:dyDescent="0.2">
      <c r="A172" t="s">
        <v>381</v>
      </c>
      <c r="B172" t="s">
        <v>382</v>
      </c>
      <c r="C172">
        <v>103093</v>
      </c>
      <c r="D172">
        <v>4131</v>
      </c>
      <c r="E172">
        <v>1502515</v>
      </c>
      <c r="F172" t="s">
        <v>35</v>
      </c>
      <c r="G172" t="s">
        <v>18</v>
      </c>
    </row>
    <row r="173" spans="1:7" x14ac:dyDescent="0.2">
      <c r="A173" t="s">
        <v>325</v>
      </c>
      <c r="B173" t="s">
        <v>326</v>
      </c>
      <c r="C173">
        <v>102416</v>
      </c>
      <c r="D173">
        <v>19668</v>
      </c>
      <c r="E173">
        <v>1743651</v>
      </c>
      <c r="F173" t="s">
        <v>35</v>
      </c>
      <c r="G173" t="s">
        <v>18</v>
      </c>
    </row>
    <row r="174" spans="1:7" x14ac:dyDescent="0.2">
      <c r="A174" t="s">
        <v>389</v>
      </c>
      <c r="B174" t="s">
        <v>390</v>
      </c>
      <c r="C174">
        <v>101931</v>
      </c>
      <c r="D174">
        <v>17502</v>
      </c>
      <c r="E174">
        <v>669481</v>
      </c>
      <c r="F174" t="s">
        <v>35</v>
      </c>
      <c r="G174" t="s">
        <v>18</v>
      </c>
    </row>
    <row r="175" spans="1:7" x14ac:dyDescent="0.2">
      <c r="A175" t="s">
        <v>331</v>
      </c>
      <c r="B175" t="s">
        <v>332</v>
      </c>
      <c r="C175">
        <v>101105</v>
      </c>
      <c r="D175">
        <v>62851</v>
      </c>
      <c r="E175">
        <v>1808613</v>
      </c>
      <c r="F175" t="s">
        <v>35</v>
      </c>
      <c r="G175" t="s">
        <v>18</v>
      </c>
    </row>
    <row r="176" spans="1:7" x14ac:dyDescent="0.2">
      <c r="A176" t="s">
        <v>177</v>
      </c>
      <c r="B176" t="s">
        <v>178</v>
      </c>
      <c r="C176">
        <v>99369</v>
      </c>
      <c r="D176">
        <v>14224</v>
      </c>
      <c r="E176">
        <v>3335315</v>
      </c>
      <c r="F176" t="s">
        <v>35</v>
      </c>
      <c r="G176" t="s">
        <v>18</v>
      </c>
    </row>
    <row r="177" spans="1:7" x14ac:dyDescent="0.2">
      <c r="A177" t="s">
        <v>361</v>
      </c>
      <c r="B177" t="s">
        <v>362</v>
      </c>
      <c r="C177">
        <v>97268</v>
      </c>
      <c r="D177">
        <v>86179</v>
      </c>
      <c r="E177">
        <v>2267779</v>
      </c>
      <c r="F177" t="s">
        <v>35</v>
      </c>
      <c r="G177" t="s">
        <v>18</v>
      </c>
    </row>
    <row r="178" spans="1:7" x14ac:dyDescent="0.2">
      <c r="A178" t="s">
        <v>347</v>
      </c>
      <c r="B178" t="s">
        <v>348</v>
      </c>
      <c r="C178">
        <v>96173</v>
      </c>
      <c r="D178">
        <v>30</v>
      </c>
      <c r="E178">
        <v>1321580</v>
      </c>
      <c r="F178" t="s">
        <v>35</v>
      </c>
      <c r="G178" t="s">
        <v>18</v>
      </c>
    </row>
    <row r="179" spans="1:7" x14ac:dyDescent="0.2">
      <c r="A179" t="s">
        <v>385</v>
      </c>
      <c r="B179" t="s">
        <v>386</v>
      </c>
      <c r="C179">
        <v>95085</v>
      </c>
      <c r="D179">
        <v>384</v>
      </c>
      <c r="E179">
        <v>1355931</v>
      </c>
      <c r="F179" t="s">
        <v>35</v>
      </c>
      <c r="G179" t="s">
        <v>18</v>
      </c>
    </row>
    <row r="180" spans="1:7" x14ac:dyDescent="0.2">
      <c r="A180" t="s">
        <v>457</v>
      </c>
      <c r="B180" t="s">
        <v>458</v>
      </c>
      <c r="C180">
        <v>93917</v>
      </c>
      <c r="D180">
        <v>3856</v>
      </c>
      <c r="E180">
        <v>1348115</v>
      </c>
      <c r="F180" t="s">
        <v>35</v>
      </c>
      <c r="G180" t="s">
        <v>18</v>
      </c>
    </row>
    <row r="181" spans="1:7" x14ac:dyDescent="0.2">
      <c r="A181" t="s">
        <v>373</v>
      </c>
      <c r="B181" t="s">
        <v>374</v>
      </c>
      <c r="C181">
        <v>93149</v>
      </c>
      <c r="D181">
        <v>49683</v>
      </c>
      <c r="E181">
        <v>1663659</v>
      </c>
      <c r="F181" t="s">
        <v>35</v>
      </c>
      <c r="G181" t="s">
        <v>18</v>
      </c>
    </row>
    <row r="182" spans="1:7" x14ac:dyDescent="0.2">
      <c r="A182" t="s">
        <v>443</v>
      </c>
      <c r="B182" t="s">
        <v>444</v>
      </c>
      <c r="C182">
        <v>91574</v>
      </c>
      <c r="D182">
        <v>269</v>
      </c>
      <c r="E182">
        <v>1306498</v>
      </c>
      <c r="F182" t="s">
        <v>35</v>
      </c>
      <c r="G182" t="s">
        <v>18</v>
      </c>
    </row>
    <row r="183" spans="1:7" x14ac:dyDescent="0.2">
      <c r="A183" t="s">
        <v>401</v>
      </c>
      <c r="B183" t="s">
        <v>402</v>
      </c>
      <c r="C183">
        <v>91071</v>
      </c>
      <c r="D183">
        <v>110</v>
      </c>
      <c r="E183">
        <v>1298538</v>
      </c>
      <c r="F183" t="s">
        <v>35</v>
      </c>
      <c r="G183" t="s">
        <v>18</v>
      </c>
    </row>
    <row r="184" spans="1:7" x14ac:dyDescent="0.2">
      <c r="A184" t="s">
        <v>403</v>
      </c>
      <c r="B184" t="s">
        <v>404</v>
      </c>
      <c r="C184">
        <v>90947</v>
      </c>
      <c r="D184">
        <v>1468</v>
      </c>
      <c r="E184">
        <v>891466</v>
      </c>
      <c r="F184" t="s">
        <v>35</v>
      </c>
      <c r="G184" t="s">
        <v>18</v>
      </c>
    </row>
    <row r="185" spans="1:7" x14ac:dyDescent="0.2">
      <c r="A185" t="s">
        <v>507</v>
      </c>
      <c r="B185" t="s">
        <v>508</v>
      </c>
      <c r="C185">
        <v>90567</v>
      </c>
      <c r="D185">
        <v>17036</v>
      </c>
      <c r="E185">
        <v>1097471</v>
      </c>
      <c r="F185" t="s">
        <v>35</v>
      </c>
      <c r="G185" t="s">
        <v>18</v>
      </c>
    </row>
    <row r="186" spans="1:7" x14ac:dyDescent="0.2">
      <c r="A186" t="s">
        <v>369</v>
      </c>
      <c r="B186" t="s">
        <v>370</v>
      </c>
      <c r="C186">
        <v>90393</v>
      </c>
      <c r="D186">
        <v>58257</v>
      </c>
      <c r="E186">
        <v>1611344</v>
      </c>
      <c r="F186" t="s">
        <v>35</v>
      </c>
      <c r="G186" t="s">
        <v>18</v>
      </c>
    </row>
    <row r="187" spans="1:7" x14ac:dyDescent="0.2">
      <c r="A187" t="s">
        <v>453</v>
      </c>
      <c r="B187" t="s">
        <v>454</v>
      </c>
      <c r="C187">
        <v>89280</v>
      </c>
      <c r="D187">
        <v>0</v>
      </c>
      <c r="E187">
        <v>1275384</v>
      </c>
      <c r="F187" t="s">
        <v>35</v>
      </c>
      <c r="G187" t="s">
        <v>18</v>
      </c>
    </row>
    <row r="188" spans="1:7" x14ac:dyDescent="0.2">
      <c r="A188" t="s">
        <v>399</v>
      </c>
      <c r="B188" t="s">
        <v>400</v>
      </c>
      <c r="C188">
        <v>88850</v>
      </c>
      <c r="D188">
        <v>281244</v>
      </c>
      <c r="E188">
        <v>3292804</v>
      </c>
      <c r="F188" t="s">
        <v>35</v>
      </c>
      <c r="G188" t="s">
        <v>18</v>
      </c>
    </row>
    <row r="189" spans="1:7" x14ac:dyDescent="0.2">
      <c r="A189" t="s">
        <v>367</v>
      </c>
      <c r="B189" t="s">
        <v>368</v>
      </c>
      <c r="C189">
        <v>88549</v>
      </c>
      <c r="D189">
        <v>322</v>
      </c>
      <c r="E189">
        <v>932617</v>
      </c>
      <c r="F189" t="s">
        <v>35</v>
      </c>
      <c r="G189" t="s">
        <v>18</v>
      </c>
    </row>
    <row r="190" spans="1:7" x14ac:dyDescent="0.2">
      <c r="A190" t="s">
        <v>409</v>
      </c>
      <c r="B190" t="s">
        <v>410</v>
      </c>
      <c r="C190">
        <v>86875</v>
      </c>
      <c r="D190">
        <v>153924</v>
      </c>
      <c r="E190">
        <v>2656470</v>
      </c>
      <c r="F190" t="s">
        <v>35</v>
      </c>
      <c r="G190" t="s">
        <v>18</v>
      </c>
    </row>
    <row r="191" spans="1:7" x14ac:dyDescent="0.2">
      <c r="A191" t="s">
        <v>503</v>
      </c>
      <c r="B191" t="s">
        <v>504</v>
      </c>
      <c r="C191">
        <v>85641</v>
      </c>
      <c r="D191">
        <v>74</v>
      </c>
      <c r="E191">
        <v>1219530</v>
      </c>
      <c r="F191" t="s">
        <v>35</v>
      </c>
      <c r="G191" t="s">
        <v>18</v>
      </c>
    </row>
    <row r="192" spans="1:7" x14ac:dyDescent="0.2">
      <c r="A192" t="s">
        <v>557</v>
      </c>
      <c r="B192" t="s">
        <v>558</v>
      </c>
      <c r="C192">
        <v>85402.82</v>
      </c>
      <c r="D192">
        <v>26632</v>
      </c>
      <c r="E192">
        <v>1206343.3799999999</v>
      </c>
      <c r="F192" t="s">
        <v>35</v>
      </c>
      <c r="G192" t="s">
        <v>18</v>
      </c>
    </row>
    <row r="193" spans="1:7" x14ac:dyDescent="0.2">
      <c r="A193" t="s">
        <v>411</v>
      </c>
      <c r="B193" t="s">
        <v>412</v>
      </c>
      <c r="C193">
        <v>84473</v>
      </c>
      <c r="D193">
        <v>2613</v>
      </c>
      <c r="E193">
        <v>1227112</v>
      </c>
      <c r="F193" t="s">
        <v>35</v>
      </c>
      <c r="G193" t="s">
        <v>18</v>
      </c>
    </row>
    <row r="194" spans="1:7" x14ac:dyDescent="0.2">
      <c r="A194" t="s">
        <v>921</v>
      </c>
      <c r="B194" t="s">
        <v>922</v>
      </c>
      <c r="C194">
        <v>82509</v>
      </c>
      <c r="D194">
        <v>722</v>
      </c>
      <c r="E194">
        <v>82125</v>
      </c>
      <c r="F194" t="s">
        <v>35</v>
      </c>
      <c r="G194" t="s">
        <v>18</v>
      </c>
    </row>
    <row r="195" spans="1:7" x14ac:dyDescent="0.2">
      <c r="A195" t="s">
        <v>365</v>
      </c>
      <c r="B195" t="s">
        <v>366</v>
      </c>
      <c r="C195">
        <v>82274</v>
      </c>
      <c r="D195">
        <v>2434</v>
      </c>
      <c r="E195">
        <v>1189877</v>
      </c>
      <c r="F195" t="s">
        <v>35</v>
      </c>
      <c r="G195" t="s">
        <v>18</v>
      </c>
    </row>
    <row r="196" spans="1:7" x14ac:dyDescent="0.2">
      <c r="A196" t="s">
        <v>471</v>
      </c>
      <c r="B196" t="s">
        <v>472</v>
      </c>
      <c r="C196">
        <v>81798</v>
      </c>
      <c r="D196">
        <v>65799</v>
      </c>
      <c r="E196">
        <v>1845594</v>
      </c>
      <c r="F196" t="s">
        <v>35</v>
      </c>
      <c r="G196" t="s">
        <v>18</v>
      </c>
    </row>
    <row r="197" spans="1:7" x14ac:dyDescent="0.2">
      <c r="A197" t="s">
        <v>431</v>
      </c>
      <c r="B197" t="s">
        <v>432</v>
      </c>
      <c r="C197">
        <v>81635</v>
      </c>
      <c r="D197">
        <v>7239</v>
      </c>
      <c r="E197">
        <v>1173295</v>
      </c>
      <c r="F197" t="s">
        <v>35</v>
      </c>
      <c r="G197" t="s">
        <v>18</v>
      </c>
    </row>
    <row r="198" spans="1:7" x14ac:dyDescent="0.2">
      <c r="A198" t="s">
        <v>427</v>
      </c>
      <c r="B198" t="s">
        <v>428</v>
      </c>
      <c r="C198">
        <v>81146</v>
      </c>
      <c r="D198">
        <v>711</v>
      </c>
      <c r="E198">
        <v>1158384</v>
      </c>
      <c r="F198" t="s">
        <v>35</v>
      </c>
      <c r="G198" t="s">
        <v>18</v>
      </c>
    </row>
    <row r="199" spans="1:7" x14ac:dyDescent="0.2">
      <c r="A199" t="s">
        <v>349</v>
      </c>
      <c r="B199" t="s">
        <v>350</v>
      </c>
      <c r="C199">
        <v>79666</v>
      </c>
      <c r="D199">
        <v>0</v>
      </c>
      <c r="E199">
        <v>1080199</v>
      </c>
      <c r="F199" t="s">
        <v>35</v>
      </c>
      <c r="G199" t="s">
        <v>18</v>
      </c>
    </row>
    <row r="200" spans="1:7" x14ac:dyDescent="0.2">
      <c r="A200" t="s">
        <v>423</v>
      </c>
      <c r="B200" t="s">
        <v>424</v>
      </c>
      <c r="C200">
        <v>79550</v>
      </c>
      <c r="D200">
        <v>13643</v>
      </c>
      <c r="E200">
        <v>610382</v>
      </c>
      <c r="F200" t="s">
        <v>35</v>
      </c>
      <c r="G200" t="s">
        <v>18</v>
      </c>
    </row>
    <row r="201" spans="1:7" x14ac:dyDescent="0.2">
      <c r="A201" t="s">
        <v>867</v>
      </c>
      <c r="B201" t="s">
        <v>868</v>
      </c>
      <c r="C201">
        <v>79348</v>
      </c>
      <c r="D201">
        <v>6841</v>
      </c>
      <c r="E201">
        <v>519399</v>
      </c>
      <c r="F201" t="s">
        <v>35</v>
      </c>
      <c r="G201" t="s">
        <v>18</v>
      </c>
    </row>
    <row r="202" spans="1:7" x14ac:dyDescent="0.2">
      <c r="A202" t="s">
        <v>429</v>
      </c>
      <c r="B202" t="s">
        <v>430</v>
      </c>
      <c r="C202">
        <v>77952</v>
      </c>
      <c r="D202">
        <v>44770</v>
      </c>
      <c r="E202">
        <v>835125</v>
      </c>
      <c r="F202" t="s">
        <v>35</v>
      </c>
      <c r="G202" t="s">
        <v>18</v>
      </c>
    </row>
    <row r="203" spans="1:7" x14ac:dyDescent="0.2">
      <c r="A203" t="s">
        <v>437</v>
      </c>
      <c r="B203" t="s">
        <v>438</v>
      </c>
      <c r="C203">
        <v>76390</v>
      </c>
      <c r="D203">
        <v>36</v>
      </c>
      <c r="E203">
        <v>1120861</v>
      </c>
      <c r="F203" t="s">
        <v>35</v>
      </c>
      <c r="G203" t="s">
        <v>18</v>
      </c>
    </row>
    <row r="204" spans="1:7" x14ac:dyDescent="0.2">
      <c r="A204" t="s">
        <v>313</v>
      </c>
      <c r="B204" t="s">
        <v>314</v>
      </c>
      <c r="C204">
        <v>76227</v>
      </c>
      <c r="D204">
        <v>90773</v>
      </c>
      <c r="E204">
        <v>1680507</v>
      </c>
      <c r="F204" t="s">
        <v>35</v>
      </c>
      <c r="G204" t="s">
        <v>18</v>
      </c>
    </row>
    <row r="205" spans="1:7" x14ac:dyDescent="0.2">
      <c r="A205" t="s">
        <v>465</v>
      </c>
      <c r="B205" t="s">
        <v>466</v>
      </c>
      <c r="C205">
        <v>75603</v>
      </c>
      <c r="D205">
        <v>56</v>
      </c>
      <c r="E205">
        <v>553198</v>
      </c>
      <c r="F205" t="s">
        <v>35</v>
      </c>
      <c r="G205" t="s">
        <v>18</v>
      </c>
    </row>
    <row r="206" spans="1:7" x14ac:dyDescent="0.2">
      <c r="A206" t="s">
        <v>923</v>
      </c>
      <c r="B206" t="s">
        <v>924</v>
      </c>
      <c r="C206">
        <v>74184</v>
      </c>
      <c r="D206">
        <v>309</v>
      </c>
      <c r="E206">
        <v>1155003</v>
      </c>
      <c r="F206" t="s">
        <v>35</v>
      </c>
      <c r="G206" t="s">
        <v>18</v>
      </c>
    </row>
    <row r="207" spans="1:7" x14ac:dyDescent="0.2">
      <c r="A207" t="s">
        <v>419</v>
      </c>
      <c r="B207" t="s">
        <v>420</v>
      </c>
      <c r="C207">
        <v>74081</v>
      </c>
      <c r="D207">
        <v>110340.13</v>
      </c>
      <c r="E207">
        <v>1964703.27</v>
      </c>
      <c r="F207" t="s">
        <v>35</v>
      </c>
      <c r="G207" t="s">
        <v>18</v>
      </c>
    </row>
    <row r="208" spans="1:7" x14ac:dyDescent="0.2">
      <c r="A208" t="s">
        <v>413</v>
      </c>
      <c r="B208" t="s">
        <v>414</v>
      </c>
      <c r="C208">
        <v>73744</v>
      </c>
      <c r="D208">
        <v>318</v>
      </c>
      <c r="E208">
        <v>30216</v>
      </c>
      <c r="F208" t="s">
        <v>35</v>
      </c>
      <c r="G208" t="s">
        <v>18</v>
      </c>
    </row>
    <row r="209" spans="1:7" x14ac:dyDescent="0.2">
      <c r="A209" t="s">
        <v>491</v>
      </c>
      <c r="B209" t="s">
        <v>492</v>
      </c>
      <c r="C209">
        <v>73548</v>
      </c>
      <c r="D209">
        <v>283010</v>
      </c>
      <c r="E209">
        <v>1992023</v>
      </c>
      <c r="F209" t="s">
        <v>35</v>
      </c>
      <c r="G209" t="s">
        <v>18</v>
      </c>
    </row>
    <row r="210" spans="1:7" x14ac:dyDescent="0.2">
      <c r="A210" t="s">
        <v>363</v>
      </c>
      <c r="B210" t="s">
        <v>364</v>
      </c>
      <c r="C210">
        <v>72869</v>
      </c>
      <c r="D210">
        <v>7916.06</v>
      </c>
      <c r="E210">
        <v>1514417.91</v>
      </c>
      <c r="F210" t="s">
        <v>35</v>
      </c>
      <c r="G210" t="s">
        <v>18</v>
      </c>
    </row>
    <row r="211" spans="1:7" x14ac:dyDescent="0.2">
      <c r="A211" t="s">
        <v>425</v>
      </c>
      <c r="B211" t="s">
        <v>426</v>
      </c>
      <c r="C211">
        <v>71587</v>
      </c>
      <c r="D211">
        <v>43398</v>
      </c>
      <c r="E211">
        <v>1150406</v>
      </c>
      <c r="F211" t="s">
        <v>35</v>
      </c>
      <c r="G211" t="s">
        <v>18</v>
      </c>
    </row>
    <row r="212" spans="1:7" x14ac:dyDescent="0.2">
      <c r="A212" t="s">
        <v>925</v>
      </c>
      <c r="B212" t="s">
        <v>926</v>
      </c>
      <c r="C212">
        <v>70534</v>
      </c>
      <c r="D212">
        <v>1242</v>
      </c>
      <c r="E212">
        <v>1021453</v>
      </c>
      <c r="F212" t="s">
        <v>35</v>
      </c>
      <c r="G212" t="s">
        <v>18</v>
      </c>
    </row>
    <row r="213" spans="1:7" x14ac:dyDescent="0.2">
      <c r="A213" t="s">
        <v>447</v>
      </c>
      <c r="B213" t="s">
        <v>448</v>
      </c>
      <c r="C213">
        <v>70120</v>
      </c>
      <c r="D213">
        <v>438</v>
      </c>
      <c r="E213">
        <v>998797</v>
      </c>
      <c r="F213" t="s">
        <v>35</v>
      </c>
      <c r="G213" t="s">
        <v>18</v>
      </c>
    </row>
    <row r="214" spans="1:7" x14ac:dyDescent="0.2">
      <c r="A214" t="s">
        <v>479</v>
      </c>
      <c r="B214" t="s">
        <v>480</v>
      </c>
      <c r="C214">
        <v>68132</v>
      </c>
      <c r="D214">
        <v>147051</v>
      </c>
      <c r="E214">
        <v>3579192</v>
      </c>
      <c r="F214" t="s">
        <v>35</v>
      </c>
      <c r="G214" t="s">
        <v>18</v>
      </c>
    </row>
    <row r="215" spans="1:7" x14ac:dyDescent="0.2">
      <c r="A215" t="s">
        <v>499</v>
      </c>
      <c r="B215" t="s">
        <v>500</v>
      </c>
      <c r="C215">
        <v>66464</v>
      </c>
      <c r="D215">
        <v>2031</v>
      </c>
      <c r="E215">
        <v>956752</v>
      </c>
      <c r="F215" t="s">
        <v>35</v>
      </c>
      <c r="G215" t="s">
        <v>18</v>
      </c>
    </row>
    <row r="216" spans="1:7" x14ac:dyDescent="0.2">
      <c r="A216" t="s">
        <v>461</v>
      </c>
      <c r="B216" t="s">
        <v>462</v>
      </c>
      <c r="C216">
        <v>66065</v>
      </c>
      <c r="D216">
        <v>29720</v>
      </c>
      <c r="E216">
        <v>1425085</v>
      </c>
      <c r="F216" t="s">
        <v>35</v>
      </c>
      <c r="G216" t="s">
        <v>18</v>
      </c>
    </row>
    <row r="217" spans="1:7" x14ac:dyDescent="0.2">
      <c r="A217" t="s">
        <v>927</v>
      </c>
      <c r="B217" t="s">
        <v>928</v>
      </c>
      <c r="C217">
        <v>66014</v>
      </c>
      <c r="D217">
        <v>2568</v>
      </c>
      <c r="E217">
        <v>978249</v>
      </c>
      <c r="F217" t="s">
        <v>35</v>
      </c>
      <c r="G217" t="s">
        <v>18</v>
      </c>
    </row>
    <row r="218" spans="1:7" x14ac:dyDescent="0.2">
      <c r="A218" t="s">
        <v>359</v>
      </c>
      <c r="B218" t="s">
        <v>360</v>
      </c>
      <c r="C218">
        <v>65858</v>
      </c>
      <c r="D218">
        <v>3693</v>
      </c>
      <c r="E218">
        <v>1070236</v>
      </c>
      <c r="F218" t="s">
        <v>35</v>
      </c>
      <c r="G218" t="s">
        <v>18</v>
      </c>
    </row>
    <row r="219" spans="1:7" x14ac:dyDescent="0.2">
      <c r="A219" t="s">
        <v>435</v>
      </c>
      <c r="B219" t="s">
        <v>436</v>
      </c>
      <c r="C219">
        <v>65474</v>
      </c>
      <c r="D219">
        <v>146682</v>
      </c>
      <c r="E219">
        <v>2412270</v>
      </c>
      <c r="F219" t="s">
        <v>35</v>
      </c>
      <c r="G219" t="s">
        <v>18</v>
      </c>
    </row>
    <row r="220" spans="1:7" x14ac:dyDescent="0.2">
      <c r="A220" t="s">
        <v>876</v>
      </c>
      <c r="B220" t="s">
        <v>877</v>
      </c>
      <c r="C220">
        <v>64487</v>
      </c>
      <c r="D220">
        <v>20223</v>
      </c>
      <c r="E220">
        <v>1243091</v>
      </c>
      <c r="F220" t="s">
        <v>35</v>
      </c>
      <c r="G220" t="s">
        <v>18</v>
      </c>
    </row>
    <row r="221" spans="1:7" x14ac:dyDescent="0.2">
      <c r="A221" t="s">
        <v>475</v>
      </c>
      <c r="B221" t="s">
        <v>476</v>
      </c>
      <c r="C221">
        <v>64375</v>
      </c>
      <c r="D221">
        <v>20880</v>
      </c>
      <c r="E221">
        <v>1417451</v>
      </c>
      <c r="F221" t="s">
        <v>35</v>
      </c>
      <c r="G221" t="s">
        <v>18</v>
      </c>
    </row>
    <row r="222" spans="1:7" x14ac:dyDescent="0.2">
      <c r="A222" t="s">
        <v>505</v>
      </c>
      <c r="B222" t="s">
        <v>506</v>
      </c>
      <c r="C222">
        <v>63122</v>
      </c>
      <c r="D222">
        <v>125684</v>
      </c>
      <c r="E222">
        <v>1734596</v>
      </c>
      <c r="F222" t="s">
        <v>35</v>
      </c>
      <c r="G222" t="s">
        <v>18</v>
      </c>
    </row>
    <row r="223" spans="1:7" x14ac:dyDescent="0.2">
      <c r="A223" t="s">
        <v>929</v>
      </c>
      <c r="B223" t="s">
        <v>930</v>
      </c>
      <c r="C223">
        <v>63104</v>
      </c>
      <c r="D223">
        <v>15388</v>
      </c>
      <c r="E223">
        <v>1313377</v>
      </c>
      <c r="F223" t="s">
        <v>35</v>
      </c>
      <c r="G223" t="s">
        <v>18</v>
      </c>
    </row>
    <row r="224" spans="1:7" x14ac:dyDescent="0.2">
      <c r="A224" t="s">
        <v>439</v>
      </c>
      <c r="B224" t="s">
        <v>440</v>
      </c>
      <c r="C224">
        <v>62784</v>
      </c>
      <c r="D224">
        <v>837</v>
      </c>
      <c r="E224">
        <v>800957</v>
      </c>
      <c r="F224" t="s">
        <v>35</v>
      </c>
      <c r="G224" t="s">
        <v>18</v>
      </c>
    </row>
    <row r="225" spans="1:7" x14ac:dyDescent="0.2">
      <c r="A225" t="s">
        <v>477</v>
      </c>
      <c r="B225" t="s">
        <v>478</v>
      </c>
      <c r="C225">
        <v>62195</v>
      </c>
      <c r="D225">
        <v>4455</v>
      </c>
      <c r="E225">
        <v>55897</v>
      </c>
      <c r="F225" t="s">
        <v>35</v>
      </c>
      <c r="G225" t="s">
        <v>18</v>
      </c>
    </row>
    <row r="226" spans="1:7" x14ac:dyDescent="0.2">
      <c r="A226" t="s">
        <v>931</v>
      </c>
      <c r="B226" t="s">
        <v>866</v>
      </c>
      <c r="C226">
        <v>61967</v>
      </c>
      <c r="D226">
        <v>22</v>
      </c>
      <c r="E226">
        <v>9654</v>
      </c>
      <c r="F226" t="s">
        <v>35</v>
      </c>
      <c r="G226" t="s">
        <v>18</v>
      </c>
    </row>
    <row r="227" spans="1:7" x14ac:dyDescent="0.2">
      <c r="A227" t="s">
        <v>469</v>
      </c>
      <c r="B227" t="s">
        <v>470</v>
      </c>
      <c r="C227">
        <v>61533</v>
      </c>
      <c r="D227">
        <v>103</v>
      </c>
      <c r="E227">
        <v>949160</v>
      </c>
      <c r="F227" t="s">
        <v>35</v>
      </c>
      <c r="G227" t="s">
        <v>18</v>
      </c>
    </row>
    <row r="228" spans="1:7" x14ac:dyDescent="0.2">
      <c r="A228" t="s">
        <v>874</v>
      </c>
      <c r="B228" t="s">
        <v>875</v>
      </c>
      <c r="C228">
        <v>60971</v>
      </c>
      <c r="D228">
        <v>7814</v>
      </c>
      <c r="E228">
        <v>1076754</v>
      </c>
      <c r="F228" t="s">
        <v>35</v>
      </c>
      <c r="G228" t="s">
        <v>18</v>
      </c>
    </row>
    <row r="229" spans="1:7" x14ac:dyDescent="0.2">
      <c r="A229" t="s">
        <v>888</v>
      </c>
      <c r="B229" t="s">
        <v>889</v>
      </c>
      <c r="C229">
        <v>60957</v>
      </c>
      <c r="D229">
        <v>1830</v>
      </c>
      <c r="E229">
        <v>875935</v>
      </c>
      <c r="F229" t="s">
        <v>35</v>
      </c>
      <c r="G229" t="s">
        <v>18</v>
      </c>
    </row>
    <row r="230" spans="1:7" x14ac:dyDescent="0.2">
      <c r="A230" t="s">
        <v>489</v>
      </c>
      <c r="B230" t="s">
        <v>490</v>
      </c>
      <c r="C230">
        <v>60721</v>
      </c>
      <c r="D230">
        <v>257</v>
      </c>
      <c r="E230">
        <v>899330</v>
      </c>
      <c r="F230" t="s">
        <v>35</v>
      </c>
      <c r="G230" t="s">
        <v>18</v>
      </c>
    </row>
    <row r="231" spans="1:7" x14ac:dyDescent="0.2">
      <c r="A231" t="s">
        <v>493</v>
      </c>
      <c r="B231" t="s">
        <v>494</v>
      </c>
      <c r="C231">
        <v>60470</v>
      </c>
      <c r="D231">
        <v>835</v>
      </c>
      <c r="E231">
        <v>880174</v>
      </c>
      <c r="F231" t="s">
        <v>35</v>
      </c>
      <c r="G231" t="s">
        <v>18</v>
      </c>
    </row>
    <row r="232" spans="1:7" x14ac:dyDescent="0.2">
      <c r="A232" t="s">
        <v>485</v>
      </c>
      <c r="B232" t="s">
        <v>486</v>
      </c>
      <c r="C232">
        <v>60446</v>
      </c>
      <c r="D232">
        <v>87</v>
      </c>
      <c r="E232">
        <v>6216</v>
      </c>
      <c r="F232" t="s">
        <v>35</v>
      </c>
      <c r="G232" t="s">
        <v>18</v>
      </c>
    </row>
    <row r="233" spans="1:7" x14ac:dyDescent="0.2">
      <c r="A233" t="s">
        <v>533</v>
      </c>
      <c r="B233" t="s">
        <v>534</v>
      </c>
      <c r="C233">
        <v>59779</v>
      </c>
      <c r="D233">
        <v>1887</v>
      </c>
      <c r="E233">
        <v>860535</v>
      </c>
      <c r="F233" t="s">
        <v>35</v>
      </c>
      <c r="G233" t="s">
        <v>18</v>
      </c>
    </row>
    <row r="234" spans="1:7" x14ac:dyDescent="0.2">
      <c r="A234" t="s">
        <v>932</v>
      </c>
      <c r="B234" t="s">
        <v>396</v>
      </c>
      <c r="C234">
        <v>59077</v>
      </c>
      <c r="D234">
        <v>133851</v>
      </c>
      <c r="E234">
        <v>3570531</v>
      </c>
      <c r="F234" t="s">
        <v>35</v>
      </c>
      <c r="G234" t="s">
        <v>18</v>
      </c>
    </row>
    <row r="235" spans="1:7" x14ac:dyDescent="0.2">
      <c r="A235" t="s">
        <v>933</v>
      </c>
      <c r="B235" t="s">
        <v>484</v>
      </c>
      <c r="C235">
        <v>58787.51</v>
      </c>
      <c r="D235">
        <v>22471.27</v>
      </c>
      <c r="E235">
        <v>944915.12</v>
      </c>
      <c r="F235" t="s">
        <v>35</v>
      </c>
      <c r="G235" t="s">
        <v>18</v>
      </c>
    </row>
    <row r="236" spans="1:7" x14ac:dyDescent="0.2">
      <c r="A236" t="s">
        <v>543</v>
      </c>
      <c r="B236" t="s">
        <v>544</v>
      </c>
      <c r="C236">
        <v>58514</v>
      </c>
      <c r="D236">
        <v>204</v>
      </c>
      <c r="E236">
        <v>8244915</v>
      </c>
      <c r="F236" t="s">
        <v>35</v>
      </c>
      <c r="G236" t="s">
        <v>18</v>
      </c>
    </row>
    <row r="237" spans="1:7" x14ac:dyDescent="0.2">
      <c r="A237" t="s">
        <v>934</v>
      </c>
      <c r="B237" t="s">
        <v>935</v>
      </c>
      <c r="C237">
        <v>58483</v>
      </c>
      <c r="D237">
        <v>43</v>
      </c>
      <c r="E237">
        <v>834583</v>
      </c>
      <c r="F237" t="s">
        <v>35</v>
      </c>
      <c r="G237" t="s">
        <v>18</v>
      </c>
    </row>
    <row r="238" spans="1:7" x14ac:dyDescent="0.2">
      <c r="A238" t="s">
        <v>463</v>
      </c>
      <c r="B238" t="s">
        <v>464</v>
      </c>
      <c r="C238">
        <v>58249</v>
      </c>
      <c r="D238">
        <v>18580</v>
      </c>
      <c r="E238">
        <v>336808</v>
      </c>
      <c r="F238" t="s">
        <v>35</v>
      </c>
      <c r="G238" t="s">
        <v>18</v>
      </c>
    </row>
    <row r="239" spans="1:7" x14ac:dyDescent="0.2">
      <c r="A239" t="s">
        <v>525</v>
      </c>
      <c r="B239" t="s">
        <v>526</v>
      </c>
      <c r="C239">
        <v>57661</v>
      </c>
      <c r="D239">
        <v>51666</v>
      </c>
      <c r="E239">
        <v>1374354</v>
      </c>
      <c r="F239" t="s">
        <v>35</v>
      </c>
      <c r="G239" t="s">
        <v>18</v>
      </c>
    </row>
    <row r="240" spans="1:7" x14ac:dyDescent="0.2">
      <c r="A240" t="s">
        <v>449</v>
      </c>
      <c r="B240" t="s">
        <v>450</v>
      </c>
      <c r="C240">
        <v>57557</v>
      </c>
      <c r="D240">
        <v>748</v>
      </c>
      <c r="E240">
        <v>824234</v>
      </c>
      <c r="F240" t="s">
        <v>35</v>
      </c>
      <c r="G240" t="s">
        <v>18</v>
      </c>
    </row>
    <row r="241" spans="1:7" x14ac:dyDescent="0.2">
      <c r="A241" t="s">
        <v>936</v>
      </c>
      <c r="B241" t="s">
        <v>937</v>
      </c>
      <c r="C241">
        <v>57555</v>
      </c>
      <c r="D241">
        <v>0</v>
      </c>
      <c r="E241">
        <v>817566</v>
      </c>
      <c r="F241" t="s">
        <v>35</v>
      </c>
      <c r="G241" t="s">
        <v>18</v>
      </c>
    </row>
    <row r="242" spans="1:7" x14ac:dyDescent="0.2">
      <c r="A242" t="s">
        <v>938</v>
      </c>
      <c r="B242" t="s">
        <v>939</v>
      </c>
      <c r="C242">
        <v>57327</v>
      </c>
      <c r="D242">
        <v>76</v>
      </c>
      <c r="E242">
        <v>687052</v>
      </c>
      <c r="F242" t="s">
        <v>35</v>
      </c>
      <c r="G242" t="s">
        <v>18</v>
      </c>
    </row>
    <row r="243" spans="1:7" x14ac:dyDescent="0.2">
      <c r="A243" t="s">
        <v>565</v>
      </c>
      <c r="B243" t="s">
        <v>566</v>
      </c>
      <c r="C243">
        <v>56969</v>
      </c>
      <c r="D243">
        <v>24157</v>
      </c>
      <c r="E243">
        <v>700224</v>
      </c>
      <c r="F243" t="s">
        <v>35</v>
      </c>
      <c r="G243" t="s">
        <v>18</v>
      </c>
    </row>
    <row r="244" spans="1:7" x14ac:dyDescent="0.2">
      <c r="A244" t="s">
        <v>880</v>
      </c>
      <c r="B244" t="s">
        <v>881</v>
      </c>
      <c r="C244">
        <v>55965</v>
      </c>
      <c r="D244">
        <v>8</v>
      </c>
      <c r="E244">
        <v>982943</v>
      </c>
      <c r="F244" t="s">
        <v>35</v>
      </c>
      <c r="G244" t="s">
        <v>18</v>
      </c>
    </row>
    <row r="245" spans="1:7" x14ac:dyDescent="0.2">
      <c r="A245" t="s">
        <v>940</v>
      </c>
      <c r="B245" t="s">
        <v>941</v>
      </c>
      <c r="C245">
        <v>55805</v>
      </c>
      <c r="D245">
        <v>4222</v>
      </c>
      <c r="E245">
        <v>817085</v>
      </c>
      <c r="F245" t="s">
        <v>35</v>
      </c>
      <c r="G245" t="s">
        <v>18</v>
      </c>
    </row>
    <row r="246" spans="1:7" x14ac:dyDescent="0.2">
      <c r="A246" t="s">
        <v>942</v>
      </c>
      <c r="B246" t="s">
        <v>943</v>
      </c>
      <c r="C246">
        <v>55708</v>
      </c>
      <c r="D246">
        <v>139</v>
      </c>
      <c r="E246">
        <v>795835</v>
      </c>
      <c r="F246" t="s">
        <v>35</v>
      </c>
      <c r="G246" t="s">
        <v>18</v>
      </c>
    </row>
    <row r="247" spans="1:7" x14ac:dyDescent="0.2">
      <c r="A247" t="s">
        <v>549</v>
      </c>
      <c r="B247" t="s">
        <v>550</v>
      </c>
      <c r="C247">
        <v>54770</v>
      </c>
      <c r="D247">
        <v>44956</v>
      </c>
      <c r="E247">
        <v>1020059</v>
      </c>
      <c r="F247" t="s">
        <v>35</v>
      </c>
      <c r="G247" t="s">
        <v>18</v>
      </c>
    </row>
    <row r="248" spans="1:7" x14ac:dyDescent="0.2">
      <c r="A248" t="s">
        <v>511</v>
      </c>
      <c r="B248" t="s">
        <v>512</v>
      </c>
      <c r="C248">
        <v>54718</v>
      </c>
      <c r="D248">
        <v>531055</v>
      </c>
      <c r="E248">
        <v>4200029</v>
      </c>
      <c r="F248" t="s">
        <v>35</v>
      </c>
      <c r="G248" t="s">
        <v>18</v>
      </c>
    </row>
    <row r="249" spans="1:7" x14ac:dyDescent="0.2">
      <c r="A249" t="s">
        <v>944</v>
      </c>
      <c r="B249" t="s">
        <v>879</v>
      </c>
      <c r="C249">
        <v>54031</v>
      </c>
      <c r="D249">
        <v>6342</v>
      </c>
      <c r="E249">
        <v>810244</v>
      </c>
      <c r="F249" t="s">
        <v>35</v>
      </c>
      <c r="G249" t="s">
        <v>18</v>
      </c>
    </row>
    <row r="250" spans="1:7" x14ac:dyDescent="0.2">
      <c r="A250" t="s">
        <v>884</v>
      </c>
      <c r="B250" t="s">
        <v>885</v>
      </c>
      <c r="C250">
        <v>53690</v>
      </c>
      <c r="D250">
        <v>18</v>
      </c>
      <c r="E250">
        <v>768624</v>
      </c>
      <c r="F250" t="s">
        <v>35</v>
      </c>
      <c r="G250" t="s">
        <v>18</v>
      </c>
    </row>
    <row r="251" spans="1:7" x14ac:dyDescent="0.2">
      <c r="A251" t="s">
        <v>945</v>
      </c>
      <c r="B251" t="s">
        <v>946</v>
      </c>
      <c r="C251">
        <v>53684</v>
      </c>
      <c r="D251">
        <v>8</v>
      </c>
      <c r="E251">
        <v>894543</v>
      </c>
      <c r="F251" t="s">
        <v>35</v>
      </c>
      <c r="G251" t="s">
        <v>18</v>
      </c>
    </row>
    <row r="252" spans="1:7" x14ac:dyDescent="0.2">
      <c r="A252" t="s">
        <v>947</v>
      </c>
      <c r="B252" t="s">
        <v>948</v>
      </c>
      <c r="C252">
        <v>53257</v>
      </c>
      <c r="D252">
        <v>14066</v>
      </c>
      <c r="E252">
        <v>903204</v>
      </c>
      <c r="F252" t="s">
        <v>35</v>
      </c>
      <c r="G252" t="s">
        <v>18</v>
      </c>
    </row>
    <row r="253" spans="1:7" x14ac:dyDescent="0.2">
      <c r="A253" t="s">
        <v>547</v>
      </c>
      <c r="B253" t="s">
        <v>548</v>
      </c>
      <c r="C253">
        <v>53056</v>
      </c>
      <c r="D253">
        <v>40271</v>
      </c>
      <c r="E253">
        <v>995928</v>
      </c>
      <c r="F253" t="s">
        <v>35</v>
      </c>
      <c r="G253" t="s">
        <v>18</v>
      </c>
    </row>
    <row r="254" spans="1:7" x14ac:dyDescent="0.2">
      <c r="A254" t="s">
        <v>949</v>
      </c>
      <c r="B254" t="s">
        <v>950</v>
      </c>
      <c r="C254">
        <v>52824</v>
      </c>
      <c r="D254">
        <v>0</v>
      </c>
      <c r="E254">
        <v>755605</v>
      </c>
      <c r="F254" t="s">
        <v>35</v>
      </c>
      <c r="G254" t="s">
        <v>18</v>
      </c>
    </row>
    <row r="255" spans="1:7" x14ac:dyDescent="0.2">
      <c r="A255" t="s">
        <v>509</v>
      </c>
      <c r="B255" t="s">
        <v>510</v>
      </c>
      <c r="C255">
        <v>51815</v>
      </c>
      <c r="D255">
        <v>2711</v>
      </c>
      <c r="E255">
        <v>751553</v>
      </c>
      <c r="F255" t="s">
        <v>35</v>
      </c>
      <c r="G255" t="s">
        <v>18</v>
      </c>
    </row>
    <row r="256" spans="1:7" x14ac:dyDescent="0.2">
      <c r="A256" t="s">
        <v>882</v>
      </c>
      <c r="B256" t="s">
        <v>883</v>
      </c>
      <c r="C256">
        <v>51454</v>
      </c>
      <c r="D256">
        <v>2220</v>
      </c>
      <c r="E256">
        <v>742490</v>
      </c>
      <c r="F256" t="s">
        <v>35</v>
      </c>
      <c r="G256" t="s">
        <v>18</v>
      </c>
    </row>
    <row r="257" spans="1:7" x14ac:dyDescent="0.2">
      <c r="A257" t="s">
        <v>529</v>
      </c>
      <c r="B257" t="s">
        <v>530</v>
      </c>
      <c r="C257">
        <v>50960</v>
      </c>
      <c r="D257">
        <v>100949</v>
      </c>
      <c r="E257">
        <v>1559992</v>
      </c>
      <c r="F257" t="s">
        <v>35</v>
      </c>
      <c r="G257" t="s">
        <v>18</v>
      </c>
    </row>
    <row r="258" spans="1:7" x14ac:dyDescent="0.2">
      <c r="A258" t="s">
        <v>567</v>
      </c>
      <c r="B258" t="s">
        <v>568</v>
      </c>
      <c r="C258">
        <v>50350</v>
      </c>
      <c r="D258">
        <v>66656</v>
      </c>
      <c r="E258">
        <v>674809</v>
      </c>
      <c r="F258" t="s">
        <v>35</v>
      </c>
      <c r="G258" t="s">
        <v>18</v>
      </c>
    </row>
    <row r="259" spans="1:7" x14ac:dyDescent="0.2">
      <c r="A259" t="s">
        <v>951</v>
      </c>
      <c r="B259" t="s">
        <v>952</v>
      </c>
      <c r="C259">
        <v>50282</v>
      </c>
      <c r="D259">
        <v>16926</v>
      </c>
      <c r="E259">
        <v>833289</v>
      </c>
      <c r="F259" t="s">
        <v>35</v>
      </c>
      <c r="G259" t="s">
        <v>18</v>
      </c>
    </row>
    <row r="260" spans="1:7" x14ac:dyDescent="0.2">
      <c r="A260" t="s">
        <v>541</v>
      </c>
      <c r="B260" t="s">
        <v>542</v>
      </c>
      <c r="C260">
        <v>49344</v>
      </c>
      <c r="D260">
        <v>62317</v>
      </c>
      <c r="E260">
        <v>1180334</v>
      </c>
      <c r="F260" t="s">
        <v>35</v>
      </c>
      <c r="G260" t="s">
        <v>18</v>
      </c>
    </row>
    <row r="261" spans="1:7" x14ac:dyDescent="0.2">
      <c r="A261" t="s">
        <v>555</v>
      </c>
      <c r="B261" t="s">
        <v>556</v>
      </c>
      <c r="C261">
        <v>49045</v>
      </c>
      <c r="D261">
        <v>2379</v>
      </c>
      <c r="E261">
        <v>525079</v>
      </c>
      <c r="F261" t="s">
        <v>35</v>
      </c>
      <c r="G261" t="s">
        <v>18</v>
      </c>
    </row>
    <row r="262" spans="1:7" x14ac:dyDescent="0.2">
      <c r="A262" t="s">
        <v>535</v>
      </c>
      <c r="B262" t="s">
        <v>536</v>
      </c>
      <c r="C262">
        <v>48887</v>
      </c>
      <c r="D262">
        <v>13913</v>
      </c>
      <c r="E262">
        <v>174916</v>
      </c>
      <c r="F262" t="s">
        <v>35</v>
      </c>
      <c r="G262" t="s">
        <v>18</v>
      </c>
    </row>
    <row r="263" spans="1:7" x14ac:dyDescent="0.2">
      <c r="A263" t="s">
        <v>561</v>
      </c>
      <c r="B263" t="s">
        <v>562</v>
      </c>
      <c r="C263">
        <v>47733</v>
      </c>
      <c r="D263">
        <v>28900</v>
      </c>
      <c r="E263">
        <v>874847</v>
      </c>
      <c r="F263" t="s">
        <v>35</v>
      </c>
      <c r="G263" t="s">
        <v>18</v>
      </c>
    </row>
    <row r="264" spans="1:7" x14ac:dyDescent="0.2">
      <c r="A264" t="s">
        <v>953</v>
      </c>
      <c r="B264" t="s">
        <v>891</v>
      </c>
      <c r="C264">
        <v>47142</v>
      </c>
      <c r="D264">
        <v>19298</v>
      </c>
      <c r="E264">
        <v>262359</v>
      </c>
      <c r="F264" t="s">
        <v>35</v>
      </c>
      <c r="G264" t="s">
        <v>18</v>
      </c>
    </row>
    <row r="265" spans="1:7" x14ac:dyDescent="0.2">
      <c r="A265" t="s">
        <v>523</v>
      </c>
      <c r="B265" t="s">
        <v>524</v>
      </c>
      <c r="C265">
        <v>46358</v>
      </c>
      <c r="D265">
        <v>84582</v>
      </c>
      <c r="E265">
        <v>1154321</v>
      </c>
      <c r="F265" t="s">
        <v>35</v>
      </c>
      <c r="G265" t="s">
        <v>18</v>
      </c>
    </row>
    <row r="266" spans="1:7" x14ac:dyDescent="0.2">
      <c r="A266" t="s">
        <v>587</v>
      </c>
      <c r="B266" t="s">
        <v>588</v>
      </c>
      <c r="C266">
        <v>46246</v>
      </c>
      <c r="D266">
        <v>70045</v>
      </c>
      <c r="E266">
        <v>1262706</v>
      </c>
      <c r="F266" t="s">
        <v>35</v>
      </c>
      <c r="G266" t="s">
        <v>18</v>
      </c>
    </row>
    <row r="267" spans="1:7" x14ac:dyDescent="0.2">
      <c r="A267" t="s">
        <v>515</v>
      </c>
      <c r="B267" t="s">
        <v>516</v>
      </c>
      <c r="C267">
        <v>45568</v>
      </c>
      <c r="D267">
        <v>175737</v>
      </c>
      <c r="E267">
        <v>3294808</v>
      </c>
      <c r="F267" t="s">
        <v>35</v>
      </c>
      <c r="G267" t="s">
        <v>18</v>
      </c>
    </row>
    <row r="268" spans="1:7" x14ac:dyDescent="0.2">
      <c r="A268" t="s">
        <v>569</v>
      </c>
      <c r="B268" t="s">
        <v>570</v>
      </c>
      <c r="C268">
        <v>43394</v>
      </c>
      <c r="D268">
        <v>82362</v>
      </c>
      <c r="E268">
        <v>1217581</v>
      </c>
      <c r="F268" t="s">
        <v>35</v>
      </c>
      <c r="G268" t="s">
        <v>18</v>
      </c>
    </row>
    <row r="269" spans="1:7" x14ac:dyDescent="0.2">
      <c r="A269" t="s">
        <v>892</v>
      </c>
      <c r="B269" t="s">
        <v>893</v>
      </c>
      <c r="C269">
        <v>43140</v>
      </c>
      <c r="D269">
        <v>23693</v>
      </c>
      <c r="E269">
        <v>614343</v>
      </c>
      <c r="F269" t="s">
        <v>35</v>
      </c>
      <c r="G269" t="s">
        <v>18</v>
      </c>
    </row>
    <row r="270" spans="1:7" x14ac:dyDescent="0.2">
      <c r="A270" t="s">
        <v>551</v>
      </c>
      <c r="B270" t="s">
        <v>552</v>
      </c>
      <c r="C270">
        <v>42980</v>
      </c>
      <c r="D270">
        <v>7528</v>
      </c>
      <c r="E270">
        <v>14548831</v>
      </c>
      <c r="F270" t="s">
        <v>35</v>
      </c>
      <c r="G270" t="s">
        <v>18</v>
      </c>
    </row>
    <row r="271" spans="1:7" x14ac:dyDescent="0.2">
      <c r="A271" t="s">
        <v>573</v>
      </c>
      <c r="B271" t="s">
        <v>574</v>
      </c>
      <c r="C271">
        <v>42280</v>
      </c>
      <c r="D271">
        <v>267605</v>
      </c>
      <c r="E271">
        <v>2691157</v>
      </c>
      <c r="F271" t="s">
        <v>35</v>
      </c>
      <c r="G271" t="s">
        <v>18</v>
      </c>
    </row>
    <row r="272" spans="1:7" x14ac:dyDescent="0.2">
      <c r="A272" t="s">
        <v>571</v>
      </c>
      <c r="B272" t="s">
        <v>572</v>
      </c>
      <c r="C272">
        <v>41937</v>
      </c>
      <c r="D272">
        <v>34337</v>
      </c>
      <c r="E272">
        <v>635094</v>
      </c>
      <c r="F272" t="s">
        <v>35</v>
      </c>
      <c r="G272" t="s">
        <v>18</v>
      </c>
    </row>
    <row r="273" spans="1:7" x14ac:dyDescent="0.2">
      <c r="A273" t="s">
        <v>577</v>
      </c>
      <c r="B273" t="s">
        <v>578</v>
      </c>
      <c r="C273">
        <v>41836.730000000003</v>
      </c>
      <c r="D273">
        <v>24021.08</v>
      </c>
      <c r="E273">
        <v>826925.82</v>
      </c>
      <c r="F273" t="s">
        <v>35</v>
      </c>
      <c r="G273" t="s">
        <v>18</v>
      </c>
    </row>
    <row r="274" spans="1:7" x14ac:dyDescent="0.2">
      <c r="A274" t="s">
        <v>954</v>
      </c>
      <c r="B274" t="s">
        <v>955</v>
      </c>
      <c r="C274">
        <v>40737</v>
      </c>
      <c r="D274">
        <v>23494</v>
      </c>
      <c r="E274">
        <v>268271</v>
      </c>
      <c r="F274" t="s">
        <v>35</v>
      </c>
      <c r="G274" t="s">
        <v>18</v>
      </c>
    </row>
    <row r="275" spans="1:7" x14ac:dyDescent="0.2">
      <c r="A275" t="s">
        <v>513</v>
      </c>
      <c r="B275" t="s">
        <v>514</v>
      </c>
      <c r="C275">
        <v>39647</v>
      </c>
      <c r="D275">
        <v>246118</v>
      </c>
      <c r="E275">
        <v>2585293</v>
      </c>
      <c r="F275" t="s">
        <v>35</v>
      </c>
      <c r="G275" t="s">
        <v>18</v>
      </c>
    </row>
    <row r="276" spans="1:7" x14ac:dyDescent="0.2">
      <c r="A276" t="s">
        <v>597</v>
      </c>
      <c r="B276" t="s">
        <v>598</v>
      </c>
      <c r="C276">
        <v>38206</v>
      </c>
      <c r="D276">
        <v>27686</v>
      </c>
      <c r="E276">
        <v>855650</v>
      </c>
      <c r="F276" t="s">
        <v>35</v>
      </c>
      <c r="G276" t="s">
        <v>18</v>
      </c>
    </row>
    <row r="277" spans="1:7" x14ac:dyDescent="0.2">
      <c r="A277" t="s">
        <v>531</v>
      </c>
      <c r="B277" t="s">
        <v>532</v>
      </c>
      <c r="C277">
        <v>37097</v>
      </c>
      <c r="D277">
        <v>94923</v>
      </c>
      <c r="E277">
        <v>663932</v>
      </c>
      <c r="F277" t="s">
        <v>35</v>
      </c>
      <c r="G277" t="s">
        <v>18</v>
      </c>
    </row>
    <row r="278" spans="1:7" x14ac:dyDescent="0.2">
      <c r="A278" t="s">
        <v>591</v>
      </c>
      <c r="B278" t="s">
        <v>592</v>
      </c>
      <c r="C278">
        <v>36973</v>
      </c>
      <c r="D278">
        <v>33535</v>
      </c>
      <c r="E278">
        <v>923728</v>
      </c>
      <c r="F278" t="s">
        <v>35</v>
      </c>
      <c r="G278" t="s">
        <v>18</v>
      </c>
    </row>
    <row r="279" spans="1:7" x14ac:dyDescent="0.2">
      <c r="A279" t="s">
        <v>599</v>
      </c>
      <c r="B279" t="s">
        <v>600</v>
      </c>
      <c r="C279">
        <v>36774</v>
      </c>
      <c r="D279">
        <v>83061.100000000006</v>
      </c>
      <c r="E279">
        <v>1866007.1</v>
      </c>
      <c r="F279" t="s">
        <v>35</v>
      </c>
      <c r="G279" t="s">
        <v>18</v>
      </c>
    </row>
    <row r="280" spans="1:7" x14ac:dyDescent="0.2">
      <c r="A280" t="s">
        <v>681</v>
      </c>
      <c r="B280" t="s">
        <v>682</v>
      </c>
      <c r="C280">
        <v>35786</v>
      </c>
      <c r="D280">
        <v>67819</v>
      </c>
      <c r="E280">
        <v>748253</v>
      </c>
      <c r="F280" t="s">
        <v>35</v>
      </c>
      <c r="G280" t="s">
        <v>18</v>
      </c>
    </row>
    <row r="281" spans="1:7" x14ac:dyDescent="0.2">
      <c r="A281" t="s">
        <v>563</v>
      </c>
      <c r="B281" t="s">
        <v>564</v>
      </c>
      <c r="C281">
        <v>35775</v>
      </c>
      <c r="D281">
        <v>21431</v>
      </c>
      <c r="E281">
        <v>685359</v>
      </c>
      <c r="F281" t="s">
        <v>35</v>
      </c>
      <c r="G281" t="s">
        <v>18</v>
      </c>
    </row>
    <row r="282" spans="1:7" x14ac:dyDescent="0.2">
      <c r="A282" t="s">
        <v>589</v>
      </c>
      <c r="B282" t="s">
        <v>590</v>
      </c>
      <c r="C282">
        <v>35188</v>
      </c>
      <c r="D282">
        <v>577300</v>
      </c>
      <c r="E282">
        <v>4513973</v>
      </c>
      <c r="F282" t="s">
        <v>35</v>
      </c>
      <c r="G282" t="s">
        <v>18</v>
      </c>
    </row>
    <row r="283" spans="1:7" x14ac:dyDescent="0.2">
      <c r="A283" t="s">
        <v>579</v>
      </c>
      <c r="B283" t="s">
        <v>580</v>
      </c>
      <c r="C283">
        <v>34841</v>
      </c>
      <c r="D283">
        <v>100247</v>
      </c>
      <c r="E283">
        <v>1230224</v>
      </c>
      <c r="F283" t="s">
        <v>35</v>
      </c>
      <c r="G283" t="s">
        <v>18</v>
      </c>
    </row>
    <row r="284" spans="1:7" x14ac:dyDescent="0.2">
      <c r="A284" t="s">
        <v>956</v>
      </c>
      <c r="B284" t="s">
        <v>528</v>
      </c>
      <c r="C284">
        <v>34513</v>
      </c>
      <c r="D284">
        <v>20855</v>
      </c>
      <c r="E284">
        <v>639839</v>
      </c>
      <c r="F284" t="s">
        <v>35</v>
      </c>
      <c r="G284" t="s">
        <v>18</v>
      </c>
    </row>
    <row r="285" spans="1:7" x14ac:dyDescent="0.2">
      <c r="A285" t="s">
        <v>583</v>
      </c>
      <c r="B285" t="s">
        <v>584</v>
      </c>
      <c r="C285">
        <v>34214</v>
      </c>
      <c r="D285">
        <v>233379</v>
      </c>
      <c r="E285">
        <v>1675958</v>
      </c>
      <c r="F285" t="s">
        <v>35</v>
      </c>
      <c r="G285" t="s">
        <v>18</v>
      </c>
    </row>
    <row r="286" spans="1:7" x14ac:dyDescent="0.2">
      <c r="A286" t="s">
        <v>601</v>
      </c>
      <c r="B286" t="s">
        <v>602</v>
      </c>
      <c r="C286">
        <v>33487</v>
      </c>
      <c r="D286">
        <v>33377</v>
      </c>
      <c r="E286">
        <v>658330</v>
      </c>
      <c r="F286" t="s">
        <v>35</v>
      </c>
      <c r="G286" t="s">
        <v>18</v>
      </c>
    </row>
    <row r="287" spans="1:7" x14ac:dyDescent="0.2">
      <c r="A287" t="s">
        <v>957</v>
      </c>
      <c r="B287" t="s">
        <v>958</v>
      </c>
      <c r="C287">
        <v>32754</v>
      </c>
      <c r="D287">
        <v>177238</v>
      </c>
      <c r="E287">
        <v>1468005</v>
      </c>
      <c r="F287" t="s">
        <v>35</v>
      </c>
      <c r="G287" t="s">
        <v>18</v>
      </c>
    </row>
    <row r="288" spans="1:7" x14ac:dyDescent="0.2">
      <c r="A288" t="s">
        <v>611</v>
      </c>
      <c r="B288" t="s">
        <v>612</v>
      </c>
      <c r="C288">
        <v>31422.07</v>
      </c>
      <c r="D288">
        <v>677663.56</v>
      </c>
      <c r="E288">
        <v>4310553.9000000004</v>
      </c>
      <c r="F288" t="s">
        <v>35</v>
      </c>
      <c r="G288" t="s">
        <v>18</v>
      </c>
    </row>
    <row r="289" spans="1:7" x14ac:dyDescent="0.2">
      <c r="A289" t="s">
        <v>641</v>
      </c>
      <c r="B289" t="s">
        <v>642</v>
      </c>
      <c r="C289">
        <v>30726</v>
      </c>
      <c r="D289">
        <v>80987</v>
      </c>
      <c r="E289">
        <v>957463</v>
      </c>
      <c r="F289" t="s">
        <v>35</v>
      </c>
      <c r="G289" t="s">
        <v>18</v>
      </c>
    </row>
    <row r="290" spans="1:7" x14ac:dyDescent="0.2">
      <c r="A290" t="s">
        <v>959</v>
      </c>
      <c r="B290" t="s">
        <v>652</v>
      </c>
      <c r="C290">
        <v>30311</v>
      </c>
      <c r="D290">
        <v>126664</v>
      </c>
      <c r="E290">
        <v>913371</v>
      </c>
      <c r="F290" t="s">
        <v>35</v>
      </c>
      <c r="G290" t="s">
        <v>18</v>
      </c>
    </row>
    <row r="291" spans="1:7" x14ac:dyDescent="0.2">
      <c r="A291" t="s">
        <v>537</v>
      </c>
      <c r="B291" t="s">
        <v>538</v>
      </c>
      <c r="C291">
        <v>30195.96</v>
      </c>
      <c r="D291">
        <v>50327.37</v>
      </c>
      <c r="E291">
        <v>644900</v>
      </c>
      <c r="F291" t="s">
        <v>35</v>
      </c>
      <c r="G291" t="s">
        <v>18</v>
      </c>
    </row>
    <row r="292" spans="1:7" x14ac:dyDescent="0.2">
      <c r="A292" t="s">
        <v>607</v>
      </c>
      <c r="B292" t="s">
        <v>608</v>
      </c>
      <c r="C292">
        <v>30155</v>
      </c>
      <c r="D292">
        <v>51259</v>
      </c>
      <c r="E292">
        <v>268985</v>
      </c>
      <c r="F292" t="s">
        <v>35</v>
      </c>
      <c r="G292" t="s">
        <v>18</v>
      </c>
    </row>
    <row r="293" spans="1:7" x14ac:dyDescent="0.2">
      <c r="A293" t="s">
        <v>631</v>
      </c>
      <c r="B293" t="s">
        <v>632</v>
      </c>
      <c r="C293">
        <v>30128</v>
      </c>
      <c r="D293">
        <v>49010</v>
      </c>
      <c r="E293">
        <v>679512</v>
      </c>
      <c r="F293" t="s">
        <v>35</v>
      </c>
      <c r="G293" t="s">
        <v>18</v>
      </c>
    </row>
    <row r="294" spans="1:7" x14ac:dyDescent="0.2">
      <c r="A294" t="s">
        <v>619</v>
      </c>
      <c r="B294" t="s">
        <v>620</v>
      </c>
      <c r="C294">
        <v>29945</v>
      </c>
      <c r="D294">
        <v>31331</v>
      </c>
      <c r="E294">
        <v>591381</v>
      </c>
      <c r="F294" t="s">
        <v>35</v>
      </c>
      <c r="G294" t="s">
        <v>18</v>
      </c>
    </row>
    <row r="295" spans="1:7" x14ac:dyDescent="0.2">
      <c r="A295" t="s">
        <v>603</v>
      </c>
      <c r="B295" t="s">
        <v>604</v>
      </c>
      <c r="C295">
        <v>29540</v>
      </c>
      <c r="D295">
        <v>44016</v>
      </c>
      <c r="E295">
        <v>1214235</v>
      </c>
      <c r="F295" t="s">
        <v>35</v>
      </c>
      <c r="G295" t="s">
        <v>18</v>
      </c>
    </row>
    <row r="296" spans="1:7" x14ac:dyDescent="0.2">
      <c r="A296" t="s">
        <v>617</v>
      </c>
      <c r="B296" t="s">
        <v>618</v>
      </c>
      <c r="C296">
        <v>28785</v>
      </c>
      <c r="D296">
        <v>44081</v>
      </c>
      <c r="E296">
        <v>833117</v>
      </c>
      <c r="F296" t="s">
        <v>35</v>
      </c>
      <c r="G296" t="s">
        <v>18</v>
      </c>
    </row>
    <row r="297" spans="1:7" x14ac:dyDescent="0.2">
      <c r="A297" t="s">
        <v>723</v>
      </c>
      <c r="B297" t="s">
        <v>724</v>
      </c>
      <c r="C297">
        <v>28774</v>
      </c>
      <c r="D297">
        <v>542036</v>
      </c>
      <c r="E297">
        <v>3359575</v>
      </c>
      <c r="F297" t="s">
        <v>35</v>
      </c>
      <c r="G297" t="s">
        <v>18</v>
      </c>
    </row>
    <row r="298" spans="1:7" x14ac:dyDescent="0.2">
      <c r="A298" t="s">
        <v>960</v>
      </c>
      <c r="B298" t="s">
        <v>961</v>
      </c>
      <c r="C298">
        <v>28177</v>
      </c>
      <c r="D298">
        <v>21987</v>
      </c>
      <c r="E298">
        <v>374363</v>
      </c>
      <c r="F298" t="s">
        <v>35</v>
      </c>
      <c r="G298" t="s">
        <v>18</v>
      </c>
    </row>
    <row r="299" spans="1:7" x14ac:dyDescent="0.2">
      <c r="A299" t="s">
        <v>613</v>
      </c>
      <c r="B299" t="s">
        <v>614</v>
      </c>
      <c r="C299">
        <v>28096</v>
      </c>
      <c r="D299">
        <v>76312</v>
      </c>
      <c r="E299">
        <v>1314931</v>
      </c>
      <c r="F299" t="s">
        <v>35</v>
      </c>
      <c r="G299" t="s">
        <v>18</v>
      </c>
    </row>
    <row r="300" spans="1:7" x14ac:dyDescent="0.2">
      <c r="A300" t="s">
        <v>621</v>
      </c>
      <c r="B300" t="s">
        <v>622</v>
      </c>
      <c r="C300">
        <v>27077</v>
      </c>
      <c r="D300">
        <v>28540</v>
      </c>
      <c r="E300">
        <v>637482</v>
      </c>
      <c r="F300" t="s">
        <v>35</v>
      </c>
      <c r="G300" t="s">
        <v>18</v>
      </c>
    </row>
    <row r="301" spans="1:7" x14ac:dyDescent="0.2">
      <c r="A301" t="s">
        <v>962</v>
      </c>
      <c r="B301" t="s">
        <v>963</v>
      </c>
      <c r="C301">
        <v>26808</v>
      </c>
      <c r="D301">
        <v>40046</v>
      </c>
      <c r="E301">
        <v>696642</v>
      </c>
      <c r="F301" t="s">
        <v>35</v>
      </c>
      <c r="G301" t="s">
        <v>18</v>
      </c>
    </row>
    <row r="302" spans="1:7" x14ac:dyDescent="0.2">
      <c r="A302" t="s">
        <v>629</v>
      </c>
      <c r="B302" t="s">
        <v>630</v>
      </c>
      <c r="C302">
        <v>26757</v>
      </c>
      <c r="D302">
        <v>460234</v>
      </c>
      <c r="E302">
        <v>2740873</v>
      </c>
      <c r="F302" t="s">
        <v>35</v>
      </c>
      <c r="G302" t="s">
        <v>18</v>
      </c>
    </row>
    <row r="303" spans="1:7" x14ac:dyDescent="0.2">
      <c r="A303" t="s">
        <v>663</v>
      </c>
      <c r="B303" t="s">
        <v>664</v>
      </c>
      <c r="C303">
        <v>26291</v>
      </c>
      <c r="D303">
        <v>888240</v>
      </c>
      <c r="E303">
        <v>4551707</v>
      </c>
      <c r="F303" t="s">
        <v>35</v>
      </c>
      <c r="G303" t="s">
        <v>18</v>
      </c>
    </row>
    <row r="304" spans="1:7" x14ac:dyDescent="0.2">
      <c r="A304" t="s">
        <v>625</v>
      </c>
      <c r="B304" t="s">
        <v>626</v>
      </c>
      <c r="C304">
        <v>25969.11</v>
      </c>
      <c r="D304">
        <v>43408.68</v>
      </c>
      <c r="E304">
        <v>803278.18</v>
      </c>
      <c r="F304" t="s">
        <v>35</v>
      </c>
      <c r="G304" t="s">
        <v>18</v>
      </c>
    </row>
    <row r="305" spans="1:7" x14ac:dyDescent="0.2">
      <c r="A305" t="s">
        <v>659</v>
      </c>
      <c r="B305" t="s">
        <v>660</v>
      </c>
      <c r="C305">
        <v>25463</v>
      </c>
      <c r="D305">
        <v>157528</v>
      </c>
      <c r="E305">
        <v>2739341</v>
      </c>
      <c r="F305" t="s">
        <v>35</v>
      </c>
      <c r="G305" t="s">
        <v>18</v>
      </c>
    </row>
    <row r="306" spans="1:7" x14ac:dyDescent="0.2">
      <c r="A306" t="s">
        <v>643</v>
      </c>
      <c r="B306" t="s">
        <v>644</v>
      </c>
      <c r="C306">
        <v>25315</v>
      </c>
      <c r="D306">
        <v>791644</v>
      </c>
      <c r="E306">
        <v>4007463</v>
      </c>
      <c r="F306" t="s">
        <v>35</v>
      </c>
      <c r="G306" t="s">
        <v>18</v>
      </c>
    </row>
    <row r="307" spans="1:7" x14ac:dyDescent="0.2">
      <c r="A307" t="s">
        <v>605</v>
      </c>
      <c r="B307" t="s">
        <v>606</v>
      </c>
      <c r="C307">
        <v>24734</v>
      </c>
      <c r="D307">
        <v>100019</v>
      </c>
      <c r="E307">
        <v>945247</v>
      </c>
      <c r="F307" t="s">
        <v>35</v>
      </c>
      <c r="G307" t="s">
        <v>18</v>
      </c>
    </row>
    <row r="308" spans="1:7" x14ac:dyDescent="0.2">
      <c r="A308" t="s">
        <v>627</v>
      </c>
      <c r="B308" t="s">
        <v>628</v>
      </c>
      <c r="C308">
        <v>24654</v>
      </c>
      <c r="D308">
        <v>59878</v>
      </c>
      <c r="E308">
        <v>780045</v>
      </c>
      <c r="F308" t="s">
        <v>35</v>
      </c>
      <c r="G308" t="s">
        <v>18</v>
      </c>
    </row>
    <row r="309" spans="1:7" x14ac:dyDescent="0.2">
      <c r="A309" t="s">
        <v>609</v>
      </c>
      <c r="B309" t="s">
        <v>610</v>
      </c>
      <c r="C309">
        <v>23499</v>
      </c>
      <c r="D309">
        <v>50239</v>
      </c>
      <c r="E309">
        <v>2509573</v>
      </c>
      <c r="F309" t="s">
        <v>35</v>
      </c>
      <c r="G309" t="s">
        <v>18</v>
      </c>
    </row>
    <row r="310" spans="1:7" x14ac:dyDescent="0.2">
      <c r="A310" t="s">
        <v>964</v>
      </c>
      <c r="B310" t="s">
        <v>965</v>
      </c>
      <c r="C310">
        <v>23276</v>
      </c>
      <c r="D310">
        <v>27873</v>
      </c>
      <c r="E310">
        <v>536454</v>
      </c>
      <c r="F310" t="s">
        <v>35</v>
      </c>
      <c r="G310" t="s">
        <v>18</v>
      </c>
    </row>
    <row r="311" spans="1:7" x14ac:dyDescent="0.2">
      <c r="A311" t="s">
        <v>623</v>
      </c>
      <c r="B311" t="s">
        <v>624</v>
      </c>
      <c r="C311">
        <v>23079</v>
      </c>
      <c r="D311">
        <v>54841</v>
      </c>
      <c r="E311">
        <v>715205</v>
      </c>
      <c r="F311" t="s">
        <v>35</v>
      </c>
      <c r="G311" t="s">
        <v>18</v>
      </c>
    </row>
    <row r="312" spans="1:7" x14ac:dyDescent="0.2">
      <c r="A312" t="s">
        <v>657</v>
      </c>
      <c r="B312" t="s">
        <v>658</v>
      </c>
      <c r="C312">
        <v>22501</v>
      </c>
      <c r="D312">
        <v>55727</v>
      </c>
      <c r="E312">
        <v>400372</v>
      </c>
      <c r="F312" t="s">
        <v>35</v>
      </c>
      <c r="G312" t="s">
        <v>18</v>
      </c>
    </row>
    <row r="313" spans="1:7" x14ac:dyDescent="0.2">
      <c r="A313" t="s">
        <v>966</v>
      </c>
      <c r="B313" t="s">
        <v>900</v>
      </c>
      <c r="C313">
        <v>21126</v>
      </c>
      <c r="D313">
        <v>1364556</v>
      </c>
      <c r="E313">
        <v>7595475</v>
      </c>
      <c r="F313" t="s">
        <v>35</v>
      </c>
      <c r="G313" t="s">
        <v>18</v>
      </c>
    </row>
    <row r="314" spans="1:7" x14ac:dyDescent="0.2">
      <c r="A314" t="s">
        <v>639</v>
      </c>
      <c r="B314" t="s">
        <v>640</v>
      </c>
      <c r="C314">
        <v>20242</v>
      </c>
      <c r="D314">
        <v>69373</v>
      </c>
      <c r="E314">
        <v>782524</v>
      </c>
      <c r="F314" t="s">
        <v>35</v>
      </c>
      <c r="G314" t="s">
        <v>18</v>
      </c>
    </row>
    <row r="315" spans="1:7" x14ac:dyDescent="0.2">
      <c r="A315" t="s">
        <v>647</v>
      </c>
      <c r="B315" t="s">
        <v>648</v>
      </c>
      <c r="C315">
        <v>20004</v>
      </c>
      <c r="D315">
        <v>31403</v>
      </c>
      <c r="E315">
        <v>515644</v>
      </c>
      <c r="F315" t="s">
        <v>35</v>
      </c>
      <c r="G315" t="s">
        <v>18</v>
      </c>
    </row>
    <row r="316" spans="1:7" x14ac:dyDescent="0.2">
      <c r="A316" t="s">
        <v>575</v>
      </c>
      <c r="B316" t="s">
        <v>576</v>
      </c>
      <c r="C316">
        <v>19218</v>
      </c>
      <c r="D316">
        <v>133935</v>
      </c>
      <c r="E316">
        <v>1097424</v>
      </c>
      <c r="F316" t="s">
        <v>35</v>
      </c>
      <c r="G316" t="s">
        <v>18</v>
      </c>
    </row>
    <row r="317" spans="1:7" x14ac:dyDescent="0.2">
      <c r="A317" t="s">
        <v>898</v>
      </c>
      <c r="B317" t="s">
        <v>650</v>
      </c>
      <c r="C317">
        <v>19081</v>
      </c>
      <c r="D317">
        <v>83801</v>
      </c>
      <c r="E317">
        <v>1015923</v>
      </c>
      <c r="F317" t="s">
        <v>35</v>
      </c>
      <c r="G317" t="s">
        <v>18</v>
      </c>
    </row>
    <row r="318" spans="1:7" x14ac:dyDescent="0.2">
      <c r="A318" t="s">
        <v>635</v>
      </c>
      <c r="B318" t="s">
        <v>636</v>
      </c>
      <c r="C318">
        <v>18938</v>
      </c>
      <c r="D318">
        <v>56723</v>
      </c>
      <c r="E318">
        <v>587186</v>
      </c>
      <c r="F318" t="s">
        <v>35</v>
      </c>
      <c r="G318" t="s">
        <v>18</v>
      </c>
    </row>
    <row r="319" spans="1:7" x14ac:dyDescent="0.2">
      <c r="A319" t="s">
        <v>967</v>
      </c>
      <c r="B319" t="s">
        <v>968</v>
      </c>
      <c r="C319">
        <v>18237</v>
      </c>
      <c r="D319">
        <v>33936</v>
      </c>
      <c r="E319">
        <v>467364</v>
      </c>
      <c r="F319" t="s">
        <v>35</v>
      </c>
      <c r="G319" t="s">
        <v>18</v>
      </c>
    </row>
    <row r="320" spans="1:7" x14ac:dyDescent="0.2">
      <c r="A320" t="s">
        <v>637</v>
      </c>
      <c r="B320" t="s">
        <v>638</v>
      </c>
      <c r="C320">
        <v>18062</v>
      </c>
      <c r="D320">
        <v>89642</v>
      </c>
      <c r="E320">
        <v>812629</v>
      </c>
      <c r="F320" t="s">
        <v>35</v>
      </c>
      <c r="G320" t="s">
        <v>18</v>
      </c>
    </row>
    <row r="321" spans="1:7" x14ac:dyDescent="0.2">
      <c r="A321" t="s">
        <v>581</v>
      </c>
      <c r="B321" t="s">
        <v>582</v>
      </c>
      <c r="C321">
        <v>17999</v>
      </c>
      <c r="D321">
        <v>50860</v>
      </c>
      <c r="E321">
        <v>585896</v>
      </c>
      <c r="F321" t="s">
        <v>35</v>
      </c>
      <c r="G321" t="s">
        <v>18</v>
      </c>
    </row>
    <row r="322" spans="1:7" x14ac:dyDescent="0.2">
      <c r="A322" t="s">
        <v>653</v>
      </c>
      <c r="B322" t="s">
        <v>654</v>
      </c>
      <c r="C322">
        <v>17624</v>
      </c>
      <c r="D322">
        <v>86620</v>
      </c>
      <c r="E322">
        <v>759978</v>
      </c>
      <c r="F322" t="s">
        <v>35</v>
      </c>
      <c r="G322" t="s">
        <v>18</v>
      </c>
    </row>
    <row r="323" spans="1:7" x14ac:dyDescent="0.2">
      <c r="A323" t="s">
        <v>671</v>
      </c>
      <c r="B323" t="s">
        <v>672</v>
      </c>
      <c r="C323">
        <v>17274</v>
      </c>
      <c r="D323">
        <v>73156</v>
      </c>
      <c r="E323">
        <v>602522</v>
      </c>
      <c r="F323" t="s">
        <v>35</v>
      </c>
      <c r="G323" t="s">
        <v>18</v>
      </c>
    </row>
    <row r="324" spans="1:7" x14ac:dyDescent="0.2">
      <c r="A324" t="s">
        <v>661</v>
      </c>
      <c r="B324" t="s">
        <v>662</v>
      </c>
      <c r="C324">
        <v>16291</v>
      </c>
      <c r="D324">
        <v>41693</v>
      </c>
      <c r="E324">
        <v>660294</v>
      </c>
      <c r="F324" t="s">
        <v>35</v>
      </c>
      <c r="G324" t="s">
        <v>18</v>
      </c>
    </row>
    <row r="325" spans="1:7" x14ac:dyDescent="0.2">
      <c r="A325" t="s">
        <v>679</v>
      </c>
      <c r="B325" t="s">
        <v>680</v>
      </c>
      <c r="C325">
        <v>16008</v>
      </c>
      <c r="D325">
        <v>127591</v>
      </c>
      <c r="E325">
        <v>1012640</v>
      </c>
      <c r="F325" t="s">
        <v>35</v>
      </c>
      <c r="G325" t="s">
        <v>18</v>
      </c>
    </row>
    <row r="326" spans="1:7" x14ac:dyDescent="0.2">
      <c r="A326" t="s">
        <v>969</v>
      </c>
      <c r="B326" t="s">
        <v>970</v>
      </c>
      <c r="C326">
        <v>15822</v>
      </c>
      <c r="D326">
        <v>599102</v>
      </c>
      <c r="E326">
        <v>3400416</v>
      </c>
      <c r="F326" t="s">
        <v>35</v>
      </c>
      <c r="G326" t="s">
        <v>18</v>
      </c>
    </row>
    <row r="327" spans="1:7" x14ac:dyDescent="0.2">
      <c r="A327" t="s">
        <v>645</v>
      </c>
      <c r="B327" t="s">
        <v>646</v>
      </c>
      <c r="C327">
        <v>15603</v>
      </c>
      <c r="D327">
        <v>56498</v>
      </c>
      <c r="E327">
        <v>564030</v>
      </c>
      <c r="F327" t="s">
        <v>35</v>
      </c>
      <c r="G327" t="s">
        <v>18</v>
      </c>
    </row>
    <row r="328" spans="1:7" x14ac:dyDescent="0.2">
      <c r="A328" t="s">
        <v>675</v>
      </c>
      <c r="B328" t="s">
        <v>676</v>
      </c>
      <c r="C328">
        <v>15598</v>
      </c>
      <c r="D328">
        <v>69715</v>
      </c>
      <c r="E328">
        <v>616814</v>
      </c>
      <c r="F328" t="s">
        <v>35</v>
      </c>
      <c r="G328" t="s">
        <v>18</v>
      </c>
    </row>
    <row r="329" spans="1:7" x14ac:dyDescent="0.2">
      <c r="A329" t="s">
        <v>695</v>
      </c>
      <c r="B329" t="s">
        <v>696</v>
      </c>
      <c r="C329">
        <v>14557</v>
      </c>
      <c r="D329">
        <v>73650</v>
      </c>
      <c r="E329">
        <v>693185</v>
      </c>
      <c r="F329" t="s">
        <v>35</v>
      </c>
      <c r="G329" t="s">
        <v>18</v>
      </c>
    </row>
    <row r="330" spans="1:7" x14ac:dyDescent="0.2">
      <c r="A330" t="s">
        <v>677</v>
      </c>
      <c r="B330" t="s">
        <v>678</v>
      </c>
      <c r="C330">
        <v>13771</v>
      </c>
      <c r="D330">
        <v>91455</v>
      </c>
      <c r="E330">
        <v>707245</v>
      </c>
      <c r="F330" t="s">
        <v>35</v>
      </c>
      <c r="G330" t="s">
        <v>18</v>
      </c>
    </row>
    <row r="331" spans="1:7" x14ac:dyDescent="0.2">
      <c r="A331" t="s">
        <v>705</v>
      </c>
      <c r="B331" t="s">
        <v>706</v>
      </c>
      <c r="C331">
        <v>13734</v>
      </c>
      <c r="D331">
        <v>93239</v>
      </c>
      <c r="E331">
        <v>706318</v>
      </c>
      <c r="F331" t="s">
        <v>35</v>
      </c>
      <c r="G331" t="s">
        <v>18</v>
      </c>
    </row>
    <row r="332" spans="1:7" x14ac:dyDescent="0.2">
      <c r="A332" t="s">
        <v>713</v>
      </c>
      <c r="B332" t="s">
        <v>714</v>
      </c>
      <c r="C332">
        <v>13690</v>
      </c>
      <c r="D332">
        <v>99914</v>
      </c>
      <c r="E332">
        <v>829272</v>
      </c>
      <c r="F332" t="s">
        <v>35</v>
      </c>
      <c r="G332" t="s">
        <v>18</v>
      </c>
    </row>
    <row r="333" spans="1:7" x14ac:dyDescent="0.2">
      <c r="A333" t="s">
        <v>701</v>
      </c>
      <c r="B333" t="s">
        <v>702</v>
      </c>
      <c r="C333">
        <v>13661</v>
      </c>
      <c r="D333">
        <v>55807</v>
      </c>
      <c r="E333">
        <v>454472</v>
      </c>
      <c r="F333" t="s">
        <v>35</v>
      </c>
      <c r="G333" t="s">
        <v>18</v>
      </c>
    </row>
    <row r="334" spans="1:7" x14ac:dyDescent="0.2">
      <c r="A334" t="s">
        <v>655</v>
      </c>
      <c r="B334" t="s">
        <v>656</v>
      </c>
      <c r="C334">
        <v>13049</v>
      </c>
      <c r="D334">
        <v>62236</v>
      </c>
      <c r="E334">
        <v>534099</v>
      </c>
      <c r="F334" t="s">
        <v>35</v>
      </c>
      <c r="G334" t="s">
        <v>18</v>
      </c>
    </row>
    <row r="335" spans="1:7" x14ac:dyDescent="0.2">
      <c r="A335" t="s">
        <v>673</v>
      </c>
      <c r="B335" t="s">
        <v>674</v>
      </c>
      <c r="C335">
        <v>12851</v>
      </c>
      <c r="D335">
        <v>166510</v>
      </c>
      <c r="E335">
        <v>1120458</v>
      </c>
      <c r="F335" t="s">
        <v>35</v>
      </c>
      <c r="G335" t="s">
        <v>18</v>
      </c>
    </row>
    <row r="336" spans="1:7" x14ac:dyDescent="0.2">
      <c r="A336" t="s">
        <v>689</v>
      </c>
      <c r="B336" t="s">
        <v>690</v>
      </c>
      <c r="C336">
        <v>12411</v>
      </c>
      <c r="D336">
        <v>46087</v>
      </c>
      <c r="E336">
        <v>514632</v>
      </c>
      <c r="F336" t="s">
        <v>35</v>
      </c>
      <c r="G336" t="s">
        <v>18</v>
      </c>
    </row>
    <row r="337" spans="1:7" x14ac:dyDescent="0.2">
      <c r="A337" t="s">
        <v>693</v>
      </c>
      <c r="B337" t="s">
        <v>694</v>
      </c>
      <c r="C337">
        <v>11678</v>
      </c>
      <c r="D337">
        <v>52689</v>
      </c>
      <c r="E337">
        <v>455383</v>
      </c>
      <c r="F337" t="s">
        <v>35</v>
      </c>
      <c r="G337" t="s">
        <v>18</v>
      </c>
    </row>
    <row r="338" spans="1:7" x14ac:dyDescent="0.2">
      <c r="A338" t="s">
        <v>687</v>
      </c>
      <c r="B338" t="s">
        <v>688</v>
      </c>
      <c r="C338">
        <v>11373</v>
      </c>
      <c r="D338">
        <v>131222</v>
      </c>
      <c r="E338">
        <v>1062444</v>
      </c>
      <c r="F338" t="s">
        <v>35</v>
      </c>
      <c r="G338" t="s">
        <v>18</v>
      </c>
    </row>
    <row r="339" spans="1:7" x14ac:dyDescent="0.2">
      <c r="A339" t="s">
        <v>717</v>
      </c>
      <c r="B339" t="s">
        <v>718</v>
      </c>
      <c r="C339">
        <v>11276</v>
      </c>
      <c r="D339">
        <v>101107</v>
      </c>
      <c r="E339">
        <v>769559</v>
      </c>
      <c r="F339" t="s">
        <v>35</v>
      </c>
      <c r="G339" t="s">
        <v>18</v>
      </c>
    </row>
    <row r="340" spans="1:7" x14ac:dyDescent="0.2">
      <c r="A340" t="s">
        <v>685</v>
      </c>
      <c r="B340" t="s">
        <v>686</v>
      </c>
      <c r="C340">
        <v>11242</v>
      </c>
      <c r="D340">
        <v>43471</v>
      </c>
      <c r="E340">
        <v>449852</v>
      </c>
      <c r="F340" t="s">
        <v>35</v>
      </c>
      <c r="G340" t="s">
        <v>18</v>
      </c>
    </row>
    <row r="341" spans="1:7" x14ac:dyDescent="0.2">
      <c r="A341" t="s">
        <v>703</v>
      </c>
      <c r="B341" t="s">
        <v>704</v>
      </c>
      <c r="C341">
        <v>11224</v>
      </c>
      <c r="D341">
        <v>55332</v>
      </c>
      <c r="E341">
        <v>607226</v>
      </c>
      <c r="F341" t="s">
        <v>35</v>
      </c>
      <c r="G341" t="s">
        <v>18</v>
      </c>
    </row>
    <row r="342" spans="1:7" x14ac:dyDescent="0.2">
      <c r="A342" t="s">
        <v>837</v>
      </c>
      <c r="B342" t="s">
        <v>838</v>
      </c>
      <c r="C342">
        <v>11215</v>
      </c>
      <c r="D342">
        <v>75864</v>
      </c>
      <c r="E342">
        <v>583920</v>
      </c>
      <c r="F342" t="s">
        <v>35</v>
      </c>
      <c r="G342" t="s">
        <v>18</v>
      </c>
    </row>
    <row r="343" spans="1:7" x14ac:dyDescent="0.2">
      <c r="A343" t="s">
        <v>719</v>
      </c>
      <c r="B343" t="s">
        <v>720</v>
      </c>
      <c r="C343">
        <v>11159</v>
      </c>
      <c r="D343">
        <v>566236</v>
      </c>
      <c r="E343">
        <v>3218784</v>
      </c>
      <c r="F343" t="s">
        <v>35</v>
      </c>
      <c r="G343" t="s">
        <v>18</v>
      </c>
    </row>
    <row r="344" spans="1:7" x14ac:dyDescent="0.2">
      <c r="A344" t="s">
        <v>697</v>
      </c>
      <c r="B344" t="s">
        <v>698</v>
      </c>
      <c r="C344">
        <v>10993</v>
      </c>
      <c r="D344">
        <v>94987</v>
      </c>
      <c r="E344">
        <v>693992</v>
      </c>
      <c r="F344" t="s">
        <v>35</v>
      </c>
      <c r="G344" t="s">
        <v>18</v>
      </c>
    </row>
    <row r="345" spans="1:7" x14ac:dyDescent="0.2">
      <c r="A345" t="s">
        <v>741</v>
      </c>
      <c r="B345" t="s">
        <v>742</v>
      </c>
      <c r="C345">
        <v>10498</v>
      </c>
      <c r="D345">
        <v>78543</v>
      </c>
      <c r="E345">
        <v>690242</v>
      </c>
      <c r="F345" t="s">
        <v>35</v>
      </c>
      <c r="G345" t="s">
        <v>18</v>
      </c>
    </row>
    <row r="346" spans="1:7" x14ac:dyDescent="0.2">
      <c r="A346" t="s">
        <v>735</v>
      </c>
      <c r="B346" t="s">
        <v>736</v>
      </c>
      <c r="C346">
        <v>9959</v>
      </c>
      <c r="D346">
        <v>40238</v>
      </c>
      <c r="E346">
        <v>349363</v>
      </c>
      <c r="F346" t="s">
        <v>35</v>
      </c>
      <c r="G346" t="s">
        <v>18</v>
      </c>
    </row>
    <row r="347" spans="1:7" x14ac:dyDescent="0.2">
      <c r="A347" t="s">
        <v>721</v>
      </c>
      <c r="B347" t="s">
        <v>722</v>
      </c>
      <c r="C347">
        <v>9679</v>
      </c>
      <c r="D347">
        <v>52776</v>
      </c>
      <c r="E347">
        <v>455804</v>
      </c>
      <c r="F347" t="s">
        <v>35</v>
      </c>
      <c r="G347" t="s">
        <v>18</v>
      </c>
    </row>
    <row r="348" spans="1:7" x14ac:dyDescent="0.2">
      <c r="A348" t="s">
        <v>715</v>
      </c>
      <c r="B348" t="s">
        <v>716</v>
      </c>
      <c r="C348">
        <v>9470</v>
      </c>
      <c r="D348">
        <v>61890</v>
      </c>
      <c r="E348">
        <v>555314</v>
      </c>
      <c r="F348" t="s">
        <v>35</v>
      </c>
      <c r="G348" t="s">
        <v>18</v>
      </c>
    </row>
    <row r="349" spans="1:7" x14ac:dyDescent="0.2">
      <c r="A349" t="s">
        <v>729</v>
      </c>
      <c r="B349" t="s">
        <v>730</v>
      </c>
      <c r="C349">
        <v>9433</v>
      </c>
      <c r="D349">
        <v>97645</v>
      </c>
      <c r="E349">
        <v>686844</v>
      </c>
      <c r="F349" t="s">
        <v>35</v>
      </c>
      <c r="G349" t="s">
        <v>18</v>
      </c>
    </row>
    <row r="350" spans="1:7" x14ac:dyDescent="0.2">
      <c r="A350" t="s">
        <v>711</v>
      </c>
      <c r="B350" t="s">
        <v>712</v>
      </c>
      <c r="C350">
        <v>9432.9599999999991</v>
      </c>
      <c r="D350">
        <v>174599.84</v>
      </c>
      <c r="E350">
        <v>1142198.98</v>
      </c>
      <c r="F350" t="s">
        <v>35</v>
      </c>
      <c r="G350" t="s">
        <v>18</v>
      </c>
    </row>
    <row r="351" spans="1:7" x14ac:dyDescent="0.2">
      <c r="A351" t="s">
        <v>733</v>
      </c>
      <c r="B351" t="s">
        <v>734</v>
      </c>
      <c r="C351">
        <v>9366</v>
      </c>
      <c r="D351">
        <v>69854</v>
      </c>
      <c r="E351">
        <v>539450</v>
      </c>
      <c r="F351" t="s">
        <v>35</v>
      </c>
      <c r="G351" t="s">
        <v>18</v>
      </c>
    </row>
    <row r="352" spans="1:7" x14ac:dyDescent="0.2">
      <c r="A352" t="s">
        <v>699</v>
      </c>
      <c r="B352" t="s">
        <v>700</v>
      </c>
      <c r="C352">
        <v>9016</v>
      </c>
      <c r="D352">
        <v>46910</v>
      </c>
      <c r="E352">
        <v>353115</v>
      </c>
      <c r="F352" t="s">
        <v>35</v>
      </c>
      <c r="G352" t="s">
        <v>18</v>
      </c>
    </row>
    <row r="353" spans="1:7" x14ac:dyDescent="0.2">
      <c r="A353" t="s">
        <v>731</v>
      </c>
      <c r="B353" t="s">
        <v>732</v>
      </c>
      <c r="C353">
        <v>8770</v>
      </c>
      <c r="D353">
        <v>66608</v>
      </c>
      <c r="E353">
        <v>478269</v>
      </c>
      <c r="F353" t="s">
        <v>35</v>
      </c>
      <c r="G353" t="s">
        <v>18</v>
      </c>
    </row>
    <row r="354" spans="1:7" x14ac:dyDescent="0.2">
      <c r="A354" t="s">
        <v>749</v>
      </c>
      <c r="B354" t="s">
        <v>750</v>
      </c>
      <c r="C354">
        <v>8633</v>
      </c>
      <c r="D354">
        <v>144654</v>
      </c>
      <c r="E354">
        <v>1407856</v>
      </c>
      <c r="F354" t="s">
        <v>35</v>
      </c>
      <c r="G354" t="s">
        <v>18</v>
      </c>
    </row>
    <row r="355" spans="1:7" x14ac:dyDescent="0.2">
      <c r="A355" t="s">
        <v>737</v>
      </c>
      <c r="B355" t="s">
        <v>738</v>
      </c>
      <c r="C355">
        <v>8587</v>
      </c>
      <c r="D355">
        <v>86482</v>
      </c>
      <c r="E355">
        <v>584274</v>
      </c>
      <c r="F355" t="s">
        <v>35</v>
      </c>
      <c r="G355" t="s">
        <v>18</v>
      </c>
    </row>
    <row r="356" spans="1:7" x14ac:dyDescent="0.2">
      <c r="A356" t="s">
        <v>709</v>
      </c>
      <c r="B356" t="s">
        <v>710</v>
      </c>
      <c r="C356">
        <v>8378</v>
      </c>
      <c r="D356">
        <v>56424</v>
      </c>
      <c r="E356">
        <v>364101</v>
      </c>
      <c r="F356" t="s">
        <v>35</v>
      </c>
      <c r="G356" t="s">
        <v>18</v>
      </c>
    </row>
    <row r="357" spans="1:7" x14ac:dyDescent="0.2">
      <c r="A357" t="s">
        <v>769</v>
      </c>
      <c r="B357" t="s">
        <v>770</v>
      </c>
      <c r="C357">
        <v>8370</v>
      </c>
      <c r="D357">
        <v>535096</v>
      </c>
      <c r="E357">
        <v>3408446</v>
      </c>
      <c r="F357" t="s">
        <v>35</v>
      </c>
      <c r="G357" t="s">
        <v>18</v>
      </c>
    </row>
    <row r="358" spans="1:7" x14ac:dyDescent="0.2">
      <c r="A358" t="s">
        <v>747</v>
      </c>
      <c r="B358" t="s">
        <v>748</v>
      </c>
      <c r="C358">
        <v>8198</v>
      </c>
      <c r="D358">
        <v>113950</v>
      </c>
      <c r="E358">
        <v>922760</v>
      </c>
      <c r="F358" t="s">
        <v>35</v>
      </c>
      <c r="G358" t="s">
        <v>18</v>
      </c>
    </row>
    <row r="359" spans="1:7" x14ac:dyDescent="0.2">
      <c r="A359" t="s">
        <v>815</v>
      </c>
      <c r="B359" t="s">
        <v>816</v>
      </c>
      <c r="C359">
        <v>7919</v>
      </c>
      <c r="D359">
        <v>358353</v>
      </c>
      <c r="E359">
        <v>1971147</v>
      </c>
      <c r="F359" t="s">
        <v>35</v>
      </c>
      <c r="G359" t="s">
        <v>18</v>
      </c>
    </row>
    <row r="360" spans="1:7" x14ac:dyDescent="0.2">
      <c r="A360" t="s">
        <v>751</v>
      </c>
      <c r="B360" t="s">
        <v>752</v>
      </c>
      <c r="C360">
        <v>7617</v>
      </c>
      <c r="D360">
        <v>62765</v>
      </c>
      <c r="E360">
        <v>1560591</v>
      </c>
      <c r="F360" t="s">
        <v>35</v>
      </c>
      <c r="G360" t="s">
        <v>18</v>
      </c>
    </row>
    <row r="361" spans="1:7" x14ac:dyDescent="0.2">
      <c r="A361" t="s">
        <v>739</v>
      </c>
      <c r="B361" t="s">
        <v>740</v>
      </c>
      <c r="C361">
        <v>7527</v>
      </c>
      <c r="D361">
        <v>42485</v>
      </c>
      <c r="E361">
        <v>390650</v>
      </c>
      <c r="F361" t="s">
        <v>35</v>
      </c>
      <c r="G361" t="s">
        <v>18</v>
      </c>
    </row>
    <row r="362" spans="1:7" x14ac:dyDescent="0.2">
      <c r="A362" t="s">
        <v>745</v>
      </c>
      <c r="B362" t="s">
        <v>746</v>
      </c>
      <c r="C362">
        <v>7370</v>
      </c>
      <c r="D362">
        <v>64776</v>
      </c>
      <c r="E362">
        <v>497801</v>
      </c>
      <c r="F362" t="s">
        <v>35</v>
      </c>
      <c r="G362" t="s">
        <v>18</v>
      </c>
    </row>
    <row r="363" spans="1:7" x14ac:dyDescent="0.2">
      <c r="A363" t="s">
        <v>667</v>
      </c>
      <c r="B363" t="s">
        <v>668</v>
      </c>
      <c r="C363">
        <v>7345</v>
      </c>
      <c r="D363">
        <v>91230.8</v>
      </c>
      <c r="E363">
        <v>603633.55000000005</v>
      </c>
      <c r="F363" t="s">
        <v>35</v>
      </c>
      <c r="G363" t="s">
        <v>18</v>
      </c>
    </row>
    <row r="364" spans="1:7" x14ac:dyDescent="0.2">
      <c r="A364" t="s">
        <v>743</v>
      </c>
      <c r="B364" t="s">
        <v>744</v>
      </c>
      <c r="C364">
        <v>7094</v>
      </c>
      <c r="D364">
        <v>48090</v>
      </c>
      <c r="E364">
        <v>373532</v>
      </c>
      <c r="F364" t="s">
        <v>35</v>
      </c>
      <c r="G364" t="s">
        <v>18</v>
      </c>
    </row>
    <row r="365" spans="1:7" x14ac:dyDescent="0.2">
      <c r="A365" t="s">
        <v>783</v>
      </c>
      <c r="B365" t="s">
        <v>784</v>
      </c>
      <c r="C365">
        <v>6680</v>
      </c>
      <c r="D365">
        <v>265715</v>
      </c>
      <c r="E365">
        <v>1587532</v>
      </c>
      <c r="F365" t="s">
        <v>35</v>
      </c>
      <c r="G365" t="s">
        <v>18</v>
      </c>
    </row>
    <row r="366" spans="1:7" x14ac:dyDescent="0.2">
      <c r="A366" t="s">
        <v>793</v>
      </c>
      <c r="B366" t="s">
        <v>794</v>
      </c>
      <c r="C366">
        <v>6504</v>
      </c>
      <c r="D366">
        <v>123784</v>
      </c>
      <c r="E366">
        <v>659642</v>
      </c>
      <c r="F366" t="s">
        <v>35</v>
      </c>
      <c r="G366" t="s">
        <v>18</v>
      </c>
    </row>
    <row r="367" spans="1:7" x14ac:dyDescent="0.2">
      <c r="A367" t="s">
        <v>763</v>
      </c>
      <c r="B367" t="s">
        <v>764</v>
      </c>
      <c r="C367">
        <v>6487</v>
      </c>
      <c r="D367">
        <v>70536</v>
      </c>
      <c r="E367">
        <v>513422</v>
      </c>
      <c r="F367" t="s">
        <v>35</v>
      </c>
      <c r="G367" t="s">
        <v>18</v>
      </c>
    </row>
    <row r="368" spans="1:7" x14ac:dyDescent="0.2">
      <c r="A368" t="s">
        <v>755</v>
      </c>
      <c r="B368" t="s">
        <v>756</v>
      </c>
      <c r="C368">
        <v>6450</v>
      </c>
      <c r="D368">
        <v>109291</v>
      </c>
      <c r="E368">
        <v>1028178</v>
      </c>
      <c r="F368" t="s">
        <v>35</v>
      </c>
      <c r="G368" t="s">
        <v>18</v>
      </c>
    </row>
    <row r="369" spans="1:7" x14ac:dyDescent="0.2">
      <c r="A369" t="s">
        <v>759</v>
      </c>
      <c r="B369" t="s">
        <v>760</v>
      </c>
      <c r="C369">
        <v>6305</v>
      </c>
      <c r="D369">
        <v>357281</v>
      </c>
      <c r="E369">
        <v>1764053</v>
      </c>
      <c r="F369" t="s">
        <v>35</v>
      </c>
      <c r="G369" t="s">
        <v>18</v>
      </c>
    </row>
    <row r="370" spans="1:7" x14ac:dyDescent="0.2">
      <c r="A370" t="s">
        <v>757</v>
      </c>
      <c r="B370" t="s">
        <v>758</v>
      </c>
      <c r="C370">
        <v>6142</v>
      </c>
      <c r="D370">
        <v>84479</v>
      </c>
      <c r="E370">
        <v>537662</v>
      </c>
      <c r="F370" t="s">
        <v>35</v>
      </c>
      <c r="G370" t="s">
        <v>18</v>
      </c>
    </row>
    <row r="371" spans="1:7" x14ac:dyDescent="0.2">
      <c r="A371" t="s">
        <v>753</v>
      </c>
      <c r="B371" t="s">
        <v>754</v>
      </c>
      <c r="C371">
        <v>5852</v>
      </c>
      <c r="D371">
        <v>60291</v>
      </c>
      <c r="E371">
        <v>426751</v>
      </c>
      <c r="F371" t="s">
        <v>35</v>
      </c>
      <c r="G371" t="s">
        <v>18</v>
      </c>
    </row>
    <row r="372" spans="1:7" x14ac:dyDescent="0.2">
      <c r="A372" t="s">
        <v>767</v>
      </c>
      <c r="B372" t="s">
        <v>768</v>
      </c>
      <c r="C372">
        <v>5812</v>
      </c>
      <c r="D372">
        <v>53018</v>
      </c>
      <c r="E372">
        <v>370730</v>
      </c>
      <c r="F372" t="s">
        <v>35</v>
      </c>
      <c r="G372" t="s">
        <v>18</v>
      </c>
    </row>
    <row r="373" spans="1:7" x14ac:dyDescent="0.2">
      <c r="A373" t="s">
        <v>765</v>
      </c>
      <c r="B373" t="s">
        <v>766</v>
      </c>
      <c r="C373">
        <v>5673</v>
      </c>
      <c r="D373">
        <v>101034</v>
      </c>
      <c r="E373">
        <v>660002</v>
      </c>
      <c r="F373" t="s">
        <v>35</v>
      </c>
      <c r="G373" t="s">
        <v>18</v>
      </c>
    </row>
    <row r="374" spans="1:7" x14ac:dyDescent="0.2">
      <c r="A374" t="s">
        <v>971</v>
      </c>
      <c r="B374" t="s">
        <v>972</v>
      </c>
      <c r="C374">
        <v>5180</v>
      </c>
      <c r="D374">
        <v>65439</v>
      </c>
      <c r="E374">
        <v>642761</v>
      </c>
      <c r="F374" t="s">
        <v>35</v>
      </c>
      <c r="G374" t="s">
        <v>18</v>
      </c>
    </row>
    <row r="375" spans="1:7" x14ac:dyDescent="0.2">
      <c r="A375" t="s">
        <v>789</v>
      </c>
      <c r="B375" t="s">
        <v>790</v>
      </c>
      <c r="C375">
        <v>4644</v>
      </c>
      <c r="D375">
        <v>103279</v>
      </c>
      <c r="E375">
        <v>1621315</v>
      </c>
      <c r="F375" t="s">
        <v>35</v>
      </c>
      <c r="G375" t="s">
        <v>18</v>
      </c>
    </row>
    <row r="376" spans="1:7" x14ac:dyDescent="0.2">
      <c r="A376" t="s">
        <v>781</v>
      </c>
      <c r="B376" t="s">
        <v>782</v>
      </c>
      <c r="C376">
        <v>4370</v>
      </c>
      <c r="D376">
        <v>57004</v>
      </c>
      <c r="E376">
        <v>338656</v>
      </c>
      <c r="F376" t="s">
        <v>35</v>
      </c>
      <c r="G376" t="s">
        <v>18</v>
      </c>
    </row>
    <row r="377" spans="1:7" x14ac:dyDescent="0.2">
      <c r="A377" t="s">
        <v>775</v>
      </c>
      <c r="B377" t="s">
        <v>776</v>
      </c>
      <c r="C377">
        <v>4306</v>
      </c>
      <c r="D377">
        <v>54017</v>
      </c>
      <c r="E377">
        <v>360995</v>
      </c>
      <c r="F377" t="s">
        <v>35</v>
      </c>
      <c r="G377" t="s">
        <v>18</v>
      </c>
    </row>
    <row r="378" spans="1:7" x14ac:dyDescent="0.2">
      <c r="A378" t="s">
        <v>777</v>
      </c>
      <c r="B378" t="s">
        <v>778</v>
      </c>
      <c r="C378">
        <v>4245</v>
      </c>
      <c r="D378">
        <v>182151</v>
      </c>
      <c r="E378">
        <v>1026557</v>
      </c>
      <c r="F378" t="s">
        <v>35</v>
      </c>
      <c r="G378" t="s">
        <v>18</v>
      </c>
    </row>
    <row r="379" spans="1:7" x14ac:dyDescent="0.2">
      <c r="A379" t="s">
        <v>797</v>
      </c>
      <c r="B379" t="s">
        <v>798</v>
      </c>
      <c r="C379">
        <v>4165</v>
      </c>
      <c r="D379">
        <v>553344</v>
      </c>
      <c r="E379">
        <v>2886668</v>
      </c>
      <c r="F379" t="s">
        <v>35</v>
      </c>
      <c r="G379" t="s">
        <v>18</v>
      </c>
    </row>
    <row r="380" spans="1:7" x14ac:dyDescent="0.2">
      <c r="A380" t="s">
        <v>787</v>
      </c>
      <c r="B380" t="s">
        <v>788</v>
      </c>
      <c r="C380">
        <v>3627</v>
      </c>
      <c r="D380">
        <v>123439</v>
      </c>
      <c r="E380">
        <v>676477</v>
      </c>
      <c r="F380" t="s">
        <v>35</v>
      </c>
      <c r="G380" t="s">
        <v>18</v>
      </c>
    </row>
    <row r="381" spans="1:7" x14ac:dyDescent="0.2">
      <c r="A381" t="s">
        <v>803</v>
      </c>
      <c r="B381" t="s">
        <v>804</v>
      </c>
      <c r="C381">
        <v>3523</v>
      </c>
      <c r="D381">
        <v>71989</v>
      </c>
      <c r="E381">
        <v>411410</v>
      </c>
      <c r="F381" t="s">
        <v>35</v>
      </c>
      <c r="G381" t="s">
        <v>18</v>
      </c>
    </row>
    <row r="382" spans="1:7" x14ac:dyDescent="0.2">
      <c r="A382" t="s">
        <v>791</v>
      </c>
      <c r="B382" t="s">
        <v>792</v>
      </c>
      <c r="C382">
        <v>3022</v>
      </c>
      <c r="D382">
        <v>221305</v>
      </c>
      <c r="E382">
        <v>1314878</v>
      </c>
      <c r="F382" t="s">
        <v>35</v>
      </c>
      <c r="G382" t="s">
        <v>18</v>
      </c>
    </row>
    <row r="383" spans="1:7" x14ac:dyDescent="0.2">
      <c r="A383" t="s">
        <v>809</v>
      </c>
      <c r="B383" t="s">
        <v>810</v>
      </c>
      <c r="C383">
        <v>2355</v>
      </c>
      <c r="D383">
        <v>55802</v>
      </c>
      <c r="E383">
        <v>366900</v>
      </c>
      <c r="F383" t="s">
        <v>35</v>
      </c>
      <c r="G383" t="s">
        <v>18</v>
      </c>
    </row>
    <row r="384" spans="1:7" x14ac:dyDescent="0.2">
      <c r="A384" t="s">
        <v>799</v>
      </c>
      <c r="B384" t="s">
        <v>800</v>
      </c>
      <c r="C384">
        <v>2054</v>
      </c>
      <c r="D384">
        <v>108787</v>
      </c>
      <c r="E384">
        <v>608155</v>
      </c>
      <c r="F384" t="s">
        <v>35</v>
      </c>
      <c r="G384" t="s">
        <v>18</v>
      </c>
    </row>
    <row r="385" spans="1:7" x14ac:dyDescent="0.2">
      <c r="A385" t="s">
        <v>811</v>
      </c>
      <c r="B385" t="s">
        <v>812</v>
      </c>
      <c r="C385">
        <v>1869</v>
      </c>
      <c r="D385">
        <v>288374</v>
      </c>
      <c r="E385">
        <v>1557358</v>
      </c>
      <c r="F385" t="s">
        <v>35</v>
      </c>
      <c r="G385" t="s">
        <v>18</v>
      </c>
    </row>
    <row r="386" spans="1:7" x14ac:dyDescent="0.2">
      <c r="A386" t="s">
        <v>805</v>
      </c>
      <c r="B386" t="s">
        <v>806</v>
      </c>
      <c r="C386">
        <v>1653</v>
      </c>
      <c r="D386">
        <v>55228</v>
      </c>
      <c r="E386">
        <v>305245</v>
      </c>
      <c r="F386" t="s">
        <v>35</v>
      </c>
      <c r="G386" t="s">
        <v>18</v>
      </c>
    </row>
    <row r="387" spans="1:7" x14ac:dyDescent="0.2">
      <c r="A387" t="s">
        <v>801</v>
      </c>
      <c r="B387" t="s">
        <v>802</v>
      </c>
      <c r="C387">
        <v>1623</v>
      </c>
      <c r="D387">
        <v>156819</v>
      </c>
      <c r="E387">
        <v>907399</v>
      </c>
      <c r="F387" t="s">
        <v>35</v>
      </c>
      <c r="G387" t="s">
        <v>18</v>
      </c>
    </row>
    <row r="388" spans="1:7" x14ac:dyDescent="0.2">
      <c r="A388" t="s">
        <v>807</v>
      </c>
      <c r="B388" t="s">
        <v>808</v>
      </c>
      <c r="C388">
        <v>1597</v>
      </c>
      <c r="D388">
        <v>336677</v>
      </c>
      <c r="E388">
        <v>1898349</v>
      </c>
      <c r="F388" t="s">
        <v>35</v>
      </c>
      <c r="G388" t="s">
        <v>18</v>
      </c>
    </row>
    <row r="389" spans="1:7" x14ac:dyDescent="0.2">
      <c r="A389" t="s">
        <v>785</v>
      </c>
      <c r="B389" t="s">
        <v>786</v>
      </c>
      <c r="C389">
        <v>1510</v>
      </c>
      <c r="D389">
        <v>74682</v>
      </c>
      <c r="E389">
        <v>436008</v>
      </c>
      <c r="F389" t="s">
        <v>35</v>
      </c>
      <c r="G389" t="s">
        <v>18</v>
      </c>
    </row>
    <row r="390" spans="1:7" x14ac:dyDescent="0.2">
      <c r="A390" t="s">
        <v>817</v>
      </c>
      <c r="B390" t="s">
        <v>818</v>
      </c>
      <c r="C390">
        <v>1007</v>
      </c>
      <c r="D390">
        <v>405217</v>
      </c>
      <c r="E390">
        <v>2207911</v>
      </c>
      <c r="F390" t="s">
        <v>35</v>
      </c>
      <c r="G390" t="s">
        <v>18</v>
      </c>
    </row>
    <row r="391" spans="1:7" x14ac:dyDescent="0.2">
      <c r="A391" t="s">
        <v>813</v>
      </c>
      <c r="B391" t="s">
        <v>814</v>
      </c>
      <c r="C391">
        <v>900</v>
      </c>
      <c r="D391">
        <v>54894</v>
      </c>
      <c r="E391">
        <v>317681</v>
      </c>
      <c r="F391" t="s">
        <v>35</v>
      </c>
      <c r="G391" t="s">
        <v>18</v>
      </c>
    </row>
    <row r="392" spans="1:7" x14ac:dyDescent="0.2">
      <c r="A392" t="s">
        <v>825</v>
      </c>
      <c r="B392" t="s">
        <v>826</v>
      </c>
      <c r="C392">
        <v>742</v>
      </c>
      <c r="D392">
        <v>59072</v>
      </c>
      <c r="E392">
        <v>351259</v>
      </c>
      <c r="F392" t="s">
        <v>35</v>
      </c>
      <c r="G392" t="s">
        <v>18</v>
      </c>
    </row>
    <row r="393" spans="1:7" x14ac:dyDescent="0.2">
      <c r="A393" t="s">
        <v>901</v>
      </c>
      <c r="B393" t="s">
        <v>902</v>
      </c>
      <c r="C393">
        <v>668</v>
      </c>
      <c r="D393">
        <v>107479</v>
      </c>
      <c r="E393">
        <v>565363</v>
      </c>
      <c r="F393" t="s">
        <v>35</v>
      </c>
      <c r="G393" t="s">
        <v>18</v>
      </c>
    </row>
    <row r="394" spans="1:7" x14ac:dyDescent="0.2">
      <c r="A394" t="s">
        <v>973</v>
      </c>
      <c r="B394" t="s">
        <v>974</v>
      </c>
      <c r="C394">
        <v>539</v>
      </c>
      <c r="D394">
        <v>77446</v>
      </c>
      <c r="E394">
        <v>443481</v>
      </c>
      <c r="F394" t="s">
        <v>35</v>
      </c>
      <c r="G394" t="s">
        <v>18</v>
      </c>
    </row>
    <row r="395" spans="1:7" x14ac:dyDescent="0.2">
      <c r="A395" t="s">
        <v>829</v>
      </c>
      <c r="B395" t="s">
        <v>830</v>
      </c>
      <c r="C395">
        <v>456</v>
      </c>
      <c r="D395">
        <v>68280</v>
      </c>
      <c r="E395">
        <v>384959</v>
      </c>
      <c r="F395" t="s">
        <v>35</v>
      </c>
      <c r="G395" t="s">
        <v>18</v>
      </c>
    </row>
    <row r="396" spans="1:7" x14ac:dyDescent="0.2">
      <c r="A396" t="s">
        <v>823</v>
      </c>
      <c r="B396" t="s">
        <v>824</v>
      </c>
      <c r="C396">
        <v>428</v>
      </c>
      <c r="D396">
        <v>88437</v>
      </c>
      <c r="E396">
        <v>489532</v>
      </c>
      <c r="F396" t="s">
        <v>35</v>
      </c>
      <c r="G396" t="s">
        <v>18</v>
      </c>
    </row>
    <row r="397" spans="1:7" x14ac:dyDescent="0.2">
      <c r="A397" t="s">
        <v>771</v>
      </c>
      <c r="B397" t="s">
        <v>772</v>
      </c>
      <c r="C397">
        <v>337</v>
      </c>
      <c r="D397">
        <v>106280</v>
      </c>
      <c r="E397">
        <v>585684</v>
      </c>
      <c r="F397" t="s">
        <v>35</v>
      </c>
      <c r="G397" t="s">
        <v>18</v>
      </c>
    </row>
    <row r="398" spans="1:7" x14ac:dyDescent="0.2">
      <c r="A398" t="s">
        <v>831</v>
      </c>
      <c r="B398" t="s">
        <v>832</v>
      </c>
      <c r="C398">
        <v>215</v>
      </c>
      <c r="D398">
        <v>317465</v>
      </c>
      <c r="E398">
        <v>1729124</v>
      </c>
      <c r="F398" t="s">
        <v>35</v>
      </c>
      <c r="G398" t="s">
        <v>18</v>
      </c>
    </row>
    <row r="399" spans="1:7" x14ac:dyDescent="0.2">
      <c r="A399" t="s">
        <v>835</v>
      </c>
      <c r="B399" t="s">
        <v>836</v>
      </c>
      <c r="C399">
        <v>210</v>
      </c>
      <c r="D399">
        <v>69484</v>
      </c>
      <c r="E399">
        <v>365281</v>
      </c>
      <c r="F399" t="s">
        <v>35</v>
      </c>
      <c r="G399" t="s">
        <v>18</v>
      </c>
    </row>
    <row r="400" spans="1:7" x14ac:dyDescent="0.2">
      <c r="G400" t="s">
        <v>18</v>
      </c>
    </row>
    <row r="401" spans="7:7" x14ac:dyDescent="0.2">
      <c r="G401" t="s">
        <v>18</v>
      </c>
    </row>
    <row r="402" spans="7:7" x14ac:dyDescent="0.2">
      <c r="G402" t="s">
        <v>18</v>
      </c>
    </row>
    <row r="403" spans="7:7" x14ac:dyDescent="0.2">
      <c r="G403" t="s">
        <v>18</v>
      </c>
    </row>
    <row r="404" spans="7:7" x14ac:dyDescent="0.2">
      <c r="G404" t="s">
        <v>18</v>
      </c>
    </row>
    <row r="405" spans="7:7" x14ac:dyDescent="0.2">
      <c r="G405" t="s">
        <v>18</v>
      </c>
    </row>
    <row r="406" spans="7:7" x14ac:dyDescent="0.2">
      <c r="G406" t="s">
        <v>18</v>
      </c>
    </row>
    <row r="407" spans="7:7" x14ac:dyDescent="0.2">
      <c r="G407" t="s">
        <v>18</v>
      </c>
    </row>
    <row r="408" spans="7:7" x14ac:dyDescent="0.2">
      <c r="G408" t="s">
        <v>18</v>
      </c>
    </row>
    <row r="409" spans="7:7" x14ac:dyDescent="0.2">
      <c r="G409" t="s">
        <v>18</v>
      </c>
    </row>
    <row r="410" spans="7:7" x14ac:dyDescent="0.2">
      <c r="G410" t="s">
        <v>18</v>
      </c>
    </row>
    <row r="411" spans="7:7" x14ac:dyDescent="0.2">
      <c r="G411" t="s">
        <v>18</v>
      </c>
    </row>
    <row r="412" spans="7:7" x14ac:dyDescent="0.2">
      <c r="G412" t="s">
        <v>18</v>
      </c>
    </row>
    <row r="413" spans="7:7" x14ac:dyDescent="0.2">
      <c r="G413" t="s">
        <v>18</v>
      </c>
    </row>
    <row r="414" spans="7:7" x14ac:dyDescent="0.2">
      <c r="G414" t="s">
        <v>18</v>
      </c>
    </row>
    <row r="415" spans="7:7" x14ac:dyDescent="0.2">
      <c r="G415"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2D35-9037-7A42-A08E-4256D0B2935C}">
  <dimension ref="A1:G415"/>
  <sheetViews>
    <sheetView workbookViewId="0"/>
  </sheetViews>
  <sheetFormatPr baseColWidth="10" defaultRowHeight="16" x14ac:dyDescent="0.2"/>
  <cols>
    <col min="1" max="1" width="63.83203125" bestFit="1" customWidth="1"/>
    <col min="2" max="2" width="67.33203125" bestFit="1" customWidth="1"/>
    <col min="3" max="4" width="31.83203125" bestFit="1" customWidth="1"/>
    <col min="5" max="5" width="25.5" bestFit="1" customWidth="1"/>
    <col min="6" max="6" width="80.6640625" bestFit="1" customWidth="1"/>
    <col min="7" max="7" width="7.83203125" bestFit="1" customWidth="1"/>
  </cols>
  <sheetData>
    <row r="1" spans="1:7" x14ac:dyDescent="0.2">
      <c r="A1" t="s">
        <v>26</v>
      </c>
      <c r="B1" t="s">
        <v>27</v>
      </c>
      <c r="C1" t="s">
        <v>28</v>
      </c>
      <c r="D1" t="s">
        <v>29</v>
      </c>
      <c r="E1" t="s">
        <v>30</v>
      </c>
      <c r="F1" t="s">
        <v>31</v>
      </c>
      <c r="G1" t="s">
        <v>32</v>
      </c>
    </row>
    <row r="2" spans="1:7" x14ac:dyDescent="0.2">
      <c r="A2" t="s">
        <v>33</v>
      </c>
      <c r="B2" t="s">
        <v>34</v>
      </c>
      <c r="C2">
        <v>32911665</v>
      </c>
      <c r="D2">
        <v>264424</v>
      </c>
      <c r="E2">
        <v>254251076</v>
      </c>
      <c r="F2" t="s">
        <v>35</v>
      </c>
      <c r="G2" t="s">
        <v>15</v>
      </c>
    </row>
    <row r="3" spans="1:7" x14ac:dyDescent="0.2">
      <c r="A3" t="s">
        <v>36</v>
      </c>
      <c r="B3" t="s">
        <v>37</v>
      </c>
      <c r="C3">
        <v>17865749</v>
      </c>
      <c r="D3">
        <v>52790</v>
      </c>
      <c r="E3">
        <v>129391568</v>
      </c>
      <c r="F3" t="s">
        <v>35</v>
      </c>
      <c r="G3" t="s">
        <v>15</v>
      </c>
    </row>
    <row r="4" spans="1:7" x14ac:dyDescent="0.2">
      <c r="A4" t="s">
        <v>38</v>
      </c>
      <c r="B4" t="s">
        <v>39</v>
      </c>
      <c r="C4">
        <v>16473489</v>
      </c>
      <c r="D4">
        <v>198921</v>
      </c>
      <c r="E4">
        <v>132020290</v>
      </c>
      <c r="F4" t="s">
        <v>35</v>
      </c>
      <c r="G4" t="s">
        <v>15</v>
      </c>
    </row>
    <row r="5" spans="1:7" x14ac:dyDescent="0.2">
      <c r="A5" t="s">
        <v>40</v>
      </c>
      <c r="B5" t="s">
        <v>41</v>
      </c>
      <c r="C5">
        <v>15563946</v>
      </c>
      <c r="D5">
        <v>2200940</v>
      </c>
      <c r="E5">
        <v>136297764</v>
      </c>
      <c r="F5" t="s">
        <v>35</v>
      </c>
      <c r="G5" t="s">
        <v>15</v>
      </c>
    </row>
    <row r="6" spans="1:7" x14ac:dyDescent="0.2">
      <c r="A6" t="s">
        <v>42</v>
      </c>
      <c r="B6" t="s">
        <v>43</v>
      </c>
      <c r="C6">
        <v>12928601</v>
      </c>
      <c r="D6">
        <v>1863</v>
      </c>
      <c r="E6">
        <v>141585993</v>
      </c>
      <c r="F6" t="s">
        <v>35</v>
      </c>
      <c r="G6" t="s">
        <v>15</v>
      </c>
    </row>
    <row r="7" spans="1:7" x14ac:dyDescent="0.2">
      <c r="A7" t="s">
        <v>44</v>
      </c>
      <c r="B7" t="s">
        <v>45</v>
      </c>
      <c r="C7">
        <v>10333400</v>
      </c>
      <c r="D7">
        <v>7149</v>
      </c>
      <c r="E7">
        <v>83784882</v>
      </c>
      <c r="F7" t="s">
        <v>35</v>
      </c>
      <c r="G7" t="s">
        <v>15</v>
      </c>
    </row>
    <row r="8" spans="1:7" x14ac:dyDescent="0.2">
      <c r="A8" t="s">
        <v>48</v>
      </c>
      <c r="B8" t="s">
        <v>49</v>
      </c>
      <c r="C8">
        <v>9200731</v>
      </c>
      <c r="D8">
        <v>38117</v>
      </c>
      <c r="E8">
        <v>66369053</v>
      </c>
      <c r="F8" t="s">
        <v>839</v>
      </c>
      <c r="G8" t="s">
        <v>15</v>
      </c>
    </row>
    <row r="9" spans="1:7" x14ac:dyDescent="0.2">
      <c r="A9" t="s">
        <v>46</v>
      </c>
      <c r="B9" t="s">
        <v>47</v>
      </c>
      <c r="C9">
        <v>8421985</v>
      </c>
      <c r="D9">
        <v>5330</v>
      </c>
      <c r="E9">
        <v>132572647</v>
      </c>
      <c r="F9" t="s">
        <v>35</v>
      </c>
      <c r="G9" t="s">
        <v>15</v>
      </c>
    </row>
    <row r="10" spans="1:7" x14ac:dyDescent="0.2">
      <c r="A10" t="s">
        <v>51</v>
      </c>
      <c r="B10" t="s">
        <v>52</v>
      </c>
      <c r="C10">
        <v>7564804</v>
      </c>
      <c r="D10">
        <v>7075886</v>
      </c>
      <c r="E10">
        <v>148703367</v>
      </c>
      <c r="F10" t="s">
        <v>35</v>
      </c>
      <c r="G10" t="s">
        <v>15</v>
      </c>
    </row>
    <row r="11" spans="1:7" x14ac:dyDescent="0.2">
      <c r="A11" t="s">
        <v>53</v>
      </c>
      <c r="B11" t="s">
        <v>54</v>
      </c>
      <c r="C11">
        <v>7056948</v>
      </c>
      <c r="D11">
        <v>74809</v>
      </c>
      <c r="E11">
        <v>48154210</v>
      </c>
      <c r="F11" t="s">
        <v>35</v>
      </c>
      <c r="G11" t="s">
        <v>15</v>
      </c>
    </row>
    <row r="12" spans="1:7" x14ac:dyDescent="0.2">
      <c r="A12" t="s">
        <v>67</v>
      </c>
      <c r="B12" t="s">
        <v>68</v>
      </c>
      <c r="C12">
        <v>6698961</v>
      </c>
      <c r="D12">
        <v>619</v>
      </c>
      <c r="E12">
        <v>70839801</v>
      </c>
      <c r="F12" t="s">
        <v>35</v>
      </c>
      <c r="G12" t="s">
        <v>15</v>
      </c>
    </row>
    <row r="13" spans="1:7" x14ac:dyDescent="0.2">
      <c r="A13" t="s">
        <v>59</v>
      </c>
      <c r="B13" t="s">
        <v>60</v>
      </c>
      <c r="C13">
        <v>6492467</v>
      </c>
      <c r="D13">
        <v>46061</v>
      </c>
      <c r="E13">
        <v>49134660</v>
      </c>
      <c r="F13" t="s">
        <v>35</v>
      </c>
      <c r="G13" t="s">
        <v>15</v>
      </c>
    </row>
    <row r="14" spans="1:7" x14ac:dyDescent="0.2">
      <c r="A14" t="s">
        <v>69</v>
      </c>
      <c r="B14" t="s">
        <v>70</v>
      </c>
      <c r="C14">
        <v>6315820</v>
      </c>
      <c r="D14">
        <v>1365518</v>
      </c>
      <c r="E14">
        <v>57435913</v>
      </c>
      <c r="F14" t="s">
        <v>35</v>
      </c>
      <c r="G14" t="s">
        <v>15</v>
      </c>
    </row>
    <row r="15" spans="1:7" x14ac:dyDescent="0.2">
      <c r="A15" t="s">
        <v>61</v>
      </c>
      <c r="B15" t="s">
        <v>62</v>
      </c>
      <c r="C15">
        <v>6131585</v>
      </c>
      <c r="D15">
        <v>806487</v>
      </c>
      <c r="E15">
        <v>72068451</v>
      </c>
      <c r="F15" t="s">
        <v>35</v>
      </c>
      <c r="G15" t="s">
        <v>15</v>
      </c>
    </row>
    <row r="16" spans="1:7" x14ac:dyDescent="0.2">
      <c r="A16" t="s">
        <v>55</v>
      </c>
      <c r="B16" t="s">
        <v>56</v>
      </c>
      <c r="C16">
        <v>5697621</v>
      </c>
      <c r="D16">
        <v>308477</v>
      </c>
      <c r="E16">
        <v>52786134</v>
      </c>
      <c r="F16" t="s">
        <v>35</v>
      </c>
      <c r="G16" t="s">
        <v>15</v>
      </c>
    </row>
    <row r="17" spans="1:7" x14ac:dyDescent="0.2">
      <c r="A17" t="s">
        <v>63</v>
      </c>
      <c r="B17" t="s">
        <v>64</v>
      </c>
      <c r="C17">
        <v>5613762</v>
      </c>
      <c r="D17">
        <v>15890</v>
      </c>
      <c r="E17">
        <v>43032572</v>
      </c>
      <c r="F17" t="s">
        <v>839</v>
      </c>
      <c r="G17" t="s">
        <v>15</v>
      </c>
    </row>
    <row r="18" spans="1:7" x14ac:dyDescent="0.2">
      <c r="A18" t="s">
        <v>65</v>
      </c>
      <c r="B18" t="s">
        <v>66</v>
      </c>
      <c r="C18">
        <v>5607995</v>
      </c>
      <c r="D18">
        <v>3203337</v>
      </c>
      <c r="E18">
        <v>113462523</v>
      </c>
      <c r="F18" t="s">
        <v>35</v>
      </c>
      <c r="G18" t="s">
        <v>15</v>
      </c>
    </row>
    <row r="19" spans="1:7" x14ac:dyDescent="0.2">
      <c r="A19" t="s">
        <v>71</v>
      </c>
      <c r="B19" t="s">
        <v>72</v>
      </c>
      <c r="C19">
        <v>5362016</v>
      </c>
      <c r="D19">
        <v>10078</v>
      </c>
      <c r="E19">
        <v>47612838</v>
      </c>
      <c r="F19" t="s">
        <v>35</v>
      </c>
      <c r="G19" t="s">
        <v>15</v>
      </c>
    </row>
    <row r="20" spans="1:7" x14ac:dyDescent="0.2">
      <c r="A20" t="s">
        <v>75</v>
      </c>
      <c r="B20" t="s">
        <v>76</v>
      </c>
      <c r="C20">
        <v>4528002</v>
      </c>
      <c r="D20">
        <v>59740</v>
      </c>
      <c r="E20">
        <v>67075807</v>
      </c>
      <c r="F20" t="s">
        <v>35</v>
      </c>
      <c r="G20" t="s">
        <v>15</v>
      </c>
    </row>
    <row r="21" spans="1:7" x14ac:dyDescent="0.2">
      <c r="A21" t="s">
        <v>57</v>
      </c>
      <c r="B21" t="s">
        <v>58</v>
      </c>
      <c r="C21">
        <v>4233840</v>
      </c>
      <c r="D21">
        <v>733963</v>
      </c>
      <c r="E21">
        <v>44335175</v>
      </c>
      <c r="F21" t="s">
        <v>35</v>
      </c>
      <c r="G21" t="s">
        <v>15</v>
      </c>
    </row>
    <row r="22" spans="1:7" x14ac:dyDescent="0.2">
      <c r="A22" t="s">
        <v>73</v>
      </c>
      <c r="B22" t="s">
        <v>74</v>
      </c>
      <c r="C22">
        <v>4174693</v>
      </c>
      <c r="D22">
        <v>632607</v>
      </c>
      <c r="E22">
        <v>18168931</v>
      </c>
      <c r="F22" t="s">
        <v>35</v>
      </c>
      <c r="G22" t="s">
        <v>15</v>
      </c>
    </row>
    <row r="23" spans="1:7" x14ac:dyDescent="0.2">
      <c r="A23" t="s">
        <v>77</v>
      </c>
      <c r="B23" t="s">
        <v>78</v>
      </c>
      <c r="C23">
        <v>3698759</v>
      </c>
      <c r="D23">
        <v>1314290</v>
      </c>
      <c r="E23">
        <v>67483659</v>
      </c>
      <c r="F23" t="s">
        <v>35</v>
      </c>
      <c r="G23" t="s">
        <v>15</v>
      </c>
    </row>
    <row r="24" spans="1:7" x14ac:dyDescent="0.2">
      <c r="A24" t="s">
        <v>83</v>
      </c>
      <c r="B24" t="s">
        <v>84</v>
      </c>
      <c r="C24">
        <v>3094142</v>
      </c>
      <c r="D24">
        <v>555600</v>
      </c>
      <c r="E24">
        <v>40715757</v>
      </c>
      <c r="F24" t="s">
        <v>35</v>
      </c>
      <c r="G24" t="s">
        <v>15</v>
      </c>
    </row>
    <row r="25" spans="1:7" x14ac:dyDescent="0.2">
      <c r="A25" t="s">
        <v>79</v>
      </c>
      <c r="B25" t="s">
        <v>80</v>
      </c>
      <c r="C25">
        <v>3084445</v>
      </c>
      <c r="D25">
        <v>821714</v>
      </c>
      <c r="E25">
        <v>32817505</v>
      </c>
      <c r="F25" t="s">
        <v>35</v>
      </c>
      <c r="G25" t="s">
        <v>15</v>
      </c>
    </row>
    <row r="26" spans="1:7" x14ac:dyDescent="0.2">
      <c r="A26" t="s">
        <v>89</v>
      </c>
      <c r="B26" t="s">
        <v>90</v>
      </c>
      <c r="C26">
        <v>2625260</v>
      </c>
      <c r="D26">
        <v>346491</v>
      </c>
      <c r="E26">
        <v>19460179</v>
      </c>
      <c r="F26" t="s">
        <v>35</v>
      </c>
      <c r="G26" t="s">
        <v>15</v>
      </c>
    </row>
    <row r="27" spans="1:7" x14ac:dyDescent="0.2">
      <c r="A27" t="s">
        <v>85</v>
      </c>
      <c r="B27" t="s">
        <v>86</v>
      </c>
      <c r="C27">
        <v>2571989</v>
      </c>
      <c r="D27">
        <v>184380</v>
      </c>
      <c r="E27">
        <v>13151601</v>
      </c>
      <c r="F27" t="s">
        <v>35</v>
      </c>
      <c r="G27" t="s">
        <v>15</v>
      </c>
    </row>
    <row r="28" spans="1:7" x14ac:dyDescent="0.2">
      <c r="A28" t="s">
        <v>81</v>
      </c>
      <c r="B28" t="s">
        <v>82</v>
      </c>
      <c r="C28">
        <v>2425797</v>
      </c>
      <c r="D28">
        <v>164165</v>
      </c>
      <c r="E28">
        <v>18436308</v>
      </c>
      <c r="F28" t="s">
        <v>35</v>
      </c>
      <c r="G28" t="s">
        <v>15</v>
      </c>
    </row>
    <row r="29" spans="1:7" x14ac:dyDescent="0.2">
      <c r="A29" t="s">
        <v>91</v>
      </c>
      <c r="B29" t="s">
        <v>92</v>
      </c>
      <c r="C29">
        <v>2120644</v>
      </c>
      <c r="D29">
        <v>368</v>
      </c>
      <c r="E29">
        <v>39646117</v>
      </c>
      <c r="F29" t="s">
        <v>35</v>
      </c>
      <c r="G29" t="s">
        <v>15</v>
      </c>
    </row>
    <row r="30" spans="1:7" x14ac:dyDescent="0.2">
      <c r="A30" t="s">
        <v>93</v>
      </c>
      <c r="B30" t="s">
        <v>94</v>
      </c>
      <c r="C30">
        <v>2103081</v>
      </c>
      <c r="D30">
        <v>7702</v>
      </c>
      <c r="E30">
        <v>29998384</v>
      </c>
      <c r="F30" t="s">
        <v>35</v>
      </c>
      <c r="G30" t="s">
        <v>15</v>
      </c>
    </row>
    <row r="31" spans="1:7" x14ac:dyDescent="0.2">
      <c r="A31" t="s">
        <v>87</v>
      </c>
      <c r="B31" t="s">
        <v>88</v>
      </c>
      <c r="C31">
        <v>2030133</v>
      </c>
      <c r="D31">
        <v>6280</v>
      </c>
      <c r="E31">
        <v>24563543</v>
      </c>
      <c r="F31" t="s">
        <v>35</v>
      </c>
      <c r="G31" t="s">
        <v>15</v>
      </c>
    </row>
    <row r="32" spans="1:7" x14ac:dyDescent="0.2">
      <c r="A32" t="s">
        <v>840</v>
      </c>
      <c r="B32" t="s">
        <v>96</v>
      </c>
      <c r="C32">
        <v>2002222</v>
      </c>
      <c r="D32">
        <v>513963</v>
      </c>
      <c r="E32">
        <v>33272914</v>
      </c>
      <c r="F32" t="s">
        <v>35</v>
      </c>
      <c r="G32" t="s">
        <v>15</v>
      </c>
    </row>
    <row r="33" spans="1:7" x14ac:dyDescent="0.2">
      <c r="A33" t="s">
        <v>103</v>
      </c>
      <c r="B33" t="s">
        <v>104</v>
      </c>
      <c r="C33">
        <v>1936241</v>
      </c>
      <c r="D33">
        <v>0</v>
      </c>
      <c r="E33">
        <v>35997306</v>
      </c>
      <c r="F33" t="s">
        <v>35</v>
      </c>
      <c r="G33" t="s">
        <v>15</v>
      </c>
    </row>
    <row r="34" spans="1:7" x14ac:dyDescent="0.2">
      <c r="A34" t="s">
        <v>113</v>
      </c>
      <c r="B34" t="s">
        <v>114</v>
      </c>
      <c r="C34">
        <v>1905318</v>
      </c>
      <c r="D34">
        <v>141845</v>
      </c>
      <c r="E34">
        <v>24781469</v>
      </c>
      <c r="F34" t="s">
        <v>35</v>
      </c>
      <c r="G34" t="s">
        <v>15</v>
      </c>
    </row>
    <row r="35" spans="1:7" x14ac:dyDescent="0.2">
      <c r="A35" t="s">
        <v>841</v>
      </c>
      <c r="B35" t="s">
        <v>98</v>
      </c>
      <c r="C35">
        <v>1756827</v>
      </c>
      <c r="D35">
        <v>131022</v>
      </c>
      <c r="E35">
        <v>12356180</v>
      </c>
      <c r="F35" t="s">
        <v>35</v>
      </c>
      <c r="G35" t="s">
        <v>15</v>
      </c>
    </row>
    <row r="36" spans="1:7" x14ac:dyDescent="0.2">
      <c r="A36" t="s">
        <v>101</v>
      </c>
      <c r="B36" t="s">
        <v>102</v>
      </c>
      <c r="C36">
        <v>1735165</v>
      </c>
      <c r="D36">
        <v>165265</v>
      </c>
      <c r="E36">
        <v>8437782</v>
      </c>
      <c r="F36" t="s">
        <v>35</v>
      </c>
      <c r="G36" t="s">
        <v>15</v>
      </c>
    </row>
    <row r="37" spans="1:7" x14ac:dyDescent="0.2">
      <c r="A37" t="s">
        <v>842</v>
      </c>
      <c r="B37" t="s">
        <v>843</v>
      </c>
      <c r="C37">
        <v>1645894</v>
      </c>
      <c r="D37">
        <v>340</v>
      </c>
      <c r="E37">
        <v>28366523</v>
      </c>
      <c r="F37" t="s">
        <v>35</v>
      </c>
      <c r="G37" t="s">
        <v>15</v>
      </c>
    </row>
    <row r="38" spans="1:7" x14ac:dyDescent="0.2">
      <c r="A38" t="s">
        <v>105</v>
      </c>
      <c r="B38" t="s">
        <v>106</v>
      </c>
      <c r="C38">
        <v>1520899</v>
      </c>
      <c r="D38">
        <v>257729</v>
      </c>
      <c r="E38">
        <v>20195397</v>
      </c>
      <c r="F38" t="s">
        <v>35</v>
      </c>
      <c r="G38" t="s">
        <v>15</v>
      </c>
    </row>
    <row r="39" spans="1:7" x14ac:dyDescent="0.2">
      <c r="A39" t="s">
        <v>99</v>
      </c>
      <c r="B39" t="s">
        <v>100</v>
      </c>
      <c r="C39">
        <v>1506654</v>
      </c>
      <c r="D39">
        <v>27373</v>
      </c>
      <c r="E39">
        <v>19416276</v>
      </c>
      <c r="F39" t="s">
        <v>35</v>
      </c>
      <c r="G39" t="s">
        <v>15</v>
      </c>
    </row>
    <row r="40" spans="1:7" x14ac:dyDescent="0.2">
      <c r="A40" t="s">
        <v>107</v>
      </c>
      <c r="B40" t="s">
        <v>108</v>
      </c>
      <c r="C40">
        <v>1367287</v>
      </c>
      <c r="D40">
        <v>14367</v>
      </c>
      <c r="E40">
        <v>26766075</v>
      </c>
      <c r="F40" t="s">
        <v>35</v>
      </c>
      <c r="G40" t="s">
        <v>15</v>
      </c>
    </row>
    <row r="41" spans="1:7" x14ac:dyDescent="0.2">
      <c r="A41" t="s">
        <v>159</v>
      </c>
      <c r="B41" t="s">
        <v>160</v>
      </c>
      <c r="C41">
        <v>1352311</v>
      </c>
      <c r="D41">
        <v>900</v>
      </c>
      <c r="E41">
        <v>9117339</v>
      </c>
      <c r="F41" t="s">
        <v>35</v>
      </c>
      <c r="G41" t="s">
        <v>15</v>
      </c>
    </row>
    <row r="42" spans="1:7" x14ac:dyDescent="0.2">
      <c r="A42" t="s">
        <v>844</v>
      </c>
      <c r="B42" t="s">
        <v>120</v>
      </c>
      <c r="C42">
        <v>1281444</v>
      </c>
      <c r="D42">
        <v>258079</v>
      </c>
      <c r="E42">
        <v>10171480</v>
      </c>
      <c r="F42" t="s">
        <v>35</v>
      </c>
      <c r="G42" t="s">
        <v>15</v>
      </c>
    </row>
    <row r="43" spans="1:7" x14ac:dyDescent="0.2">
      <c r="A43" t="s">
        <v>135</v>
      </c>
      <c r="B43" t="s">
        <v>136</v>
      </c>
      <c r="C43">
        <v>1238252</v>
      </c>
      <c r="D43">
        <v>1835</v>
      </c>
      <c r="E43">
        <v>8413923</v>
      </c>
      <c r="F43" t="s">
        <v>35</v>
      </c>
      <c r="G43" t="s">
        <v>15</v>
      </c>
    </row>
    <row r="44" spans="1:7" x14ac:dyDescent="0.2">
      <c r="A44" t="s">
        <v>125</v>
      </c>
      <c r="B44" t="s">
        <v>126</v>
      </c>
      <c r="C44">
        <v>1228004</v>
      </c>
      <c r="D44">
        <v>137673</v>
      </c>
      <c r="E44">
        <v>8788744</v>
      </c>
      <c r="F44" t="s">
        <v>35</v>
      </c>
      <c r="G44" t="s">
        <v>15</v>
      </c>
    </row>
    <row r="45" spans="1:7" x14ac:dyDescent="0.2">
      <c r="A45" t="s">
        <v>109</v>
      </c>
      <c r="B45" t="s">
        <v>110</v>
      </c>
      <c r="C45">
        <v>1223730</v>
      </c>
      <c r="D45">
        <v>160284</v>
      </c>
      <c r="E45">
        <v>6337899</v>
      </c>
      <c r="F45" t="s">
        <v>35</v>
      </c>
      <c r="G45" t="s">
        <v>15</v>
      </c>
    </row>
    <row r="46" spans="1:7" x14ac:dyDescent="0.2">
      <c r="A46" t="s">
        <v>123</v>
      </c>
      <c r="B46" t="s">
        <v>124</v>
      </c>
      <c r="C46">
        <v>1159663</v>
      </c>
      <c r="D46">
        <v>5649626</v>
      </c>
      <c r="E46">
        <v>40365255</v>
      </c>
      <c r="F46" t="s">
        <v>35</v>
      </c>
      <c r="G46" t="s">
        <v>15</v>
      </c>
    </row>
    <row r="47" spans="1:7" x14ac:dyDescent="0.2">
      <c r="A47" t="s">
        <v>121</v>
      </c>
      <c r="B47" t="s">
        <v>122</v>
      </c>
      <c r="C47">
        <v>1111621</v>
      </c>
      <c r="D47">
        <v>146</v>
      </c>
      <c r="E47">
        <v>20476950</v>
      </c>
      <c r="F47" t="s">
        <v>35</v>
      </c>
      <c r="G47" t="s">
        <v>15</v>
      </c>
    </row>
    <row r="48" spans="1:7" x14ac:dyDescent="0.2">
      <c r="A48" t="s">
        <v>133</v>
      </c>
      <c r="B48" t="s">
        <v>134</v>
      </c>
      <c r="C48">
        <v>1073592</v>
      </c>
      <c r="D48">
        <v>323815</v>
      </c>
      <c r="E48">
        <v>13634362</v>
      </c>
      <c r="F48" t="s">
        <v>35</v>
      </c>
      <c r="G48" t="s">
        <v>15</v>
      </c>
    </row>
    <row r="49" spans="1:7" x14ac:dyDescent="0.2">
      <c r="A49" t="s">
        <v>129</v>
      </c>
      <c r="B49" t="s">
        <v>130</v>
      </c>
      <c r="C49">
        <v>1069528</v>
      </c>
      <c r="D49">
        <v>51970</v>
      </c>
      <c r="E49">
        <v>6168172</v>
      </c>
      <c r="F49" t="s">
        <v>35</v>
      </c>
      <c r="G49" t="s">
        <v>15</v>
      </c>
    </row>
    <row r="50" spans="1:7" x14ac:dyDescent="0.2">
      <c r="A50" t="s">
        <v>115</v>
      </c>
      <c r="B50" t="s">
        <v>116</v>
      </c>
      <c r="C50">
        <v>998465</v>
      </c>
      <c r="D50">
        <v>206034</v>
      </c>
      <c r="E50">
        <v>1703146</v>
      </c>
      <c r="F50" t="s">
        <v>35</v>
      </c>
      <c r="G50" t="s">
        <v>15</v>
      </c>
    </row>
    <row r="51" spans="1:7" x14ac:dyDescent="0.2">
      <c r="A51" t="s">
        <v>149</v>
      </c>
      <c r="B51" t="s">
        <v>150</v>
      </c>
      <c r="C51">
        <v>997048</v>
      </c>
      <c r="D51">
        <v>111075</v>
      </c>
      <c r="E51">
        <v>8211368</v>
      </c>
      <c r="F51" t="s">
        <v>35</v>
      </c>
      <c r="G51" t="s">
        <v>15</v>
      </c>
    </row>
    <row r="52" spans="1:7" x14ac:dyDescent="0.2">
      <c r="A52" t="s">
        <v>845</v>
      </c>
      <c r="B52" t="s">
        <v>846</v>
      </c>
      <c r="C52">
        <v>981703</v>
      </c>
      <c r="D52">
        <v>192838</v>
      </c>
      <c r="E52">
        <v>5374471</v>
      </c>
      <c r="F52" t="s">
        <v>35</v>
      </c>
      <c r="G52" t="s">
        <v>15</v>
      </c>
    </row>
    <row r="53" spans="1:7" x14ac:dyDescent="0.2">
      <c r="A53" t="s">
        <v>111</v>
      </c>
      <c r="B53" t="s">
        <v>112</v>
      </c>
      <c r="C53">
        <v>938397</v>
      </c>
      <c r="D53">
        <v>141207</v>
      </c>
      <c r="E53">
        <v>15783816</v>
      </c>
      <c r="F53" t="s">
        <v>35</v>
      </c>
      <c r="G53" t="s">
        <v>15</v>
      </c>
    </row>
    <row r="54" spans="1:7" x14ac:dyDescent="0.2">
      <c r="A54" t="s">
        <v>137</v>
      </c>
      <c r="B54" t="s">
        <v>138</v>
      </c>
      <c r="C54">
        <v>929217</v>
      </c>
      <c r="D54">
        <v>2322456</v>
      </c>
      <c r="E54">
        <v>25492265</v>
      </c>
      <c r="F54" t="s">
        <v>35</v>
      </c>
      <c r="G54" t="s">
        <v>15</v>
      </c>
    </row>
    <row r="55" spans="1:7" x14ac:dyDescent="0.2">
      <c r="A55" t="s">
        <v>157</v>
      </c>
      <c r="B55" t="s">
        <v>158</v>
      </c>
      <c r="C55">
        <v>914814</v>
      </c>
      <c r="D55">
        <v>82226</v>
      </c>
      <c r="E55">
        <v>5779020</v>
      </c>
      <c r="F55" t="s">
        <v>35</v>
      </c>
      <c r="G55" t="s">
        <v>15</v>
      </c>
    </row>
    <row r="56" spans="1:7" x14ac:dyDescent="0.2">
      <c r="A56" t="s">
        <v>139</v>
      </c>
      <c r="B56" t="s">
        <v>140</v>
      </c>
      <c r="C56">
        <v>910160</v>
      </c>
      <c r="D56">
        <v>121</v>
      </c>
      <c r="E56">
        <v>12693132</v>
      </c>
      <c r="F56" t="s">
        <v>35</v>
      </c>
      <c r="G56" t="s">
        <v>15</v>
      </c>
    </row>
    <row r="57" spans="1:7" x14ac:dyDescent="0.2">
      <c r="A57" t="s">
        <v>127</v>
      </c>
      <c r="B57" t="s">
        <v>128</v>
      </c>
      <c r="C57">
        <v>909444</v>
      </c>
      <c r="D57">
        <v>169352</v>
      </c>
      <c r="E57">
        <v>6829882</v>
      </c>
      <c r="F57" t="s">
        <v>35</v>
      </c>
      <c r="G57" t="s">
        <v>15</v>
      </c>
    </row>
    <row r="58" spans="1:7" x14ac:dyDescent="0.2">
      <c r="A58" t="s">
        <v>141</v>
      </c>
      <c r="B58" t="s">
        <v>142</v>
      </c>
      <c r="C58">
        <v>902110</v>
      </c>
      <c r="D58">
        <v>45</v>
      </c>
      <c r="E58">
        <v>11662559</v>
      </c>
      <c r="F58" t="s">
        <v>35</v>
      </c>
      <c r="G58" t="s">
        <v>15</v>
      </c>
    </row>
    <row r="59" spans="1:7" x14ac:dyDescent="0.2">
      <c r="A59" t="s">
        <v>117</v>
      </c>
      <c r="B59" t="s">
        <v>118</v>
      </c>
      <c r="C59">
        <v>900402</v>
      </c>
      <c r="D59">
        <v>50998</v>
      </c>
      <c r="E59">
        <v>16724582</v>
      </c>
      <c r="F59" t="s">
        <v>35</v>
      </c>
      <c r="G59" t="s">
        <v>15</v>
      </c>
    </row>
    <row r="60" spans="1:7" x14ac:dyDescent="0.2">
      <c r="A60" t="s">
        <v>143</v>
      </c>
      <c r="B60" t="s">
        <v>144</v>
      </c>
      <c r="C60">
        <v>826977</v>
      </c>
      <c r="D60">
        <v>485184</v>
      </c>
      <c r="E60">
        <v>18290838</v>
      </c>
      <c r="F60" t="s">
        <v>35</v>
      </c>
      <c r="G60" t="s">
        <v>15</v>
      </c>
    </row>
    <row r="61" spans="1:7" x14ac:dyDescent="0.2">
      <c r="A61" t="s">
        <v>151</v>
      </c>
      <c r="B61" t="s">
        <v>152</v>
      </c>
      <c r="C61">
        <v>783392</v>
      </c>
      <c r="D61">
        <v>3646</v>
      </c>
      <c r="E61">
        <v>9166773</v>
      </c>
      <c r="F61" t="s">
        <v>35</v>
      </c>
      <c r="G61" t="s">
        <v>15</v>
      </c>
    </row>
    <row r="62" spans="1:7" x14ac:dyDescent="0.2">
      <c r="A62" t="s">
        <v>147</v>
      </c>
      <c r="B62" t="s">
        <v>148</v>
      </c>
      <c r="C62">
        <v>770634</v>
      </c>
      <c r="D62">
        <v>80840</v>
      </c>
      <c r="E62">
        <v>11400024</v>
      </c>
      <c r="F62" t="s">
        <v>35</v>
      </c>
      <c r="G62" t="s">
        <v>15</v>
      </c>
    </row>
    <row r="63" spans="1:7" x14ac:dyDescent="0.2">
      <c r="A63" t="s">
        <v>171</v>
      </c>
      <c r="B63" t="s">
        <v>172</v>
      </c>
      <c r="C63">
        <v>755148</v>
      </c>
      <c r="D63">
        <v>650</v>
      </c>
      <c r="E63">
        <v>8302190</v>
      </c>
      <c r="F63" t="s">
        <v>35</v>
      </c>
      <c r="G63" t="s">
        <v>15</v>
      </c>
    </row>
    <row r="64" spans="1:7" x14ac:dyDescent="0.2">
      <c r="A64" t="s">
        <v>153</v>
      </c>
      <c r="B64" t="s">
        <v>154</v>
      </c>
      <c r="C64">
        <v>750285</v>
      </c>
      <c r="D64">
        <v>291511</v>
      </c>
      <c r="E64">
        <v>14070927</v>
      </c>
      <c r="F64" t="s">
        <v>35</v>
      </c>
      <c r="G64" t="s">
        <v>15</v>
      </c>
    </row>
    <row r="65" spans="1:7" x14ac:dyDescent="0.2">
      <c r="A65" t="s">
        <v>131</v>
      </c>
      <c r="B65" t="s">
        <v>132</v>
      </c>
      <c r="C65">
        <v>744268</v>
      </c>
      <c r="D65">
        <v>59360</v>
      </c>
      <c r="E65">
        <v>1746907</v>
      </c>
      <c r="F65" t="s">
        <v>35</v>
      </c>
      <c r="G65" t="s">
        <v>15</v>
      </c>
    </row>
    <row r="66" spans="1:7" x14ac:dyDescent="0.2">
      <c r="A66" t="s">
        <v>167</v>
      </c>
      <c r="B66" t="s">
        <v>168</v>
      </c>
      <c r="C66">
        <v>730412</v>
      </c>
      <c r="D66">
        <v>140969</v>
      </c>
      <c r="E66">
        <v>11815033</v>
      </c>
      <c r="F66" t="s">
        <v>35</v>
      </c>
      <c r="G66" t="s">
        <v>15</v>
      </c>
    </row>
    <row r="67" spans="1:7" x14ac:dyDescent="0.2">
      <c r="A67" t="s">
        <v>163</v>
      </c>
      <c r="B67" t="s">
        <v>164</v>
      </c>
      <c r="C67">
        <v>725761</v>
      </c>
      <c r="D67">
        <v>215043</v>
      </c>
      <c r="E67">
        <v>11729108</v>
      </c>
      <c r="F67" t="s">
        <v>35</v>
      </c>
      <c r="G67" t="s">
        <v>15</v>
      </c>
    </row>
    <row r="68" spans="1:7" x14ac:dyDescent="0.2">
      <c r="A68" t="s">
        <v>211</v>
      </c>
      <c r="B68" t="s">
        <v>212</v>
      </c>
      <c r="C68">
        <v>704979</v>
      </c>
      <c r="D68">
        <v>11055</v>
      </c>
      <c r="E68">
        <v>10798190</v>
      </c>
      <c r="F68" t="s">
        <v>35</v>
      </c>
      <c r="G68" t="s">
        <v>15</v>
      </c>
    </row>
    <row r="69" spans="1:7" x14ac:dyDescent="0.2">
      <c r="A69" t="s">
        <v>165</v>
      </c>
      <c r="B69" t="s">
        <v>166</v>
      </c>
      <c r="C69">
        <v>694821</v>
      </c>
      <c r="D69">
        <v>199121</v>
      </c>
      <c r="E69">
        <v>7125357</v>
      </c>
      <c r="F69" t="s">
        <v>35</v>
      </c>
      <c r="G69" t="s">
        <v>15</v>
      </c>
    </row>
    <row r="70" spans="1:7" x14ac:dyDescent="0.2">
      <c r="A70" t="s">
        <v>155</v>
      </c>
      <c r="B70" t="s">
        <v>156</v>
      </c>
      <c r="C70">
        <v>677738</v>
      </c>
      <c r="D70">
        <v>270170</v>
      </c>
      <c r="E70">
        <v>11820025</v>
      </c>
      <c r="F70" t="s">
        <v>35</v>
      </c>
      <c r="G70" t="s">
        <v>15</v>
      </c>
    </row>
    <row r="71" spans="1:7" x14ac:dyDescent="0.2">
      <c r="A71" t="s">
        <v>199</v>
      </c>
      <c r="B71" t="s">
        <v>200</v>
      </c>
      <c r="C71">
        <v>675247</v>
      </c>
      <c r="D71">
        <v>204</v>
      </c>
      <c r="E71">
        <v>3494395</v>
      </c>
      <c r="F71" t="s">
        <v>35</v>
      </c>
      <c r="G71" t="s">
        <v>15</v>
      </c>
    </row>
    <row r="72" spans="1:7" x14ac:dyDescent="0.2">
      <c r="A72" t="s">
        <v>847</v>
      </c>
      <c r="B72" t="s">
        <v>848</v>
      </c>
      <c r="C72">
        <v>667497</v>
      </c>
      <c r="D72">
        <v>60641</v>
      </c>
      <c r="E72">
        <v>3897920</v>
      </c>
      <c r="F72" t="s">
        <v>35</v>
      </c>
      <c r="G72" t="s">
        <v>15</v>
      </c>
    </row>
    <row r="73" spans="1:7" x14ac:dyDescent="0.2">
      <c r="A73" t="s">
        <v>161</v>
      </c>
      <c r="B73" t="s">
        <v>162</v>
      </c>
      <c r="C73">
        <v>666826</v>
      </c>
      <c r="D73">
        <v>891429</v>
      </c>
      <c r="E73">
        <v>26715525</v>
      </c>
      <c r="F73" t="s">
        <v>35</v>
      </c>
      <c r="G73" t="s">
        <v>15</v>
      </c>
    </row>
    <row r="74" spans="1:7" x14ac:dyDescent="0.2">
      <c r="A74" t="s">
        <v>169</v>
      </c>
      <c r="B74" t="s">
        <v>170</v>
      </c>
      <c r="C74">
        <v>662797</v>
      </c>
      <c r="D74">
        <v>283225</v>
      </c>
      <c r="E74">
        <v>10835054</v>
      </c>
      <c r="F74" t="s">
        <v>35</v>
      </c>
      <c r="G74" t="s">
        <v>15</v>
      </c>
    </row>
    <row r="75" spans="1:7" x14ac:dyDescent="0.2">
      <c r="A75" t="s">
        <v>187</v>
      </c>
      <c r="B75" t="s">
        <v>188</v>
      </c>
      <c r="C75">
        <v>472548</v>
      </c>
      <c r="D75">
        <v>109</v>
      </c>
      <c r="E75">
        <v>8219042</v>
      </c>
      <c r="F75" t="s">
        <v>35</v>
      </c>
      <c r="G75" t="s">
        <v>15</v>
      </c>
    </row>
    <row r="76" spans="1:7" x14ac:dyDescent="0.2">
      <c r="A76" t="s">
        <v>209</v>
      </c>
      <c r="B76" t="s">
        <v>210</v>
      </c>
      <c r="C76">
        <v>462019</v>
      </c>
      <c r="D76">
        <v>172062</v>
      </c>
      <c r="E76">
        <v>10631243</v>
      </c>
      <c r="F76" t="s">
        <v>35</v>
      </c>
      <c r="G76" t="s">
        <v>15</v>
      </c>
    </row>
    <row r="77" spans="1:7" x14ac:dyDescent="0.2">
      <c r="A77" t="s">
        <v>195</v>
      </c>
      <c r="B77" t="s">
        <v>196</v>
      </c>
      <c r="C77">
        <v>451348</v>
      </c>
      <c r="D77">
        <v>17726</v>
      </c>
      <c r="E77">
        <v>6768556</v>
      </c>
      <c r="F77" t="s">
        <v>35</v>
      </c>
      <c r="G77" t="s">
        <v>15</v>
      </c>
    </row>
    <row r="78" spans="1:7" x14ac:dyDescent="0.2">
      <c r="A78" t="s">
        <v>849</v>
      </c>
      <c r="B78" t="s">
        <v>850</v>
      </c>
      <c r="C78">
        <v>446545</v>
      </c>
      <c r="D78">
        <v>817370</v>
      </c>
      <c r="E78">
        <v>11920221</v>
      </c>
      <c r="F78" t="s">
        <v>35</v>
      </c>
      <c r="G78" t="s">
        <v>15</v>
      </c>
    </row>
    <row r="79" spans="1:7" x14ac:dyDescent="0.2">
      <c r="A79" t="s">
        <v>191</v>
      </c>
      <c r="B79" t="s">
        <v>192</v>
      </c>
      <c r="C79">
        <v>444476</v>
      </c>
      <c r="D79">
        <v>119539</v>
      </c>
      <c r="E79">
        <v>8859868</v>
      </c>
      <c r="F79" t="s">
        <v>35</v>
      </c>
      <c r="G79" t="s">
        <v>15</v>
      </c>
    </row>
    <row r="80" spans="1:7" x14ac:dyDescent="0.2">
      <c r="A80" t="s">
        <v>203</v>
      </c>
      <c r="B80" t="s">
        <v>204</v>
      </c>
      <c r="C80">
        <v>439913</v>
      </c>
      <c r="D80">
        <v>484072</v>
      </c>
      <c r="E80">
        <v>10434553</v>
      </c>
      <c r="F80" t="s">
        <v>35</v>
      </c>
      <c r="G80" t="s">
        <v>15</v>
      </c>
    </row>
    <row r="81" spans="1:7" x14ac:dyDescent="0.2">
      <c r="A81" t="s">
        <v>213</v>
      </c>
      <c r="B81" t="s">
        <v>214</v>
      </c>
      <c r="C81">
        <v>400456</v>
      </c>
      <c r="D81">
        <v>217717</v>
      </c>
      <c r="E81">
        <v>7785414</v>
      </c>
      <c r="F81" t="s">
        <v>35</v>
      </c>
      <c r="G81" t="s">
        <v>15</v>
      </c>
    </row>
    <row r="82" spans="1:7" x14ac:dyDescent="0.2">
      <c r="A82" t="s">
        <v>197</v>
      </c>
      <c r="B82" t="s">
        <v>198</v>
      </c>
      <c r="C82">
        <v>382811</v>
      </c>
      <c r="D82">
        <v>20465</v>
      </c>
      <c r="E82">
        <v>5580329</v>
      </c>
      <c r="F82" t="s">
        <v>35</v>
      </c>
      <c r="G82" t="s">
        <v>15</v>
      </c>
    </row>
    <row r="83" spans="1:7" x14ac:dyDescent="0.2">
      <c r="A83" t="s">
        <v>205</v>
      </c>
      <c r="B83" t="s">
        <v>206</v>
      </c>
      <c r="C83">
        <v>378135</v>
      </c>
      <c r="D83">
        <v>1266614</v>
      </c>
      <c r="E83">
        <v>8534725</v>
      </c>
      <c r="F83" t="s">
        <v>35</v>
      </c>
      <c r="G83" t="s">
        <v>15</v>
      </c>
    </row>
    <row r="84" spans="1:7" x14ac:dyDescent="0.2">
      <c r="A84" t="s">
        <v>179</v>
      </c>
      <c r="B84" t="s">
        <v>180</v>
      </c>
      <c r="C84">
        <v>369997</v>
      </c>
      <c r="D84">
        <v>13282</v>
      </c>
      <c r="E84">
        <v>5616290</v>
      </c>
      <c r="F84" t="s">
        <v>35</v>
      </c>
      <c r="G84" t="s">
        <v>15</v>
      </c>
    </row>
    <row r="85" spans="1:7" x14ac:dyDescent="0.2">
      <c r="A85" t="s">
        <v>185</v>
      </c>
      <c r="B85" t="s">
        <v>186</v>
      </c>
      <c r="C85">
        <v>364539</v>
      </c>
      <c r="D85">
        <v>81108</v>
      </c>
      <c r="E85">
        <v>8626612</v>
      </c>
      <c r="F85" t="s">
        <v>35</v>
      </c>
      <c r="G85" t="s">
        <v>15</v>
      </c>
    </row>
    <row r="86" spans="1:7" x14ac:dyDescent="0.2">
      <c r="A86" t="s">
        <v>245</v>
      </c>
      <c r="B86" t="s">
        <v>246</v>
      </c>
      <c r="C86">
        <v>364464</v>
      </c>
      <c r="D86">
        <v>10934</v>
      </c>
      <c r="E86">
        <v>2629938</v>
      </c>
      <c r="F86" t="s">
        <v>35</v>
      </c>
      <c r="G86" t="s">
        <v>15</v>
      </c>
    </row>
    <row r="87" spans="1:7" x14ac:dyDescent="0.2">
      <c r="A87" t="s">
        <v>201</v>
      </c>
      <c r="B87" t="s">
        <v>202</v>
      </c>
      <c r="C87">
        <v>356383</v>
      </c>
      <c r="D87">
        <v>317147</v>
      </c>
      <c r="E87">
        <v>12459464</v>
      </c>
      <c r="F87" t="s">
        <v>35</v>
      </c>
      <c r="G87" t="s">
        <v>15</v>
      </c>
    </row>
    <row r="88" spans="1:7" x14ac:dyDescent="0.2">
      <c r="A88" t="s">
        <v>225</v>
      </c>
      <c r="B88" t="s">
        <v>226</v>
      </c>
      <c r="C88">
        <v>350847</v>
      </c>
      <c r="D88">
        <v>11743</v>
      </c>
      <c r="E88">
        <v>80005</v>
      </c>
      <c r="F88" t="s">
        <v>35</v>
      </c>
      <c r="G88" t="s">
        <v>15</v>
      </c>
    </row>
    <row r="89" spans="1:7" x14ac:dyDescent="0.2">
      <c r="A89" t="s">
        <v>181</v>
      </c>
      <c r="B89" t="s">
        <v>182</v>
      </c>
      <c r="C89">
        <v>339812</v>
      </c>
      <c r="D89">
        <v>7267</v>
      </c>
      <c r="E89">
        <v>4386853</v>
      </c>
      <c r="F89" t="s">
        <v>35</v>
      </c>
      <c r="G89" t="s">
        <v>15</v>
      </c>
    </row>
    <row r="90" spans="1:7" x14ac:dyDescent="0.2">
      <c r="A90" t="s">
        <v>177</v>
      </c>
      <c r="B90" t="s">
        <v>178</v>
      </c>
      <c r="C90">
        <v>324441</v>
      </c>
      <c r="D90">
        <v>39378</v>
      </c>
      <c r="E90">
        <v>11371848</v>
      </c>
      <c r="F90" t="s">
        <v>35</v>
      </c>
      <c r="G90" t="s">
        <v>15</v>
      </c>
    </row>
    <row r="91" spans="1:7" x14ac:dyDescent="0.2">
      <c r="A91" t="s">
        <v>227</v>
      </c>
      <c r="B91" t="s">
        <v>228</v>
      </c>
      <c r="C91">
        <v>286840</v>
      </c>
      <c r="D91">
        <v>3035</v>
      </c>
      <c r="E91">
        <v>510595</v>
      </c>
      <c r="F91" t="s">
        <v>35</v>
      </c>
      <c r="G91" t="s">
        <v>15</v>
      </c>
    </row>
    <row r="92" spans="1:7" x14ac:dyDescent="0.2">
      <c r="A92" t="s">
        <v>851</v>
      </c>
      <c r="B92" t="s">
        <v>208</v>
      </c>
      <c r="C92">
        <v>276342</v>
      </c>
      <c r="D92">
        <v>49727</v>
      </c>
      <c r="E92">
        <v>3090784</v>
      </c>
      <c r="F92" t="s">
        <v>35</v>
      </c>
      <c r="G92" t="s">
        <v>15</v>
      </c>
    </row>
    <row r="93" spans="1:7" x14ac:dyDescent="0.2">
      <c r="A93" t="s">
        <v>852</v>
      </c>
      <c r="B93" t="s">
        <v>308</v>
      </c>
      <c r="C93">
        <v>274452</v>
      </c>
      <c r="D93">
        <v>35</v>
      </c>
      <c r="E93">
        <v>4746974</v>
      </c>
      <c r="F93" t="s">
        <v>35</v>
      </c>
      <c r="G93" t="s">
        <v>15</v>
      </c>
    </row>
    <row r="94" spans="1:7" x14ac:dyDescent="0.2">
      <c r="A94" t="s">
        <v>221</v>
      </c>
      <c r="B94" t="s">
        <v>222</v>
      </c>
      <c r="C94">
        <v>269598</v>
      </c>
      <c r="D94">
        <v>231010</v>
      </c>
      <c r="E94">
        <v>4105986</v>
      </c>
      <c r="F94" t="s">
        <v>35</v>
      </c>
      <c r="G94" t="s">
        <v>15</v>
      </c>
    </row>
    <row r="95" spans="1:7" x14ac:dyDescent="0.2">
      <c r="A95" t="s">
        <v>259</v>
      </c>
      <c r="B95" t="s">
        <v>260</v>
      </c>
      <c r="C95">
        <v>265558</v>
      </c>
      <c r="D95">
        <v>12045</v>
      </c>
      <c r="E95">
        <v>2416301</v>
      </c>
      <c r="F95" t="s">
        <v>35</v>
      </c>
      <c r="G95" t="s">
        <v>15</v>
      </c>
    </row>
    <row r="96" spans="1:7" x14ac:dyDescent="0.2">
      <c r="A96" t="s">
        <v>233</v>
      </c>
      <c r="B96" t="s">
        <v>234</v>
      </c>
      <c r="C96">
        <v>256901</v>
      </c>
      <c r="D96">
        <v>675850</v>
      </c>
      <c r="E96">
        <v>7396019</v>
      </c>
      <c r="F96" t="s">
        <v>35</v>
      </c>
      <c r="G96" t="s">
        <v>15</v>
      </c>
    </row>
    <row r="97" spans="1:7" x14ac:dyDescent="0.2">
      <c r="A97" t="s">
        <v>853</v>
      </c>
      <c r="B97" t="s">
        <v>854</v>
      </c>
      <c r="C97">
        <v>254227</v>
      </c>
      <c r="D97">
        <v>46442</v>
      </c>
      <c r="E97">
        <v>682527</v>
      </c>
      <c r="F97" t="s">
        <v>35</v>
      </c>
      <c r="G97" t="s">
        <v>15</v>
      </c>
    </row>
    <row r="98" spans="1:7" x14ac:dyDescent="0.2">
      <c r="A98" t="s">
        <v>215</v>
      </c>
      <c r="B98" t="s">
        <v>216</v>
      </c>
      <c r="C98">
        <v>254126</v>
      </c>
      <c r="D98">
        <v>691141</v>
      </c>
      <c r="E98">
        <v>6306595</v>
      </c>
      <c r="F98" t="s">
        <v>35</v>
      </c>
      <c r="G98" t="s">
        <v>15</v>
      </c>
    </row>
    <row r="99" spans="1:7" x14ac:dyDescent="0.2">
      <c r="A99" t="s">
        <v>219</v>
      </c>
      <c r="B99" t="s">
        <v>220</v>
      </c>
      <c r="C99">
        <v>252446</v>
      </c>
      <c r="D99">
        <v>307</v>
      </c>
      <c r="E99">
        <v>1239439</v>
      </c>
      <c r="F99" t="s">
        <v>35</v>
      </c>
      <c r="G99" t="s">
        <v>15</v>
      </c>
    </row>
    <row r="100" spans="1:7" x14ac:dyDescent="0.2">
      <c r="A100" t="s">
        <v>231</v>
      </c>
      <c r="B100" t="s">
        <v>232</v>
      </c>
      <c r="C100">
        <v>252351</v>
      </c>
      <c r="D100">
        <v>149458</v>
      </c>
      <c r="E100">
        <v>5228174</v>
      </c>
      <c r="F100" t="s">
        <v>35</v>
      </c>
      <c r="G100" t="s">
        <v>15</v>
      </c>
    </row>
    <row r="101" spans="1:7" x14ac:dyDescent="0.2">
      <c r="A101" t="s">
        <v>237</v>
      </c>
      <c r="B101" t="s">
        <v>238</v>
      </c>
      <c r="C101">
        <v>250025</v>
      </c>
      <c r="D101">
        <v>1552</v>
      </c>
      <c r="E101">
        <v>4151710</v>
      </c>
      <c r="F101" t="s">
        <v>35</v>
      </c>
      <c r="G101" t="s">
        <v>15</v>
      </c>
    </row>
    <row r="102" spans="1:7" x14ac:dyDescent="0.2">
      <c r="A102" t="s">
        <v>263</v>
      </c>
      <c r="B102" t="s">
        <v>264</v>
      </c>
      <c r="C102">
        <v>249233</v>
      </c>
      <c r="D102">
        <v>10989</v>
      </c>
      <c r="E102">
        <v>3671417</v>
      </c>
      <c r="F102" t="s">
        <v>35</v>
      </c>
      <c r="G102" t="s">
        <v>15</v>
      </c>
    </row>
    <row r="103" spans="1:7" x14ac:dyDescent="0.2">
      <c r="A103" t="s">
        <v>239</v>
      </c>
      <c r="B103" t="s">
        <v>240</v>
      </c>
      <c r="C103">
        <v>247973</v>
      </c>
      <c r="D103">
        <v>48988</v>
      </c>
      <c r="E103">
        <v>1590717</v>
      </c>
      <c r="F103" t="s">
        <v>35</v>
      </c>
      <c r="G103" t="s">
        <v>15</v>
      </c>
    </row>
    <row r="104" spans="1:7" x14ac:dyDescent="0.2">
      <c r="A104" t="s">
        <v>241</v>
      </c>
      <c r="B104" t="s">
        <v>242</v>
      </c>
      <c r="C104">
        <v>246344</v>
      </c>
      <c r="D104">
        <v>149115</v>
      </c>
      <c r="E104">
        <v>1950576</v>
      </c>
      <c r="F104" t="s">
        <v>35</v>
      </c>
      <c r="G104" t="s">
        <v>15</v>
      </c>
    </row>
    <row r="105" spans="1:7" x14ac:dyDescent="0.2">
      <c r="A105" t="s">
        <v>223</v>
      </c>
      <c r="B105" t="s">
        <v>224</v>
      </c>
      <c r="C105">
        <v>246321</v>
      </c>
      <c r="D105">
        <v>23205</v>
      </c>
      <c r="E105">
        <v>1466123</v>
      </c>
      <c r="F105" t="s">
        <v>35</v>
      </c>
      <c r="G105" t="s">
        <v>15</v>
      </c>
    </row>
    <row r="106" spans="1:7" x14ac:dyDescent="0.2">
      <c r="A106" t="s">
        <v>235</v>
      </c>
      <c r="B106" t="s">
        <v>236</v>
      </c>
      <c r="C106">
        <v>245658</v>
      </c>
      <c r="D106">
        <v>1040441</v>
      </c>
      <c r="E106">
        <v>6604853</v>
      </c>
      <c r="F106" t="s">
        <v>35</v>
      </c>
      <c r="G106" t="s">
        <v>15</v>
      </c>
    </row>
    <row r="107" spans="1:7" x14ac:dyDescent="0.2">
      <c r="A107" t="s">
        <v>229</v>
      </c>
      <c r="B107" t="s">
        <v>230</v>
      </c>
      <c r="C107">
        <v>243723</v>
      </c>
      <c r="D107">
        <v>1432</v>
      </c>
      <c r="E107">
        <v>3480758</v>
      </c>
      <c r="F107" t="s">
        <v>35</v>
      </c>
      <c r="G107" t="s">
        <v>15</v>
      </c>
    </row>
    <row r="108" spans="1:7" x14ac:dyDescent="0.2">
      <c r="A108" t="s">
        <v>261</v>
      </c>
      <c r="B108" t="s">
        <v>262</v>
      </c>
      <c r="C108">
        <v>235115</v>
      </c>
      <c r="D108">
        <v>1088</v>
      </c>
      <c r="E108">
        <v>3356601</v>
      </c>
      <c r="F108" t="s">
        <v>35</v>
      </c>
      <c r="G108" t="s">
        <v>15</v>
      </c>
    </row>
    <row r="109" spans="1:7" x14ac:dyDescent="0.2">
      <c r="A109" t="s">
        <v>251</v>
      </c>
      <c r="B109" t="s">
        <v>252</v>
      </c>
      <c r="C109">
        <v>231984</v>
      </c>
      <c r="D109">
        <v>21231</v>
      </c>
      <c r="E109">
        <v>3442277</v>
      </c>
      <c r="F109" t="s">
        <v>35</v>
      </c>
      <c r="G109" t="s">
        <v>15</v>
      </c>
    </row>
    <row r="110" spans="1:7" x14ac:dyDescent="0.2">
      <c r="A110" t="s">
        <v>253</v>
      </c>
      <c r="B110" t="s">
        <v>254</v>
      </c>
      <c r="C110">
        <v>231857</v>
      </c>
      <c r="D110">
        <v>29449</v>
      </c>
      <c r="E110">
        <v>4688264</v>
      </c>
      <c r="F110" t="s">
        <v>35</v>
      </c>
      <c r="G110" t="s">
        <v>15</v>
      </c>
    </row>
    <row r="111" spans="1:7" x14ac:dyDescent="0.2">
      <c r="A111" t="s">
        <v>267</v>
      </c>
      <c r="B111" t="s">
        <v>268</v>
      </c>
      <c r="C111">
        <v>221484</v>
      </c>
      <c r="D111">
        <v>1362502</v>
      </c>
      <c r="E111">
        <v>8375816</v>
      </c>
      <c r="F111" t="s">
        <v>35</v>
      </c>
      <c r="G111" t="s">
        <v>15</v>
      </c>
    </row>
    <row r="112" spans="1:7" x14ac:dyDescent="0.2">
      <c r="A112" t="s">
        <v>193</v>
      </c>
      <c r="B112" t="s">
        <v>194</v>
      </c>
      <c r="C112">
        <v>220974</v>
      </c>
      <c r="D112">
        <v>16272</v>
      </c>
      <c r="E112">
        <v>3240998</v>
      </c>
      <c r="F112" t="s">
        <v>35</v>
      </c>
      <c r="G112" t="s">
        <v>15</v>
      </c>
    </row>
    <row r="113" spans="1:7" x14ac:dyDescent="0.2">
      <c r="A113" t="s">
        <v>271</v>
      </c>
      <c r="B113" t="s">
        <v>272</v>
      </c>
      <c r="C113">
        <v>218872</v>
      </c>
      <c r="D113">
        <v>30074</v>
      </c>
      <c r="E113">
        <v>3291532</v>
      </c>
      <c r="F113" t="s">
        <v>35</v>
      </c>
      <c r="G113" t="s">
        <v>15</v>
      </c>
    </row>
    <row r="114" spans="1:7" x14ac:dyDescent="0.2">
      <c r="A114" t="s">
        <v>247</v>
      </c>
      <c r="B114" t="s">
        <v>248</v>
      </c>
      <c r="C114">
        <v>217850</v>
      </c>
      <c r="D114">
        <v>54846</v>
      </c>
      <c r="E114">
        <v>3423092</v>
      </c>
      <c r="F114" t="s">
        <v>35</v>
      </c>
      <c r="G114" t="s">
        <v>15</v>
      </c>
    </row>
    <row r="115" spans="1:7" x14ac:dyDescent="0.2">
      <c r="A115" t="s">
        <v>855</v>
      </c>
      <c r="B115" t="s">
        <v>320</v>
      </c>
      <c r="C115">
        <v>214184</v>
      </c>
      <c r="D115">
        <v>23</v>
      </c>
      <c r="E115">
        <v>3246886</v>
      </c>
      <c r="F115" t="s">
        <v>35</v>
      </c>
      <c r="G115" t="s">
        <v>15</v>
      </c>
    </row>
    <row r="116" spans="1:7" x14ac:dyDescent="0.2">
      <c r="A116" t="s">
        <v>243</v>
      </c>
      <c r="B116" t="s">
        <v>244</v>
      </c>
      <c r="C116">
        <v>210053</v>
      </c>
      <c r="D116">
        <v>2744</v>
      </c>
      <c r="E116">
        <v>2615331</v>
      </c>
      <c r="F116" t="s">
        <v>35</v>
      </c>
      <c r="G116" t="s">
        <v>15</v>
      </c>
    </row>
    <row r="117" spans="1:7" x14ac:dyDescent="0.2">
      <c r="A117" t="s">
        <v>257</v>
      </c>
      <c r="B117" t="s">
        <v>258</v>
      </c>
      <c r="C117">
        <v>206312</v>
      </c>
      <c r="D117">
        <v>56</v>
      </c>
      <c r="E117">
        <v>2999232</v>
      </c>
      <c r="F117" t="s">
        <v>35</v>
      </c>
      <c r="G117" t="s">
        <v>15</v>
      </c>
    </row>
    <row r="118" spans="1:7" x14ac:dyDescent="0.2">
      <c r="A118" t="s">
        <v>305</v>
      </c>
      <c r="B118" t="s">
        <v>306</v>
      </c>
      <c r="C118">
        <v>205949</v>
      </c>
      <c r="D118">
        <v>3814</v>
      </c>
      <c r="E118">
        <v>2954448</v>
      </c>
      <c r="F118" t="s">
        <v>35</v>
      </c>
      <c r="G118" t="s">
        <v>15</v>
      </c>
    </row>
    <row r="119" spans="1:7" x14ac:dyDescent="0.2">
      <c r="A119" t="s">
        <v>273</v>
      </c>
      <c r="B119" t="s">
        <v>274</v>
      </c>
      <c r="C119">
        <v>204977</v>
      </c>
      <c r="D119">
        <v>25360</v>
      </c>
      <c r="E119">
        <v>3069270</v>
      </c>
      <c r="F119" t="s">
        <v>35</v>
      </c>
      <c r="G119" t="s">
        <v>15</v>
      </c>
    </row>
    <row r="120" spans="1:7" x14ac:dyDescent="0.2">
      <c r="A120" t="s">
        <v>265</v>
      </c>
      <c r="B120" t="s">
        <v>266</v>
      </c>
      <c r="C120">
        <v>202259</v>
      </c>
      <c r="D120">
        <v>74648</v>
      </c>
      <c r="E120">
        <v>3856394</v>
      </c>
      <c r="F120" t="s">
        <v>35</v>
      </c>
      <c r="G120" t="s">
        <v>15</v>
      </c>
    </row>
    <row r="121" spans="1:7" x14ac:dyDescent="0.2">
      <c r="A121" t="s">
        <v>279</v>
      </c>
      <c r="B121" t="s">
        <v>280</v>
      </c>
      <c r="C121">
        <v>199449</v>
      </c>
      <c r="D121">
        <v>623823</v>
      </c>
      <c r="E121">
        <v>6669763</v>
      </c>
      <c r="F121" t="s">
        <v>35</v>
      </c>
      <c r="G121" t="s">
        <v>15</v>
      </c>
    </row>
    <row r="122" spans="1:7" x14ac:dyDescent="0.2">
      <c r="A122" t="s">
        <v>145</v>
      </c>
      <c r="B122" t="s">
        <v>146</v>
      </c>
      <c r="C122">
        <v>196934</v>
      </c>
      <c r="D122">
        <v>30757</v>
      </c>
      <c r="E122">
        <v>1995875</v>
      </c>
      <c r="F122" t="s">
        <v>35</v>
      </c>
      <c r="G122" t="s">
        <v>15</v>
      </c>
    </row>
    <row r="123" spans="1:7" x14ac:dyDescent="0.2">
      <c r="A123" t="s">
        <v>217</v>
      </c>
      <c r="B123" t="s">
        <v>218</v>
      </c>
      <c r="C123">
        <v>196125</v>
      </c>
      <c r="D123">
        <v>66783</v>
      </c>
      <c r="E123">
        <v>4005275</v>
      </c>
      <c r="F123" t="s">
        <v>35</v>
      </c>
      <c r="G123" t="s">
        <v>15</v>
      </c>
    </row>
    <row r="124" spans="1:7" x14ac:dyDescent="0.2">
      <c r="A124" t="s">
        <v>357</v>
      </c>
      <c r="B124" t="s">
        <v>358</v>
      </c>
      <c r="C124">
        <v>189527</v>
      </c>
      <c r="D124">
        <v>615</v>
      </c>
      <c r="E124">
        <v>1473384</v>
      </c>
      <c r="F124" t="s">
        <v>35</v>
      </c>
      <c r="G124" t="s">
        <v>15</v>
      </c>
    </row>
    <row r="125" spans="1:7" x14ac:dyDescent="0.2">
      <c r="A125" t="s">
        <v>269</v>
      </c>
      <c r="B125" t="s">
        <v>270</v>
      </c>
      <c r="C125">
        <v>184125</v>
      </c>
      <c r="D125">
        <v>33816</v>
      </c>
      <c r="E125">
        <v>3001423</v>
      </c>
      <c r="F125" t="s">
        <v>35</v>
      </c>
      <c r="G125" t="s">
        <v>15</v>
      </c>
    </row>
    <row r="126" spans="1:7" x14ac:dyDescent="0.2">
      <c r="A126" t="s">
        <v>297</v>
      </c>
      <c r="B126" t="s">
        <v>298</v>
      </c>
      <c r="C126">
        <v>180291</v>
      </c>
      <c r="D126">
        <v>110</v>
      </c>
      <c r="E126">
        <v>2610790</v>
      </c>
      <c r="F126" t="s">
        <v>35</v>
      </c>
      <c r="G126" t="s">
        <v>15</v>
      </c>
    </row>
    <row r="127" spans="1:7" x14ac:dyDescent="0.2">
      <c r="A127" t="s">
        <v>255</v>
      </c>
      <c r="B127" t="s">
        <v>256</v>
      </c>
      <c r="C127">
        <v>171706</v>
      </c>
      <c r="D127">
        <v>20</v>
      </c>
      <c r="E127">
        <v>2605183</v>
      </c>
      <c r="F127" t="s">
        <v>35</v>
      </c>
      <c r="G127" t="s">
        <v>15</v>
      </c>
    </row>
    <row r="128" spans="1:7" x14ac:dyDescent="0.2">
      <c r="A128" t="s">
        <v>281</v>
      </c>
      <c r="B128" t="s">
        <v>282</v>
      </c>
      <c r="C128">
        <v>171146</v>
      </c>
      <c r="D128">
        <v>87982</v>
      </c>
      <c r="E128">
        <v>4561767</v>
      </c>
      <c r="F128" t="s">
        <v>35</v>
      </c>
      <c r="G128" t="s">
        <v>15</v>
      </c>
    </row>
    <row r="129" spans="1:7" x14ac:dyDescent="0.2">
      <c r="A129" t="s">
        <v>291</v>
      </c>
      <c r="B129" t="s">
        <v>292</v>
      </c>
      <c r="C129">
        <v>165696</v>
      </c>
      <c r="D129">
        <v>971</v>
      </c>
      <c r="E129">
        <v>2361564</v>
      </c>
      <c r="F129" t="s">
        <v>35</v>
      </c>
      <c r="G129" t="s">
        <v>15</v>
      </c>
    </row>
    <row r="130" spans="1:7" x14ac:dyDescent="0.2">
      <c r="A130" t="s">
        <v>293</v>
      </c>
      <c r="B130" t="s">
        <v>294</v>
      </c>
      <c r="C130">
        <v>162960</v>
      </c>
      <c r="D130">
        <v>22691</v>
      </c>
      <c r="E130">
        <v>2257993</v>
      </c>
      <c r="F130" t="s">
        <v>35</v>
      </c>
      <c r="G130" t="s">
        <v>15</v>
      </c>
    </row>
    <row r="131" spans="1:7" x14ac:dyDescent="0.2">
      <c r="A131" t="s">
        <v>277</v>
      </c>
      <c r="B131" t="s">
        <v>278</v>
      </c>
      <c r="C131">
        <v>162756</v>
      </c>
      <c r="D131">
        <v>16311</v>
      </c>
      <c r="E131">
        <v>2411034</v>
      </c>
      <c r="F131" t="s">
        <v>35</v>
      </c>
      <c r="G131" t="s">
        <v>15</v>
      </c>
    </row>
    <row r="132" spans="1:7" x14ac:dyDescent="0.2">
      <c r="A132" t="s">
        <v>275</v>
      </c>
      <c r="B132" t="s">
        <v>276</v>
      </c>
      <c r="C132">
        <v>161179</v>
      </c>
      <c r="D132">
        <v>49888</v>
      </c>
      <c r="E132">
        <v>3368710</v>
      </c>
      <c r="F132" t="s">
        <v>35</v>
      </c>
      <c r="G132" t="s">
        <v>15</v>
      </c>
    </row>
    <row r="133" spans="1:7" x14ac:dyDescent="0.2">
      <c r="A133" t="s">
        <v>249</v>
      </c>
      <c r="B133" t="s">
        <v>250</v>
      </c>
      <c r="C133">
        <v>160618</v>
      </c>
      <c r="D133">
        <v>401291</v>
      </c>
      <c r="E133">
        <v>4363785</v>
      </c>
      <c r="F133" t="s">
        <v>35</v>
      </c>
      <c r="G133" t="s">
        <v>15</v>
      </c>
    </row>
    <row r="134" spans="1:7" x14ac:dyDescent="0.2">
      <c r="A134" t="s">
        <v>295</v>
      </c>
      <c r="B134" t="s">
        <v>296</v>
      </c>
      <c r="C134">
        <v>156174</v>
      </c>
      <c r="D134">
        <v>47627</v>
      </c>
      <c r="E134">
        <v>3098278</v>
      </c>
      <c r="F134" t="s">
        <v>35</v>
      </c>
      <c r="G134" t="s">
        <v>15</v>
      </c>
    </row>
    <row r="135" spans="1:7" x14ac:dyDescent="0.2">
      <c r="A135" t="s">
        <v>856</v>
      </c>
      <c r="B135" t="s">
        <v>857</v>
      </c>
      <c r="C135">
        <v>155917</v>
      </c>
      <c r="D135">
        <v>9555</v>
      </c>
      <c r="E135">
        <v>1535212</v>
      </c>
      <c r="F135" t="s">
        <v>35</v>
      </c>
      <c r="G135" t="s">
        <v>15</v>
      </c>
    </row>
    <row r="136" spans="1:7" x14ac:dyDescent="0.2">
      <c r="A136" t="s">
        <v>301</v>
      </c>
      <c r="B136" t="s">
        <v>302</v>
      </c>
      <c r="C136">
        <v>154617</v>
      </c>
      <c r="D136">
        <v>1304565</v>
      </c>
      <c r="E136">
        <v>7938923</v>
      </c>
      <c r="F136" t="s">
        <v>35</v>
      </c>
      <c r="G136" t="s">
        <v>15</v>
      </c>
    </row>
    <row r="137" spans="1:7" x14ac:dyDescent="0.2">
      <c r="A137" t="s">
        <v>299</v>
      </c>
      <c r="B137" t="s">
        <v>300</v>
      </c>
      <c r="C137">
        <v>151046</v>
      </c>
      <c r="D137">
        <v>692</v>
      </c>
      <c r="E137">
        <v>15472</v>
      </c>
      <c r="F137" t="s">
        <v>35</v>
      </c>
      <c r="G137" t="s">
        <v>15</v>
      </c>
    </row>
    <row r="138" spans="1:7" x14ac:dyDescent="0.2">
      <c r="A138" t="s">
        <v>287</v>
      </c>
      <c r="B138" t="s">
        <v>288</v>
      </c>
      <c r="C138">
        <v>150919</v>
      </c>
      <c r="D138">
        <v>42212</v>
      </c>
      <c r="E138">
        <v>42740032</v>
      </c>
      <c r="F138" t="s">
        <v>35</v>
      </c>
      <c r="G138" t="s">
        <v>15</v>
      </c>
    </row>
    <row r="139" spans="1:7" x14ac:dyDescent="0.2">
      <c r="A139" t="s">
        <v>311</v>
      </c>
      <c r="B139" t="s">
        <v>312</v>
      </c>
      <c r="C139">
        <v>148993</v>
      </c>
      <c r="D139">
        <v>19814</v>
      </c>
      <c r="E139">
        <v>2401990</v>
      </c>
      <c r="F139" t="s">
        <v>35</v>
      </c>
      <c r="G139" t="s">
        <v>15</v>
      </c>
    </row>
    <row r="140" spans="1:7" x14ac:dyDescent="0.2">
      <c r="A140" t="s">
        <v>309</v>
      </c>
      <c r="B140" t="s">
        <v>310</v>
      </c>
      <c r="C140">
        <v>147154</v>
      </c>
      <c r="D140">
        <v>133771</v>
      </c>
      <c r="E140">
        <v>3003413</v>
      </c>
      <c r="F140" t="s">
        <v>35</v>
      </c>
      <c r="G140" t="s">
        <v>15</v>
      </c>
    </row>
    <row r="141" spans="1:7" x14ac:dyDescent="0.2">
      <c r="A141" t="s">
        <v>283</v>
      </c>
      <c r="B141" t="s">
        <v>284</v>
      </c>
      <c r="C141">
        <v>144961</v>
      </c>
      <c r="D141">
        <v>883</v>
      </c>
      <c r="E141">
        <v>2360122</v>
      </c>
      <c r="F141" t="s">
        <v>35</v>
      </c>
      <c r="G141" t="s">
        <v>15</v>
      </c>
    </row>
    <row r="142" spans="1:7" x14ac:dyDescent="0.2">
      <c r="A142" t="s">
        <v>339</v>
      </c>
      <c r="B142" t="s">
        <v>340</v>
      </c>
      <c r="C142">
        <v>141354</v>
      </c>
      <c r="D142">
        <v>5836</v>
      </c>
      <c r="E142">
        <v>2042512</v>
      </c>
      <c r="F142" t="s">
        <v>35</v>
      </c>
      <c r="G142" t="s">
        <v>15</v>
      </c>
    </row>
    <row r="143" spans="1:7" x14ac:dyDescent="0.2">
      <c r="A143" t="s">
        <v>317</v>
      </c>
      <c r="B143" t="s">
        <v>318</v>
      </c>
      <c r="C143">
        <v>138625</v>
      </c>
      <c r="D143">
        <v>12739</v>
      </c>
      <c r="E143">
        <v>2039062</v>
      </c>
      <c r="F143" t="s">
        <v>35</v>
      </c>
      <c r="G143" t="s">
        <v>15</v>
      </c>
    </row>
    <row r="144" spans="1:7" x14ac:dyDescent="0.2">
      <c r="A144" t="s">
        <v>329</v>
      </c>
      <c r="B144" t="s">
        <v>330</v>
      </c>
      <c r="C144">
        <v>138324</v>
      </c>
      <c r="D144">
        <v>1715</v>
      </c>
      <c r="E144">
        <v>1314552</v>
      </c>
      <c r="F144" t="s">
        <v>35</v>
      </c>
      <c r="G144" t="s">
        <v>15</v>
      </c>
    </row>
    <row r="145" spans="1:7" x14ac:dyDescent="0.2">
      <c r="A145" t="s">
        <v>343</v>
      </c>
      <c r="B145" t="s">
        <v>344</v>
      </c>
      <c r="C145">
        <v>137227</v>
      </c>
      <c r="D145">
        <v>86868</v>
      </c>
      <c r="E145">
        <v>2397827</v>
      </c>
      <c r="F145" t="s">
        <v>35</v>
      </c>
      <c r="G145" t="s">
        <v>15</v>
      </c>
    </row>
    <row r="146" spans="1:7" x14ac:dyDescent="0.2">
      <c r="A146" t="s">
        <v>289</v>
      </c>
      <c r="B146" t="s">
        <v>290</v>
      </c>
      <c r="C146">
        <v>135340</v>
      </c>
      <c r="D146">
        <v>52431</v>
      </c>
      <c r="E146">
        <v>2789001</v>
      </c>
      <c r="F146" t="s">
        <v>35</v>
      </c>
      <c r="G146" t="s">
        <v>15</v>
      </c>
    </row>
    <row r="147" spans="1:7" x14ac:dyDescent="0.2">
      <c r="A147" t="s">
        <v>303</v>
      </c>
      <c r="B147" t="s">
        <v>304</v>
      </c>
      <c r="C147">
        <v>133997</v>
      </c>
      <c r="D147">
        <v>5146</v>
      </c>
      <c r="E147">
        <v>1926559</v>
      </c>
      <c r="F147" t="s">
        <v>35</v>
      </c>
      <c r="G147" t="s">
        <v>15</v>
      </c>
    </row>
    <row r="148" spans="1:7" x14ac:dyDescent="0.2">
      <c r="A148" t="s">
        <v>321</v>
      </c>
      <c r="B148" t="s">
        <v>322</v>
      </c>
      <c r="C148">
        <v>133829</v>
      </c>
      <c r="D148">
        <v>0</v>
      </c>
      <c r="E148">
        <v>1656729</v>
      </c>
      <c r="F148" t="s">
        <v>35</v>
      </c>
      <c r="G148" t="s">
        <v>15</v>
      </c>
    </row>
    <row r="149" spans="1:7" x14ac:dyDescent="0.2">
      <c r="A149" t="s">
        <v>341</v>
      </c>
      <c r="B149" t="s">
        <v>342</v>
      </c>
      <c r="C149">
        <v>133383</v>
      </c>
      <c r="D149">
        <v>4546</v>
      </c>
      <c r="E149">
        <v>1919260</v>
      </c>
      <c r="F149" t="s">
        <v>35</v>
      </c>
      <c r="G149" t="s">
        <v>15</v>
      </c>
    </row>
    <row r="150" spans="1:7" x14ac:dyDescent="0.2">
      <c r="A150" t="s">
        <v>335</v>
      </c>
      <c r="B150" t="s">
        <v>336</v>
      </c>
      <c r="C150">
        <v>131774</v>
      </c>
      <c r="D150">
        <v>8254</v>
      </c>
      <c r="E150">
        <v>1916336</v>
      </c>
      <c r="F150" t="s">
        <v>35</v>
      </c>
      <c r="G150" t="s">
        <v>15</v>
      </c>
    </row>
    <row r="151" spans="1:7" x14ac:dyDescent="0.2">
      <c r="A151" t="s">
        <v>285</v>
      </c>
      <c r="B151" t="s">
        <v>286</v>
      </c>
      <c r="C151">
        <v>127270</v>
      </c>
      <c r="D151">
        <v>45119</v>
      </c>
      <c r="E151">
        <v>1515858</v>
      </c>
      <c r="F151" t="s">
        <v>35</v>
      </c>
      <c r="G151" t="s">
        <v>15</v>
      </c>
    </row>
    <row r="152" spans="1:7" x14ac:dyDescent="0.2">
      <c r="A152" t="s">
        <v>858</v>
      </c>
      <c r="B152" t="s">
        <v>446</v>
      </c>
      <c r="C152">
        <v>126582</v>
      </c>
      <c r="D152">
        <v>3030</v>
      </c>
      <c r="E152">
        <v>3520864</v>
      </c>
      <c r="F152" t="s">
        <v>35</v>
      </c>
      <c r="G152" t="s">
        <v>15</v>
      </c>
    </row>
    <row r="153" spans="1:7" x14ac:dyDescent="0.2">
      <c r="A153" t="s">
        <v>481</v>
      </c>
      <c r="B153" t="s">
        <v>482</v>
      </c>
      <c r="C153">
        <v>124509</v>
      </c>
      <c r="D153">
        <v>11170</v>
      </c>
      <c r="E153">
        <v>2142418</v>
      </c>
      <c r="F153" t="s">
        <v>35</v>
      </c>
      <c r="G153" t="s">
        <v>15</v>
      </c>
    </row>
    <row r="154" spans="1:7" x14ac:dyDescent="0.2">
      <c r="A154" t="s">
        <v>327</v>
      </c>
      <c r="B154" t="s">
        <v>328</v>
      </c>
      <c r="C154">
        <v>121621</v>
      </c>
      <c r="D154">
        <v>106117</v>
      </c>
      <c r="E154">
        <v>2375303</v>
      </c>
      <c r="F154" t="s">
        <v>35</v>
      </c>
      <c r="G154" t="s">
        <v>15</v>
      </c>
    </row>
    <row r="155" spans="1:7" x14ac:dyDescent="0.2">
      <c r="A155" t="s">
        <v>325</v>
      </c>
      <c r="B155" t="s">
        <v>326</v>
      </c>
      <c r="C155">
        <v>118366</v>
      </c>
      <c r="D155">
        <v>28674</v>
      </c>
      <c r="E155">
        <v>2047775</v>
      </c>
      <c r="F155" t="s">
        <v>35</v>
      </c>
      <c r="G155" t="s">
        <v>15</v>
      </c>
    </row>
    <row r="156" spans="1:7" x14ac:dyDescent="0.2">
      <c r="A156" t="s">
        <v>333</v>
      </c>
      <c r="B156" t="s">
        <v>334</v>
      </c>
      <c r="C156">
        <v>117810</v>
      </c>
      <c r="D156">
        <v>5514</v>
      </c>
      <c r="E156">
        <v>1710078</v>
      </c>
      <c r="F156" t="s">
        <v>35</v>
      </c>
      <c r="G156" t="s">
        <v>15</v>
      </c>
    </row>
    <row r="157" spans="1:7" x14ac:dyDescent="0.2">
      <c r="A157" t="s">
        <v>353</v>
      </c>
      <c r="B157" t="s">
        <v>354</v>
      </c>
      <c r="C157">
        <v>114972</v>
      </c>
      <c r="D157">
        <v>81098</v>
      </c>
      <c r="E157">
        <v>1565463</v>
      </c>
      <c r="F157" t="s">
        <v>35</v>
      </c>
      <c r="G157" t="s">
        <v>15</v>
      </c>
    </row>
    <row r="158" spans="1:7" x14ac:dyDescent="0.2">
      <c r="A158" t="s">
        <v>359</v>
      </c>
      <c r="B158" t="s">
        <v>360</v>
      </c>
      <c r="C158">
        <v>111037</v>
      </c>
      <c r="D158">
        <v>22707</v>
      </c>
      <c r="E158">
        <v>1893363</v>
      </c>
      <c r="F158" t="s">
        <v>35</v>
      </c>
      <c r="G158" t="s">
        <v>15</v>
      </c>
    </row>
    <row r="159" spans="1:7" x14ac:dyDescent="0.2">
      <c r="A159" t="s">
        <v>859</v>
      </c>
      <c r="B159" t="s">
        <v>860</v>
      </c>
      <c r="C159">
        <v>110615</v>
      </c>
      <c r="D159">
        <v>587</v>
      </c>
      <c r="E159">
        <v>1999325</v>
      </c>
      <c r="F159" t="s">
        <v>35</v>
      </c>
      <c r="G159" t="s">
        <v>15</v>
      </c>
    </row>
    <row r="160" spans="1:7" x14ac:dyDescent="0.2">
      <c r="A160" t="s">
        <v>355</v>
      </c>
      <c r="B160" t="s">
        <v>356</v>
      </c>
      <c r="C160">
        <v>109978</v>
      </c>
      <c r="D160">
        <v>23032</v>
      </c>
      <c r="E160">
        <v>1571102</v>
      </c>
      <c r="F160" t="s">
        <v>35</v>
      </c>
      <c r="G160" t="s">
        <v>15</v>
      </c>
    </row>
    <row r="161" spans="1:7" x14ac:dyDescent="0.2">
      <c r="A161" t="s">
        <v>393</v>
      </c>
      <c r="B161" t="s">
        <v>394</v>
      </c>
      <c r="C161">
        <v>109135</v>
      </c>
      <c r="D161">
        <v>457</v>
      </c>
      <c r="E161">
        <v>1562839</v>
      </c>
      <c r="F161" t="s">
        <v>35</v>
      </c>
      <c r="G161" t="s">
        <v>15</v>
      </c>
    </row>
    <row r="162" spans="1:7" x14ac:dyDescent="0.2">
      <c r="A162" t="s">
        <v>347</v>
      </c>
      <c r="B162" t="s">
        <v>348</v>
      </c>
      <c r="C162">
        <v>108807</v>
      </c>
      <c r="D162">
        <v>36</v>
      </c>
      <c r="E162">
        <v>1488650</v>
      </c>
      <c r="F162" t="s">
        <v>35</v>
      </c>
      <c r="G162" t="s">
        <v>15</v>
      </c>
    </row>
    <row r="163" spans="1:7" x14ac:dyDescent="0.2">
      <c r="A163" t="s">
        <v>351</v>
      </c>
      <c r="B163" t="s">
        <v>352</v>
      </c>
      <c r="C163">
        <v>107454</v>
      </c>
      <c r="D163">
        <v>20754</v>
      </c>
      <c r="E163">
        <v>1680324</v>
      </c>
      <c r="F163" t="s">
        <v>35</v>
      </c>
      <c r="G163" t="s">
        <v>15</v>
      </c>
    </row>
    <row r="164" spans="1:7" x14ac:dyDescent="0.2">
      <c r="A164" t="s">
        <v>367</v>
      </c>
      <c r="B164" t="s">
        <v>368</v>
      </c>
      <c r="C164">
        <v>106199</v>
      </c>
      <c r="D164">
        <v>344</v>
      </c>
      <c r="E164">
        <v>681409</v>
      </c>
      <c r="F164" t="s">
        <v>35</v>
      </c>
      <c r="G164" t="s">
        <v>15</v>
      </c>
    </row>
    <row r="165" spans="1:7" x14ac:dyDescent="0.2">
      <c r="A165" t="s">
        <v>371</v>
      </c>
      <c r="B165" t="s">
        <v>372</v>
      </c>
      <c r="C165">
        <v>106158</v>
      </c>
      <c r="D165">
        <v>125</v>
      </c>
      <c r="E165">
        <v>585655</v>
      </c>
      <c r="F165" t="s">
        <v>35</v>
      </c>
      <c r="G165" t="s">
        <v>15</v>
      </c>
    </row>
    <row r="166" spans="1:7" x14ac:dyDescent="0.2">
      <c r="A166" t="s">
        <v>433</v>
      </c>
      <c r="B166" t="s">
        <v>434</v>
      </c>
      <c r="C166">
        <v>104640</v>
      </c>
      <c r="D166">
        <v>84257</v>
      </c>
      <c r="E166">
        <v>2078406</v>
      </c>
      <c r="F166" t="s">
        <v>35</v>
      </c>
      <c r="G166" t="s">
        <v>15</v>
      </c>
    </row>
    <row r="167" spans="1:7" x14ac:dyDescent="0.2">
      <c r="A167" t="s">
        <v>391</v>
      </c>
      <c r="B167" t="s">
        <v>392</v>
      </c>
      <c r="C167">
        <v>103962</v>
      </c>
      <c r="D167">
        <v>65694</v>
      </c>
      <c r="E167">
        <v>1957968</v>
      </c>
      <c r="F167" t="s">
        <v>35</v>
      </c>
      <c r="G167" t="s">
        <v>15</v>
      </c>
    </row>
    <row r="168" spans="1:7" x14ac:dyDescent="0.2">
      <c r="A168" t="s">
        <v>861</v>
      </c>
      <c r="B168" t="s">
        <v>862</v>
      </c>
      <c r="C168">
        <v>101900</v>
      </c>
      <c r="D168">
        <v>148004</v>
      </c>
      <c r="E168">
        <v>2272827</v>
      </c>
      <c r="F168" t="s">
        <v>35</v>
      </c>
      <c r="G168" t="s">
        <v>15</v>
      </c>
    </row>
    <row r="169" spans="1:7" x14ac:dyDescent="0.2">
      <c r="A169" t="s">
        <v>331</v>
      </c>
      <c r="B169" t="s">
        <v>332</v>
      </c>
      <c r="C169">
        <v>101659</v>
      </c>
      <c r="D169">
        <v>17811</v>
      </c>
      <c r="E169">
        <v>1602989</v>
      </c>
      <c r="F169" t="s">
        <v>35</v>
      </c>
      <c r="G169" t="s">
        <v>15</v>
      </c>
    </row>
    <row r="170" spans="1:7" x14ac:dyDescent="0.2">
      <c r="A170" t="s">
        <v>363</v>
      </c>
      <c r="B170" t="s">
        <v>364</v>
      </c>
      <c r="C170">
        <v>100786</v>
      </c>
      <c r="D170">
        <v>7915</v>
      </c>
      <c r="E170">
        <v>2026286</v>
      </c>
      <c r="F170" t="s">
        <v>35</v>
      </c>
      <c r="G170" t="s">
        <v>15</v>
      </c>
    </row>
    <row r="171" spans="1:7" x14ac:dyDescent="0.2">
      <c r="A171" t="s">
        <v>401</v>
      </c>
      <c r="B171" t="s">
        <v>402</v>
      </c>
      <c r="C171">
        <v>98207</v>
      </c>
      <c r="D171">
        <v>120</v>
      </c>
      <c r="E171">
        <v>1401666</v>
      </c>
      <c r="F171" t="s">
        <v>35</v>
      </c>
      <c r="G171" t="s">
        <v>15</v>
      </c>
    </row>
    <row r="172" spans="1:7" x14ac:dyDescent="0.2">
      <c r="A172" t="s">
        <v>863</v>
      </c>
      <c r="B172" t="s">
        <v>864</v>
      </c>
      <c r="C172">
        <v>98108</v>
      </c>
      <c r="D172">
        <v>19386</v>
      </c>
      <c r="E172">
        <v>1949787</v>
      </c>
      <c r="F172" t="s">
        <v>35</v>
      </c>
      <c r="G172" t="s">
        <v>15</v>
      </c>
    </row>
    <row r="173" spans="1:7" x14ac:dyDescent="0.2">
      <c r="A173" t="s">
        <v>381</v>
      </c>
      <c r="B173" t="s">
        <v>382</v>
      </c>
      <c r="C173">
        <v>97479</v>
      </c>
      <c r="D173">
        <v>4372</v>
      </c>
      <c r="E173">
        <v>1423798</v>
      </c>
      <c r="F173" t="s">
        <v>35</v>
      </c>
      <c r="G173" t="s">
        <v>15</v>
      </c>
    </row>
    <row r="174" spans="1:7" x14ac:dyDescent="0.2">
      <c r="A174" t="s">
        <v>323</v>
      </c>
      <c r="B174" t="s">
        <v>324</v>
      </c>
      <c r="C174">
        <v>97299</v>
      </c>
      <c r="D174">
        <v>307106</v>
      </c>
      <c r="E174">
        <v>3557392</v>
      </c>
      <c r="F174" t="s">
        <v>35</v>
      </c>
      <c r="G174" t="s">
        <v>15</v>
      </c>
    </row>
    <row r="175" spans="1:7" x14ac:dyDescent="0.2">
      <c r="A175" t="s">
        <v>389</v>
      </c>
      <c r="B175" t="s">
        <v>390</v>
      </c>
      <c r="C175">
        <v>96166</v>
      </c>
      <c r="D175">
        <v>17970</v>
      </c>
      <c r="E175">
        <v>598528</v>
      </c>
      <c r="F175" t="s">
        <v>35</v>
      </c>
      <c r="G175" t="s">
        <v>15</v>
      </c>
    </row>
    <row r="176" spans="1:7" x14ac:dyDescent="0.2">
      <c r="A176" t="s">
        <v>397</v>
      </c>
      <c r="B176" t="s">
        <v>398</v>
      </c>
      <c r="C176">
        <v>95998</v>
      </c>
      <c r="D176">
        <v>4062</v>
      </c>
      <c r="E176">
        <v>37640</v>
      </c>
      <c r="F176" t="s">
        <v>35</v>
      </c>
      <c r="G176" t="s">
        <v>15</v>
      </c>
    </row>
    <row r="177" spans="1:7" x14ac:dyDescent="0.2">
      <c r="A177" t="s">
        <v>361</v>
      </c>
      <c r="B177" t="s">
        <v>362</v>
      </c>
      <c r="C177">
        <v>95817</v>
      </c>
      <c r="D177">
        <v>81450</v>
      </c>
      <c r="E177">
        <v>2234699</v>
      </c>
      <c r="F177" t="s">
        <v>35</v>
      </c>
      <c r="G177" t="s">
        <v>15</v>
      </c>
    </row>
    <row r="178" spans="1:7" x14ac:dyDescent="0.2">
      <c r="A178" t="s">
        <v>373</v>
      </c>
      <c r="B178" t="s">
        <v>374</v>
      </c>
      <c r="C178">
        <v>95542</v>
      </c>
      <c r="D178">
        <v>95724</v>
      </c>
      <c r="E178">
        <v>1905429</v>
      </c>
      <c r="F178" t="s">
        <v>35</v>
      </c>
      <c r="G178" t="s">
        <v>15</v>
      </c>
    </row>
    <row r="179" spans="1:7" x14ac:dyDescent="0.2">
      <c r="A179" t="s">
        <v>471</v>
      </c>
      <c r="B179" t="s">
        <v>472</v>
      </c>
      <c r="C179">
        <v>93951</v>
      </c>
      <c r="D179">
        <v>192214</v>
      </c>
      <c r="E179">
        <v>2517947</v>
      </c>
      <c r="F179" t="s">
        <v>35</v>
      </c>
      <c r="G179" t="s">
        <v>15</v>
      </c>
    </row>
    <row r="180" spans="1:7" x14ac:dyDescent="0.2">
      <c r="A180" t="s">
        <v>349</v>
      </c>
      <c r="B180" t="s">
        <v>350</v>
      </c>
      <c r="C180">
        <v>93387</v>
      </c>
      <c r="D180">
        <v>0</v>
      </c>
      <c r="E180">
        <v>1389683</v>
      </c>
      <c r="F180" t="s">
        <v>35</v>
      </c>
      <c r="G180" t="s">
        <v>15</v>
      </c>
    </row>
    <row r="181" spans="1:7" x14ac:dyDescent="0.2">
      <c r="A181" t="s">
        <v>385</v>
      </c>
      <c r="B181" t="s">
        <v>386</v>
      </c>
      <c r="C181">
        <v>93374</v>
      </c>
      <c r="D181">
        <v>420</v>
      </c>
      <c r="E181">
        <v>1329378</v>
      </c>
      <c r="F181" t="s">
        <v>35</v>
      </c>
      <c r="G181" t="s">
        <v>15</v>
      </c>
    </row>
    <row r="182" spans="1:7" x14ac:dyDescent="0.2">
      <c r="A182" t="s">
        <v>337</v>
      </c>
      <c r="B182" t="s">
        <v>338</v>
      </c>
      <c r="C182">
        <v>93088</v>
      </c>
      <c r="D182">
        <v>164</v>
      </c>
      <c r="E182">
        <v>1326809</v>
      </c>
      <c r="F182" t="s">
        <v>35</v>
      </c>
      <c r="G182" t="s">
        <v>15</v>
      </c>
    </row>
    <row r="183" spans="1:7" x14ac:dyDescent="0.2">
      <c r="A183" t="s">
        <v>405</v>
      </c>
      <c r="B183" t="s">
        <v>406</v>
      </c>
      <c r="C183">
        <v>92729</v>
      </c>
      <c r="D183">
        <v>263</v>
      </c>
      <c r="E183">
        <v>48413</v>
      </c>
      <c r="F183" t="s">
        <v>35</v>
      </c>
      <c r="G183" t="s">
        <v>15</v>
      </c>
    </row>
    <row r="184" spans="1:7" x14ac:dyDescent="0.2">
      <c r="A184" t="s">
        <v>365</v>
      </c>
      <c r="B184" t="s">
        <v>366</v>
      </c>
      <c r="C184">
        <v>91706</v>
      </c>
      <c r="D184">
        <v>2556</v>
      </c>
      <c r="E184">
        <v>1325474</v>
      </c>
      <c r="F184" t="s">
        <v>35</v>
      </c>
      <c r="G184" t="s">
        <v>15</v>
      </c>
    </row>
    <row r="185" spans="1:7" x14ac:dyDescent="0.2">
      <c r="A185" t="s">
        <v>421</v>
      </c>
      <c r="B185" t="s">
        <v>422</v>
      </c>
      <c r="C185">
        <v>89857</v>
      </c>
      <c r="D185">
        <v>13</v>
      </c>
      <c r="E185">
        <v>1519583</v>
      </c>
      <c r="F185" t="s">
        <v>35</v>
      </c>
      <c r="G185" t="s">
        <v>15</v>
      </c>
    </row>
    <row r="186" spans="1:7" x14ac:dyDescent="0.2">
      <c r="A186" t="s">
        <v>465</v>
      </c>
      <c r="B186" t="s">
        <v>466</v>
      </c>
      <c r="C186">
        <v>88376</v>
      </c>
      <c r="D186">
        <v>26</v>
      </c>
      <c r="E186">
        <v>692073</v>
      </c>
      <c r="F186" t="s">
        <v>35</v>
      </c>
      <c r="G186" t="s">
        <v>15</v>
      </c>
    </row>
    <row r="187" spans="1:7" x14ac:dyDescent="0.2">
      <c r="A187" t="s">
        <v>423</v>
      </c>
      <c r="B187" t="s">
        <v>424</v>
      </c>
      <c r="C187">
        <v>87817</v>
      </c>
      <c r="D187">
        <v>11968</v>
      </c>
      <c r="E187">
        <v>684007</v>
      </c>
      <c r="F187" t="s">
        <v>35</v>
      </c>
      <c r="G187" t="s">
        <v>15</v>
      </c>
    </row>
    <row r="188" spans="1:7" x14ac:dyDescent="0.2">
      <c r="A188" t="s">
        <v>313</v>
      </c>
      <c r="B188" t="s">
        <v>314</v>
      </c>
      <c r="C188">
        <v>87795</v>
      </c>
      <c r="D188">
        <v>93615</v>
      </c>
      <c r="E188">
        <v>1729011</v>
      </c>
      <c r="F188" t="s">
        <v>35</v>
      </c>
      <c r="G188" t="s">
        <v>15</v>
      </c>
    </row>
    <row r="189" spans="1:7" x14ac:dyDescent="0.2">
      <c r="A189" t="s">
        <v>403</v>
      </c>
      <c r="B189" t="s">
        <v>404</v>
      </c>
      <c r="C189">
        <v>87354</v>
      </c>
      <c r="D189">
        <v>636</v>
      </c>
      <c r="E189">
        <v>834218</v>
      </c>
      <c r="F189" t="s">
        <v>35</v>
      </c>
      <c r="G189" t="s">
        <v>15</v>
      </c>
    </row>
    <row r="190" spans="1:7" x14ac:dyDescent="0.2">
      <c r="A190" t="s">
        <v>377</v>
      </c>
      <c r="B190" t="s">
        <v>378</v>
      </c>
      <c r="C190">
        <v>86640</v>
      </c>
      <c r="D190">
        <v>12537</v>
      </c>
      <c r="E190">
        <v>755900</v>
      </c>
      <c r="F190" t="s">
        <v>35</v>
      </c>
      <c r="G190" t="s">
        <v>15</v>
      </c>
    </row>
    <row r="191" spans="1:7" x14ac:dyDescent="0.2">
      <c r="A191" t="s">
        <v>383</v>
      </c>
      <c r="B191" t="s">
        <v>384</v>
      </c>
      <c r="C191">
        <v>86168</v>
      </c>
      <c r="D191">
        <v>8797</v>
      </c>
      <c r="E191">
        <v>1276344</v>
      </c>
      <c r="F191" t="s">
        <v>35</v>
      </c>
      <c r="G191" t="s">
        <v>15</v>
      </c>
    </row>
    <row r="192" spans="1:7" x14ac:dyDescent="0.2">
      <c r="A192" t="s">
        <v>411</v>
      </c>
      <c r="B192" t="s">
        <v>412</v>
      </c>
      <c r="C192">
        <v>84151</v>
      </c>
      <c r="D192">
        <v>3360</v>
      </c>
      <c r="E192">
        <v>1227988</v>
      </c>
      <c r="F192" t="s">
        <v>35</v>
      </c>
      <c r="G192" t="s">
        <v>15</v>
      </c>
    </row>
    <row r="193" spans="1:7" x14ac:dyDescent="0.2">
      <c r="A193" t="s">
        <v>427</v>
      </c>
      <c r="B193" t="s">
        <v>428</v>
      </c>
      <c r="C193">
        <v>83559</v>
      </c>
      <c r="D193">
        <v>691</v>
      </c>
      <c r="E193">
        <v>1194109</v>
      </c>
      <c r="F193" t="s">
        <v>35</v>
      </c>
      <c r="G193" t="s">
        <v>15</v>
      </c>
    </row>
    <row r="194" spans="1:7" x14ac:dyDescent="0.2">
      <c r="A194" t="s">
        <v>409</v>
      </c>
      <c r="B194" t="s">
        <v>410</v>
      </c>
      <c r="C194">
        <v>83512</v>
      </c>
      <c r="D194">
        <v>158771</v>
      </c>
      <c r="E194">
        <v>2588775</v>
      </c>
      <c r="F194" t="s">
        <v>35</v>
      </c>
      <c r="G194" t="s">
        <v>15</v>
      </c>
    </row>
    <row r="195" spans="1:7" x14ac:dyDescent="0.2">
      <c r="A195" t="s">
        <v>369</v>
      </c>
      <c r="B195" t="s">
        <v>370</v>
      </c>
      <c r="C195">
        <v>82153</v>
      </c>
      <c r="D195">
        <v>79211</v>
      </c>
      <c r="E195">
        <v>1604929</v>
      </c>
      <c r="F195" t="s">
        <v>35</v>
      </c>
      <c r="G195" t="s">
        <v>15</v>
      </c>
    </row>
    <row r="196" spans="1:7" x14ac:dyDescent="0.2">
      <c r="A196" t="s">
        <v>435</v>
      </c>
      <c r="B196" t="s">
        <v>436</v>
      </c>
      <c r="C196">
        <v>80696</v>
      </c>
      <c r="D196">
        <v>148150</v>
      </c>
      <c r="E196">
        <v>2614390</v>
      </c>
      <c r="F196" t="s">
        <v>35</v>
      </c>
      <c r="G196" t="s">
        <v>15</v>
      </c>
    </row>
    <row r="197" spans="1:7" x14ac:dyDescent="0.2">
      <c r="A197" t="s">
        <v>443</v>
      </c>
      <c r="B197" t="s">
        <v>444</v>
      </c>
      <c r="C197">
        <v>79540</v>
      </c>
      <c r="D197">
        <v>269</v>
      </c>
      <c r="E197">
        <v>1134887</v>
      </c>
      <c r="F197" t="s">
        <v>35</v>
      </c>
      <c r="G197" t="s">
        <v>15</v>
      </c>
    </row>
    <row r="198" spans="1:7" x14ac:dyDescent="0.2">
      <c r="A198" t="s">
        <v>557</v>
      </c>
      <c r="B198" t="s">
        <v>558</v>
      </c>
      <c r="C198">
        <v>79183</v>
      </c>
      <c r="D198">
        <v>28436</v>
      </c>
      <c r="E198">
        <v>1138544</v>
      </c>
      <c r="F198" t="s">
        <v>35</v>
      </c>
      <c r="G198" t="s">
        <v>15</v>
      </c>
    </row>
    <row r="199" spans="1:7" x14ac:dyDescent="0.2">
      <c r="A199" t="s">
        <v>399</v>
      </c>
      <c r="B199" t="s">
        <v>400</v>
      </c>
      <c r="C199">
        <v>79060</v>
      </c>
      <c r="D199">
        <v>259992</v>
      </c>
      <c r="E199">
        <v>2924328</v>
      </c>
      <c r="F199" t="s">
        <v>35</v>
      </c>
      <c r="G199" t="s">
        <v>15</v>
      </c>
    </row>
    <row r="200" spans="1:7" x14ac:dyDescent="0.2">
      <c r="A200" t="s">
        <v>865</v>
      </c>
      <c r="B200" t="s">
        <v>866</v>
      </c>
      <c r="C200">
        <v>78901</v>
      </c>
      <c r="D200">
        <v>16</v>
      </c>
      <c r="E200">
        <v>9144</v>
      </c>
      <c r="F200" t="s">
        <v>35</v>
      </c>
      <c r="G200" t="s">
        <v>15</v>
      </c>
    </row>
    <row r="201" spans="1:7" x14ac:dyDescent="0.2">
      <c r="A201" t="s">
        <v>419</v>
      </c>
      <c r="B201" t="s">
        <v>420</v>
      </c>
      <c r="C201">
        <v>75509</v>
      </c>
      <c r="D201">
        <v>116472</v>
      </c>
      <c r="E201">
        <v>1946853</v>
      </c>
      <c r="F201" t="s">
        <v>35</v>
      </c>
      <c r="G201" t="s">
        <v>15</v>
      </c>
    </row>
    <row r="202" spans="1:7" x14ac:dyDescent="0.2">
      <c r="A202" t="s">
        <v>425</v>
      </c>
      <c r="B202" t="s">
        <v>426</v>
      </c>
      <c r="C202">
        <v>75211</v>
      </c>
      <c r="D202">
        <v>49515</v>
      </c>
      <c r="E202">
        <v>1175600</v>
      </c>
      <c r="F202" t="s">
        <v>35</v>
      </c>
      <c r="G202" t="s">
        <v>15</v>
      </c>
    </row>
    <row r="203" spans="1:7" x14ac:dyDescent="0.2">
      <c r="A203" t="s">
        <v>867</v>
      </c>
      <c r="B203" t="s">
        <v>868</v>
      </c>
      <c r="C203">
        <v>74944</v>
      </c>
      <c r="D203">
        <v>6582</v>
      </c>
      <c r="E203">
        <v>553216</v>
      </c>
      <c r="F203" t="s">
        <v>35</v>
      </c>
      <c r="G203" t="s">
        <v>15</v>
      </c>
    </row>
    <row r="204" spans="1:7" x14ac:dyDescent="0.2">
      <c r="A204" t="s">
        <v>491</v>
      </c>
      <c r="B204" t="s">
        <v>492</v>
      </c>
      <c r="C204">
        <v>74007</v>
      </c>
      <c r="D204">
        <v>289214</v>
      </c>
      <c r="E204">
        <v>2026535</v>
      </c>
      <c r="F204" t="s">
        <v>35</v>
      </c>
      <c r="G204" t="s">
        <v>15</v>
      </c>
    </row>
    <row r="205" spans="1:7" x14ac:dyDescent="0.2">
      <c r="A205" t="s">
        <v>431</v>
      </c>
      <c r="B205" t="s">
        <v>432</v>
      </c>
      <c r="C205">
        <v>73704</v>
      </c>
      <c r="D205">
        <v>8401</v>
      </c>
      <c r="E205">
        <v>1068170</v>
      </c>
      <c r="F205" t="s">
        <v>35</v>
      </c>
      <c r="G205" t="s">
        <v>15</v>
      </c>
    </row>
    <row r="206" spans="1:7" x14ac:dyDescent="0.2">
      <c r="A206" t="s">
        <v>457</v>
      </c>
      <c r="B206" t="s">
        <v>458</v>
      </c>
      <c r="C206">
        <v>72441</v>
      </c>
      <c r="D206">
        <v>3814</v>
      </c>
      <c r="E206">
        <v>988227</v>
      </c>
      <c r="F206" t="s">
        <v>35</v>
      </c>
      <c r="G206" t="s">
        <v>15</v>
      </c>
    </row>
    <row r="207" spans="1:7" x14ac:dyDescent="0.2">
      <c r="A207" t="s">
        <v>869</v>
      </c>
      <c r="B207" t="s">
        <v>870</v>
      </c>
      <c r="C207">
        <v>72318</v>
      </c>
      <c r="D207">
        <v>13036</v>
      </c>
      <c r="E207">
        <v>1257408</v>
      </c>
      <c r="F207" t="s">
        <v>35</v>
      </c>
      <c r="G207" t="s">
        <v>15</v>
      </c>
    </row>
    <row r="208" spans="1:7" x14ac:dyDescent="0.2">
      <c r="A208" t="s">
        <v>483</v>
      </c>
      <c r="B208" t="s">
        <v>484</v>
      </c>
      <c r="C208">
        <v>70961</v>
      </c>
      <c r="D208">
        <v>23727</v>
      </c>
      <c r="E208">
        <v>1125337</v>
      </c>
      <c r="F208" t="s">
        <v>35</v>
      </c>
      <c r="G208" t="s">
        <v>15</v>
      </c>
    </row>
    <row r="209" spans="1:7" x14ac:dyDescent="0.2">
      <c r="A209" t="s">
        <v>461</v>
      </c>
      <c r="B209" t="s">
        <v>462</v>
      </c>
      <c r="C209">
        <v>70036</v>
      </c>
      <c r="D209">
        <v>31872</v>
      </c>
      <c r="E209">
        <v>1508943</v>
      </c>
      <c r="F209" t="s">
        <v>35</v>
      </c>
      <c r="G209" t="s">
        <v>15</v>
      </c>
    </row>
    <row r="210" spans="1:7" x14ac:dyDescent="0.2">
      <c r="A210" t="s">
        <v>429</v>
      </c>
      <c r="B210" t="s">
        <v>430</v>
      </c>
      <c r="C210">
        <v>69853</v>
      </c>
      <c r="D210">
        <v>42449</v>
      </c>
      <c r="E210">
        <v>784090</v>
      </c>
      <c r="F210" t="s">
        <v>35</v>
      </c>
      <c r="G210" t="s">
        <v>15</v>
      </c>
    </row>
    <row r="211" spans="1:7" x14ac:dyDescent="0.2">
      <c r="A211" t="s">
        <v>447</v>
      </c>
      <c r="B211" t="s">
        <v>448</v>
      </c>
      <c r="C211">
        <v>69624</v>
      </c>
      <c r="D211">
        <v>401</v>
      </c>
      <c r="E211">
        <v>991469</v>
      </c>
      <c r="F211" t="s">
        <v>35</v>
      </c>
      <c r="G211" t="s">
        <v>15</v>
      </c>
    </row>
    <row r="212" spans="1:7" x14ac:dyDescent="0.2">
      <c r="A212" t="s">
        <v>451</v>
      </c>
      <c r="B212" t="s">
        <v>452</v>
      </c>
      <c r="C212">
        <v>68905</v>
      </c>
      <c r="D212">
        <v>32248</v>
      </c>
      <c r="E212">
        <v>1203374</v>
      </c>
      <c r="F212" t="s">
        <v>35</v>
      </c>
      <c r="G212" t="s">
        <v>15</v>
      </c>
    </row>
    <row r="213" spans="1:7" x14ac:dyDescent="0.2">
      <c r="A213" t="s">
        <v>503</v>
      </c>
      <c r="B213" t="s">
        <v>504</v>
      </c>
      <c r="C213">
        <v>68490</v>
      </c>
      <c r="D213">
        <v>67</v>
      </c>
      <c r="E213">
        <v>974289</v>
      </c>
      <c r="F213" t="s">
        <v>35</v>
      </c>
      <c r="G213" t="s">
        <v>15</v>
      </c>
    </row>
    <row r="214" spans="1:7" x14ac:dyDescent="0.2">
      <c r="A214" t="s">
        <v>437</v>
      </c>
      <c r="B214" t="s">
        <v>438</v>
      </c>
      <c r="C214">
        <v>66070</v>
      </c>
      <c r="D214">
        <v>48</v>
      </c>
      <c r="E214">
        <v>971535</v>
      </c>
      <c r="F214" t="s">
        <v>35</v>
      </c>
      <c r="G214" t="s">
        <v>15</v>
      </c>
    </row>
    <row r="215" spans="1:7" x14ac:dyDescent="0.2">
      <c r="A215" t="s">
        <v>449</v>
      </c>
      <c r="B215" t="s">
        <v>450</v>
      </c>
      <c r="C215">
        <v>65504</v>
      </c>
      <c r="D215">
        <v>890</v>
      </c>
      <c r="E215">
        <v>936733</v>
      </c>
      <c r="F215" t="s">
        <v>35</v>
      </c>
      <c r="G215" t="s">
        <v>15</v>
      </c>
    </row>
    <row r="216" spans="1:7" x14ac:dyDescent="0.2">
      <c r="A216" t="s">
        <v>519</v>
      </c>
      <c r="B216" t="s">
        <v>520</v>
      </c>
      <c r="C216">
        <v>65010</v>
      </c>
      <c r="D216">
        <v>0</v>
      </c>
      <c r="E216">
        <v>410472</v>
      </c>
      <c r="F216" t="s">
        <v>35</v>
      </c>
      <c r="G216" t="s">
        <v>15</v>
      </c>
    </row>
    <row r="217" spans="1:7" x14ac:dyDescent="0.2">
      <c r="A217" t="s">
        <v>453</v>
      </c>
      <c r="B217" t="s">
        <v>454</v>
      </c>
      <c r="C217">
        <v>64988</v>
      </c>
      <c r="D217">
        <v>0</v>
      </c>
      <c r="E217">
        <v>927527</v>
      </c>
      <c r="F217" t="s">
        <v>35</v>
      </c>
      <c r="G217" t="s">
        <v>15</v>
      </c>
    </row>
    <row r="218" spans="1:7" x14ac:dyDescent="0.2">
      <c r="A218" t="s">
        <v>479</v>
      </c>
      <c r="B218" t="s">
        <v>480</v>
      </c>
      <c r="C218">
        <v>64887</v>
      </c>
      <c r="D218">
        <v>109766</v>
      </c>
      <c r="E218">
        <v>2795504</v>
      </c>
      <c r="F218" t="s">
        <v>35</v>
      </c>
      <c r="G218" t="s">
        <v>15</v>
      </c>
    </row>
    <row r="219" spans="1:7" x14ac:dyDescent="0.2">
      <c r="A219" t="s">
        <v>505</v>
      </c>
      <c r="B219" t="s">
        <v>506</v>
      </c>
      <c r="C219">
        <v>63131</v>
      </c>
      <c r="D219">
        <v>131449</v>
      </c>
      <c r="E219">
        <v>1729230</v>
      </c>
      <c r="F219" t="s">
        <v>35</v>
      </c>
      <c r="G219" t="s">
        <v>15</v>
      </c>
    </row>
    <row r="220" spans="1:7" x14ac:dyDescent="0.2">
      <c r="A220" t="s">
        <v>413</v>
      </c>
      <c r="B220" t="s">
        <v>414</v>
      </c>
      <c r="C220">
        <v>62997</v>
      </c>
      <c r="D220">
        <v>267</v>
      </c>
      <c r="E220">
        <v>30718</v>
      </c>
      <c r="F220" t="s">
        <v>35</v>
      </c>
      <c r="G220" t="s">
        <v>15</v>
      </c>
    </row>
    <row r="221" spans="1:7" x14ac:dyDescent="0.2">
      <c r="A221" t="s">
        <v>871</v>
      </c>
      <c r="B221" t="s">
        <v>396</v>
      </c>
      <c r="C221">
        <v>62598</v>
      </c>
      <c r="D221">
        <v>129591</v>
      </c>
      <c r="E221">
        <v>3558478</v>
      </c>
      <c r="F221" t="s">
        <v>35</v>
      </c>
      <c r="G221" t="s">
        <v>15</v>
      </c>
    </row>
    <row r="222" spans="1:7" x14ac:dyDescent="0.2">
      <c r="A222" t="s">
        <v>477</v>
      </c>
      <c r="B222" t="s">
        <v>478</v>
      </c>
      <c r="C222">
        <v>62139</v>
      </c>
      <c r="D222">
        <v>4255</v>
      </c>
      <c r="E222">
        <v>59188</v>
      </c>
      <c r="F222" t="s">
        <v>35</v>
      </c>
      <c r="G222" t="s">
        <v>15</v>
      </c>
    </row>
    <row r="223" spans="1:7" x14ac:dyDescent="0.2">
      <c r="A223" t="s">
        <v>497</v>
      </c>
      <c r="B223" t="s">
        <v>498</v>
      </c>
      <c r="C223">
        <v>61535</v>
      </c>
      <c r="D223">
        <v>132836</v>
      </c>
      <c r="E223">
        <v>1580803</v>
      </c>
      <c r="F223" t="s">
        <v>35</v>
      </c>
      <c r="G223" t="s">
        <v>15</v>
      </c>
    </row>
    <row r="224" spans="1:7" x14ac:dyDescent="0.2">
      <c r="A224" t="s">
        <v>872</v>
      </c>
      <c r="B224" t="s">
        <v>873</v>
      </c>
      <c r="C224">
        <v>61322</v>
      </c>
      <c r="D224">
        <v>32</v>
      </c>
      <c r="E224">
        <v>908713</v>
      </c>
      <c r="F224" t="s">
        <v>35</v>
      </c>
      <c r="G224" t="s">
        <v>15</v>
      </c>
    </row>
    <row r="225" spans="1:7" x14ac:dyDescent="0.2">
      <c r="A225" t="s">
        <v>507</v>
      </c>
      <c r="B225" t="s">
        <v>508</v>
      </c>
      <c r="C225">
        <v>61024</v>
      </c>
      <c r="D225">
        <v>19580</v>
      </c>
      <c r="E225">
        <v>976978</v>
      </c>
      <c r="F225" t="s">
        <v>35</v>
      </c>
      <c r="G225" t="s">
        <v>15</v>
      </c>
    </row>
    <row r="226" spans="1:7" x14ac:dyDescent="0.2">
      <c r="A226" t="s">
        <v>469</v>
      </c>
      <c r="B226" t="s">
        <v>470</v>
      </c>
      <c r="C226">
        <v>60753</v>
      </c>
      <c r="D226">
        <v>107</v>
      </c>
      <c r="E226">
        <v>919654</v>
      </c>
      <c r="F226" t="s">
        <v>35</v>
      </c>
      <c r="G226" t="s">
        <v>15</v>
      </c>
    </row>
    <row r="227" spans="1:7" x14ac:dyDescent="0.2">
      <c r="A227" t="s">
        <v>463</v>
      </c>
      <c r="B227" t="s">
        <v>464</v>
      </c>
      <c r="C227">
        <v>60533</v>
      </c>
      <c r="D227">
        <v>18090</v>
      </c>
      <c r="E227">
        <v>331966</v>
      </c>
      <c r="F227" t="s">
        <v>35</v>
      </c>
      <c r="G227" t="s">
        <v>15</v>
      </c>
    </row>
    <row r="228" spans="1:7" x14ac:dyDescent="0.2">
      <c r="A228" t="s">
        <v>489</v>
      </c>
      <c r="B228" t="s">
        <v>490</v>
      </c>
      <c r="C228">
        <v>60379</v>
      </c>
      <c r="D228">
        <v>196</v>
      </c>
      <c r="E228">
        <v>1069568</v>
      </c>
      <c r="F228" t="s">
        <v>35</v>
      </c>
      <c r="G228" t="s">
        <v>15</v>
      </c>
    </row>
    <row r="229" spans="1:7" x14ac:dyDescent="0.2">
      <c r="A229" t="s">
        <v>485</v>
      </c>
      <c r="B229" t="s">
        <v>486</v>
      </c>
      <c r="C229">
        <v>59895</v>
      </c>
      <c r="D229">
        <v>83</v>
      </c>
      <c r="E229">
        <v>6070</v>
      </c>
      <c r="F229" t="s">
        <v>35</v>
      </c>
      <c r="G229" t="s">
        <v>15</v>
      </c>
    </row>
    <row r="230" spans="1:7" x14ac:dyDescent="0.2">
      <c r="A230" t="s">
        <v>475</v>
      </c>
      <c r="B230" t="s">
        <v>476</v>
      </c>
      <c r="C230">
        <v>59452</v>
      </c>
      <c r="D230">
        <v>24305</v>
      </c>
      <c r="E230">
        <v>1345848</v>
      </c>
      <c r="F230" t="s">
        <v>35</v>
      </c>
      <c r="G230" t="s">
        <v>15</v>
      </c>
    </row>
    <row r="231" spans="1:7" x14ac:dyDescent="0.2">
      <c r="A231" t="s">
        <v>874</v>
      </c>
      <c r="B231" t="s">
        <v>875</v>
      </c>
      <c r="C231">
        <v>59369</v>
      </c>
      <c r="D231">
        <v>7767</v>
      </c>
      <c r="E231">
        <v>985223</v>
      </c>
      <c r="F231" t="s">
        <v>35</v>
      </c>
      <c r="G231" t="s">
        <v>15</v>
      </c>
    </row>
    <row r="232" spans="1:7" x14ac:dyDescent="0.2">
      <c r="A232" t="s">
        <v>876</v>
      </c>
      <c r="B232" t="s">
        <v>877</v>
      </c>
      <c r="C232">
        <v>58538</v>
      </c>
      <c r="D232">
        <v>20086</v>
      </c>
      <c r="E232">
        <v>1140744</v>
      </c>
      <c r="F232" t="s">
        <v>35</v>
      </c>
      <c r="G232" t="s">
        <v>15</v>
      </c>
    </row>
    <row r="233" spans="1:7" x14ac:dyDescent="0.2">
      <c r="A233" t="s">
        <v>493</v>
      </c>
      <c r="B233" t="s">
        <v>494</v>
      </c>
      <c r="C233">
        <v>58112</v>
      </c>
      <c r="D233">
        <v>794</v>
      </c>
      <c r="E233">
        <v>845746</v>
      </c>
      <c r="F233" t="s">
        <v>35</v>
      </c>
      <c r="G233" t="s">
        <v>15</v>
      </c>
    </row>
    <row r="234" spans="1:7" x14ac:dyDescent="0.2">
      <c r="A234" t="s">
        <v>878</v>
      </c>
      <c r="B234" t="s">
        <v>879</v>
      </c>
      <c r="C234">
        <v>57843</v>
      </c>
      <c r="D234">
        <v>4781</v>
      </c>
      <c r="E234">
        <v>852803</v>
      </c>
      <c r="F234" t="s">
        <v>35</v>
      </c>
      <c r="G234" t="s">
        <v>15</v>
      </c>
    </row>
    <row r="235" spans="1:7" x14ac:dyDescent="0.2">
      <c r="A235" t="s">
        <v>499</v>
      </c>
      <c r="B235" t="s">
        <v>500</v>
      </c>
      <c r="C235">
        <v>57611</v>
      </c>
      <c r="D235">
        <v>1886</v>
      </c>
      <c r="E235">
        <v>829310</v>
      </c>
      <c r="F235" t="s">
        <v>35</v>
      </c>
      <c r="G235" t="s">
        <v>15</v>
      </c>
    </row>
    <row r="236" spans="1:7" x14ac:dyDescent="0.2">
      <c r="A236" t="s">
        <v>533</v>
      </c>
      <c r="B236" t="s">
        <v>534</v>
      </c>
      <c r="C236">
        <v>57259</v>
      </c>
      <c r="D236">
        <v>2086</v>
      </c>
      <c r="E236">
        <v>825051</v>
      </c>
      <c r="F236" t="s">
        <v>35</v>
      </c>
      <c r="G236" t="s">
        <v>15</v>
      </c>
    </row>
    <row r="237" spans="1:7" x14ac:dyDescent="0.2">
      <c r="A237" t="s">
        <v>523</v>
      </c>
      <c r="B237" t="s">
        <v>524</v>
      </c>
      <c r="C237">
        <v>56351</v>
      </c>
      <c r="D237">
        <v>93362</v>
      </c>
      <c r="E237">
        <v>1350857</v>
      </c>
      <c r="F237" t="s">
        <v>35</v>
      </c>
      <c r="G237" t="s">
        <v>15</v>
      </c>
    </row>
    <row r="238" spans="1:7" x14ac:dyDescent="0.2">
      <c r="A238" t="s">
        <v>880</v>
      </c>
      <c r="B238" t="s">
        <v>881</v>
      </c>
      <c r="C238">
        <v>56129</v>
      </c>
      <c r="D238">
        <v>3423</v>
      </c>
      <c r="E238">
        <v>1123787</v>
      </c>
      <c r="F238" t="s">
        <v>35</v>
      </c>
      <c r="G238" t="s">
        <v>15</v>
      </c>
    </row>
    <row r="239" spans="1:7" x14ac:dyDescent="0.2">
      <c r="A239" t="s">
        <v>511</v>
      </c>
      <c r="B239" t="s">
        <v>512</v>
      </c>
      <c r="C239">
        <v>55966</v>
      </c>
      <c r="D239">
        <v>487582</v>
      </c>
      <c r="E239">
        <v>3766583</v>
      </c>
      <c r="F239" t="s">
        <v>35</v>
      </c>
      <c r="G239" t="s">
        <v>15</v>
      </c>
    </row>
    <row r="240" spans="1:7" x14ac:dyDescent="0.2">
      <c r="A240" t="s">
        <v>553</v>
      </c>
      <c r="B240" t="s">
        <v>554</v>
      </c>
      <c r="C240">
        <v>55737</v>
      </c>
      <c r="D240">
        <v>14423</v>
      </c>
      <c r="E240">
        <v>1159505</v>
      </c>
      <c r="F240" t="s">
        <v>35</v>
      </c>
      <c r="G240" t="s">
        <v>15</v>
      </c>
    </row>
    <row r="241" spans="1:7" x14ac:dyDescent="0.2">
      <c r="A241" t="s">
        <v>379</v>
      </c>
      <c r="B241" t="s">
        <v>380</v>
      </c>
      <c r="C241">
        <v>55136</v>
      </c>
      <c r="D241">
        <v>6</v>
      </c>
      <c r="E241">
        <v>787502</v>
      </c>
      <c r="F241" t="s">
        <v>35</v>
      </c>
      <c r="G241" t="s">
        <v>15</v>
      </c>
    </row>
    <row r="242" spans="1:7" x14ac:dyDescent="0.2">
      <c r="A242" t="s">
        <v>515</v>
      </c>
      <c r="B242" t="s">
        <v>516</v>
      </c>
      <c r="C242">
        <v>54696</v>
      </c>
      <c r="D242">
        <v>198427</v>
      </c>
      <c r="E242">
        <v>3767322</v>
      </c>
      <c r="F242" t="s">
        <v>35</v>
      </c>
      <c r="G242" t="s">
        <v>15</v>
      </c>
    </row>
    <row r="243" spans="1:7" x14ac:dyDescent="0.2">
      <c r="A243" t="s">
        <v>543</v>
      </c>
      <c r="B243" t="s">
        <v>544</v>
      </c>
      <c r="C243">
        <v>54402</v>
      </c>
      <c r="D243">
        <v>185</v>
      </c>
      <c r="E243">
        <v>6481321</v>
      </c>
      <c r="F243" t="s">
        <v>35</v>
      </c>
      <c r="G243" t="s">
        <v>15</v>
      </c>
    </row>
    <row r="244" spans="1:7" x14ac:dyDescent="0.2">
      <c r="A244" t="s">
        <v>525</v>
      </c>
      <c r="B244" t="s">
        <v>526</v>
      </c>
      <c r="C244">
        <v>53824</v>
      </c>
      <c r="D244">
        <v>49697</v>
      </c>
      <c r="E244">
        <v>1293117</v>
      </c>
      <c r="F244" t="s">
        <v>35</v>
      </c>
      <c r="G244" t="s">
        <v>15</v>
      </c>
    </row>
    <row r="245" spans="1:7" x14ac:dyDescent="0.2">
      <c r="A245" t="s">
        <v>882</v>
      </c>
      <c r="B245" t="s">
        <v>883</v>
      </c>
      <c r="C245">
        <v>53439</v>
      </c>
      <c r="D245">
        <v>2199</v>
      </c>
      <c r="E245">
        <v>770297</v>
      </c>
      <c r="F245" t="s">
        <v>35</v>
      </c>
      <c r="G245" t="s">
        <v>15</v>
      </c>
    </row>
    <row r="246" spans="1:7" x14ac:dyDescent="0.2">
      <c r="A246" t="s">
        <v>529</v>
      </c>
      <c r="B246" t="s">
        <v>530</v>
      </c>
      <c r="C246">
        <v>53367</v>
      </c>
      <c r="D246">
        <v>106584</v>
      </c>
      <c r="E246">
        <v>1636720</v>
      </c>
      <c r="F246" t="s">
        <v>35</v>
      </c>
      <c r="G246" t="s">
        <v>15</v>
      </c>
    </row>
    <row r="247" spans="1:7" x14ac:dyDescent="0.2">
      <c r="A247" t="s">
        <v>549</v>
      </c>
      <c r="B247" t="s">
        <v>550</v>
      </c>
      <c r="C247">
        <v>53068</v>
      </c>
      <c r="D247">
        <v>49620</v>
      </c>
      <c r="E247">
        <v>1018343</v>
      </c>
      <c r="F247" t="s">
        <v>35</v>
      </c>
      <c r="G247" t="s">
        <v>15</v>
      </c>
    </row>
    <row r="248" spans="1:7" x14ac:dyDescent="0.2">
      <c r="A248" t="s">
        <v>509</v>
      </c>
      <c r="B248" t="s">
        <v>510</v>
      </c>
      <c r="C248">
        <v>52212</v>
      </c>
      <c r="D248">
        <v>2462</v>
      </c>
      <c r="E248">
        <v>752794</v>
      </c>
      <c r="F248" t="s">
        <v>35</v>
      </c>
      <c r="G248" t="s">
        <v>15</v>
      </c>
    </row>
    <row r="249" spans="1:7" x14ac:dyDescent="0.2">
      <c r="A249" t="s">
        <v>565</v>
      </c>
      <c r="B249" t="s">
        <v>566</v>
      </c>
      <c r="C249">
        <v>51668</v>
      </c>
      <c r="D249">
        <v>22233</v>
      </c>
      <c r="E249">
        <v>637754</v>
      </c>
      <c r="F249" t="s">
        <v>35</v>
      </c>
      <c r="G249" t="s">
        <v>15</v>
      </c>
    </row>
    <row r="250" spans="1:7" x14ac:dyDescent="0.2">
      <c r="A250" t="s">
        <v>535</v>
      </c>
      <c r="B250" t="s">
        <v>536</v>
      </c>
      <c r="C250">
        <v>51506</v>
      </c>
      <c r="D250">
        <v>14122</v>
      </c>
      <c r="E250">
        <v>183850</v>
      </c>
      <c r="F250" t="s">
        <v>35</v>
      </c>
      <c r="G250" t="s">
        <v>15</v>
      </c>
    </row>
    <row r="251" spans="1:7" x14ac:dyDescent="0.2">
      <c r="A251" t="s">
        <v>884</v>
      </c>
      <c r="B251" t="s">
        <v>885</v>
      </c>
      <c r="C251">
        <v>51250</v>
      </c>
      <c r="D251">
        <v>15</v>
      </c>
      <c r="E251">
        <v>737032</v>
      </c>
      <c r="F251" t="s">
        <v>35</v>
      </c>
      <c r="G251" t="s">
        <v>15</v>
      </c>
    </row>
    <row r="252" spans="1:7" x14ac:dyDescent="0.2">
      <c r="A252" t="s">
        <v>487</v>
      </c>
      <c r="B252" t="s">
        <v>488</v>
      </c>
      <c r="C252">
        <v>50863</v>
      </c>
      <c r="D252">
        <v>0</v>
      </c>
      <c r="E252">
        <v>15062</v>
      </c>
      <c r="F252" t="s">
        <v>35</v>
      </c>
      <c r="G252" t="s">
        <v>15</v>
      </c>
    </row>
    <row r="253" spans="1:7" x14ac:dyDescent="0.2">
      <c r="A253" t="s">
        <v>415</v>
      </c>
      <c r="B253" t="s">
        <v>416</v>
      </c>
      <c r="C253">
        <v>49937</v>
      </c>
      <c r="D253">
        <v>70258</v>
      </c>
      <c r="E253">
        <v>1278813</v>
      </c>
      <c r="F253" t="s">
        <v>35</v>
      </c>
      <c r="G253" t="s">
        <v>15</v>
      </c>
    </row>
    <row r="254" spans="1:7" x14ac:dyDescent="0.2">
      <c r="A254" t="s">
        <v>886</v>
      </c>
      <c r="B254" t="s">
        <v>887</v>
      </c>
      <c r="C254">
        <v>49744</v>
      </c>
      <c r="D254">
        <v>3881</v>
      </c>
      <c r="E254">
        <v>736780</v>
      </c>
      <c r="F254" t="s">
        <v>35</v>
      </c>
      <c r="G254" t="s">
        <v>15</v>
      </c>
    </row>
    <row r="255" spans="1:7" x14ac:dyDescent="0.2">
      <c r="A255" t="s">
        <v>888</v>
      </c>
      <c r="B255" t="s">
        <v>889</v>
      </c>
      <c r="C255">
        <v>49686</v>
      </c>
      <c r="D255">
        <v>588</v>
      </c>
      <c r="E255">
        <v>706926</v>
      </c>
      <c r="F255" t="s">
        <v>35</v>
      </c>
      <c r="G255" t="s">
        <v>15</v>
      </c>
    </row>
    <row r="256" spans="1:7" x14ac:dyDescent="0.2">
      <c r="A256" t="s">
        <v>531</v>
      </c>
      <c r="B256" t="s">
        <v>532</v>
      </c>
      <c r="C256">
        <v>47751</v>
      </c>
      <c r="D256">
        <v>87221</v>
      </c>
      <c r="E256">
        <v>649859</v>
      </c>
      <c r="F256" t="s">
        <v>35</v>
      </c>
      <c r="G256" t="s">
        <v>15</v>
      </c>
    </row>
    <row r="257" spans="1:7" x14ac:dyDescent="0.2">
      <c r="A257" t="s">
        <v>587</v>
      </c>
      <c r="B257" t="s">
        <v>588</v>
      </c>
      <c r="C257">
        <v>47159</v>
      </c>
      <c r="D257">
        <v>74344</v>
      </c>
      <c r="E257">
        <v>1291914</v>
      </c>
      <c r="F257" t="s">
        <v>35</v>
      </c>
      <c r="G257" t="s">
        <v>15</v>
      </c>
    </row>
    <row r="258" spans="1:7" x14ac:dyDescent="0.2">
      <c r="A258" t="s">
        <v>541</v>
      </c>
      <c r="B258" t="s">
        <v>542</v>
      </c>
      <c r="C258">
        <v>46618</v>
      </c>
      <c r="D258">
        <v>59745</v>
      </c>
      <c r="E258">
        <v>1111946</v>
      </c>
      <c r="F258" t="s">
        <v>35</v>
      </c>
      <c r="G258" t="s">
        <v>15</v>
      </c>
    </row>
    <row r="259" spans="1:7" x14ac:dyDescent="0.2">
      <c r="A259" t="s">
        <v>547</v>
      </c>
      <c r="B259" t="s">
        <v>548</v>
      </c>
      <c r="C259">
        <v>46249</v>
      </c>
      <c r="D259">
        <v>32934</v>
      </c>
      <c r="E259">
        <v>843970</v>
      </c>
      <c r="F259" t="s">
        <v>35</v>
      </c>
      <c r="G259" t="s">
        <v>15</v>
      </c>
    </row>
    <row r="260" spans="1:7" x14ac:dyDescent="0.2">
      <c r="A260" t="s">
        <v>551</v>
      </c>
      <c r="B260" t="s">
        <v>552</v>
      </c>
      <c r="C260">
        <v>45832</v>
      </c>
      <c r="D260">
        <v>10095</v>
      </c>
      <c r="E260">
        <v>15417057</v>
      </c>
      <c r="F260" t="s">
        <v>35</v>
      </c>
      <c r="G260" t="s">
        <v>15</v>
      </c>
    </row>
    <row r="261" spans="1:7" x14ac:dyDescent="0.2">
      <c r="A261" t="s">
        <v>561</v>
      </c>
      <c r="B261" t="s">
        <v>562</v>
      </c>
      <c r="C261">
        <v>44710</v>
      </c>
      <c r="D261">
        <v>35120</v>
      </c>
      <c r="E261">
        <v>863494</v>
      </c>
      <c r="F261" t="s">
        <v>35</v>
      </c>
      <c r="G261" t="s">
        <v>15</v>
      </c>
    </row>
    <row r="262" spans="1:7" x14ac:dyDescent="0.2">
      <c r="A262" t="s">
        <v>527</v>
      </c>
      <c r="B262" t="s">
        <v>528</v>
      </c>
      <c r="C262">
        <v>42103</v>
      </c>
      <c r="D262">
        <v>21679</v>
      </c>
      <c r="E262">
        <v>752068</v>
      </c>
      <c r="F262" t="s">
        <v>35</v>
      </c>
      <c r="G262" t="s">
        <v>15</v>
      </c>
    </row>
    <row r="263" spans="1:7" x14ac:dyDescent="0.2">
      <c r="A263" t="s">
        <v>569</v>
      </c>
      <c r="B263" t="s">
        <v>570</v>
      </c>
      <c r="C263">
        <v>40972</v>
      </c>
      <c r="D263">
        <v>85887</v>
      </c>
      <c r="E263">
        <v>1214743</v>
      </c>
      <c r="F263" t="s">
        <v>35</v>
      </c>
      <c r="G263" t="s">
        <v>15</v>
      </c>
    </row>
    <row r="264" spans="1:7" x14ac:dyDescent="0.2">
      <c r="A264" t="s">
        <v>567</v>
      </c>
      <c r="B264" t="s">
        <v>568</v>
      </c>
      <c r="C264">
        <v>40832</v>
      </c>
      <c r="D264">
        <v>65960</v>
      </c>
      <c r="E264">
        <v>701828</v>
      </c>
      <c r="F264" t="s">
        <v>35</v>
      </c>
      <c r="G264" t="s">
        <v>15</v>
      </c>
    </row>
    <row r="265" spans="1:7" x14ac:dyDescent="0.2">
      <c r="A265" t="s">
        <v>591</v>
      </c>
      <c r="B265" t="s">
        <v>592</v>
      </c>
      <c r="C265">
        <v>40260</v>
      </c>
      <c r="D265">
        <v>31832</v>
      </c>
      <c r="E265">
        <v>881737</v>
      </c>
      <c r="F265" t="s">
        <v>35</v>
      </c>
      <c r="G265" t="s">
        <v>15</v>
      </c>
    </row>
    <row r="266" spans="1:7" x14ac:dyDescent="0.2">
      <c r="A266" t="s">
        <v>890</v>
      </c>
      <c r="B266" t="s">
        <v>891</v>
      </c>
      <c r="C266">
        <v>39226</v>
      </c>
      <c r="D266">
        <v>18776</v>
      </c>
      <c r="E266">
        <v>257731</v>
      </c>
      <c r="F266" t="s">
        <v>35</v>
      </c>
      <c r="G266" t="s">
        <v>15</v>
      </c>
    </row>
    <row r="267" spans="1:7" x14ac:dyDescent="0.2">
      <c r="A267" t="s">
        <v>417</v>
      </c>
      <c r="B267" t="s">
        <v>418</v>
      </c>
      <c r="C267">
        <v>38669</v>
      </c>
      <c r="D267">
        <v>22720</v>
      </c>
      <c r="E267">
        <v>673764</v>
      </c>
      <c r="F267" t="s">
        <v>35</v>
      </c>
      <c r="G267" t="s">
        <v>15</v>
      </c>
    </row>
    <row r="268" spans="1:7" x14ac:dyDescent="0.2">
      <c r="A268" t="s">
        <v>577</v>
      </c>
      <c r="B268" t="s">
        <v>578</v>
      </c>
      <c r="C268">
        <v>37975</v>
      </c>
      <c r="D268">
        <v>23082</v>
      </c>
      <c r="E268">
        <v>751308</v>
      </c>
      <c r="F268" t="s">
        <v>35</v>
      </c>
      <c r="G268" t="s">
        <v>15</v>
      </c>
    </row>
    <row r="269" spans="1:7" x14ac:dyDescent="0.2">
      <c r="A269" t="s">
        <v>892</v>
      </c>
      <c r="B269" t="s">
        <v>893</v>
      </c>
      <c r="C269">
        <v>37768</v>
      </c>
      <c r="D269">
        <v>24244</v>
      </c>
      <c r="E269">
        <v>614205</v>
      </c>
      <c r="F269" t="s">
        <v>35</v>
      </c>
      <c r="G269" t="s">
        <v>15</v>
      </c>
    </row>
    <row r="270" spans="1:7" x14ac:dyDescent="0.2">
      <c r="A270" t="s">
        <v>571</v>
      </c>
      <c r="B270" t="s">
        <v>572</v>
      </c>
      <c r="C270">
        <v>36540</v>
      </c>
      <c r="D270">
        <v>35408</v>
      </c>
      <c r="E270">
        <v>564868</v>
      </c>
      <c r="F270" t="s">
        <v>35</v>
      </c>
      <c r="G270" t="s">
        <v>15</v>
      </c>
    </row>
    <row r="271" spans="1:7" x14ac:dyDescent="0.2">
      <c r="A271" t="s">
        <v>599</v>
      </c>
      <c r="B271" t="s">
        <v>600</v>
      </c>
      <c r="C271">
        <v>35749</v>
      </c>
      <c r="D271">
        <v>88954</v>
      </c>
      <c r="E271">
        <v>1866770</v>
      </c>
      <c r="F271" t="s">
        <v>35</v>
      </c>
      <c r="G271" t="s">
        <v>15</v>
      </c>
    </row>
    <row r="272" spans="1:7" x14ac:dyDescent="0.2">
      <c r="A272" t="s">
        <v>595</v>
      </c>
      <c r="B272" t="s">
        <v>596</v>
      </c>
      <c r="C272">
        <v>35373</v>
      </c>
      <c r="D272">
        <v>180530</v>
      </c>
      <c r="E272">
        <v>1443375</v>
      </c>
      <c r="F272" t="s">
        <v>35</v>
      </c>
      <c r="G272" t="s">
        <v>15</v>
      </c>
    </row>
    <row r="273" spans="1:7" x14ac:dyDescent="0.2">
      <c r="A273" t="s">
        <v>583</v>
      </c>
      <c r="B273" t="s">
        <v>584</v>
      </c>
      <c r="C273">
        <v>35274</v>
      </c>
      <c r="D273">
        <v>234941</v>
      </c>
      <c r="E273">
        <v>1666662</v>
      </c>
      <c r="F273" t="s">
        <v>35</v>
      </c>
      <c r="G273" t="s">
        <v>15</v>
      </c>
    </row>
    <row r="274" spans="1:7" x14ac:dyDescent="0.2">
      <c r="A274" t="s">
        <v>513</v>
      </c>
      <c r="B274" t="s">
        <v>514</v>
      </c>
      <c r="C274">
        <v>35142</v>
      </c>
      <c r="D274">
        <v>263982</v>
      </c>
      <c r="E274">
        <v>2525531</v>
      </c>
      <c r="F274" t="s">
        <v>35</v>
      </c>
      <c r="G274" t="s">
        <v>15</v>
      </c>
    </row>
    <row r="275" spans="1:7" x14ac:dyDescent="0.2">
      <c r="A275" t="s">
        <v>589</v>
      </c>
      <c r="B275" t="s">
        <v>590</v>
      </c>
      <c r="C275">
        <v>34415</v>
      </c>
      <c r="D275">
        <v>630385</v>
      </c>
      <c r="E275">
        <v>4793950</v>
      </c>
      <c r="F275" t="s">
        <v>35</v>
      </c>
      <c r="G275" t="s">
        <v>15</v>
      </c>
    </row>
    <row r="276" spans="1:7" x14ac:dyDescent="0.2">
      <c r="A276" t="s">
        <v>573</v>
      </c>
      <c r="B276" t="s">
        <v>574</v>
      </c>
      <c r="C276">
        <v>34158</v>
      </c>
      <c r="D276">
        <v>269754</v>
      </c>
      <c r="E276">
        <v>2491852</v>
      </c>
      <c r="F276" t="s">
        <v>35</v>
      </c>
      <c r="G276" t="s">
        <v>15</v>
      </c>
    </row>
    <row r="277" spans="1:7" x14ac:dyDescent="0.2">
      <c r="A277" t="s">
        <v>597</v>
      </c>
      <c r="B277" t="s">
        <v>598</v>
      </c>
      <c r="C277">
        <v>33110</v>
      </c>
      <c r="D277">
        <v>25545</v>
      </c>
      <c r="E277">
        <v>759441</v>
      </c>
      <c r="F277" t="s">
        <v>35</v>
      </c>
      <c r="G277" t="s">
        <v>15</v>
      </c>
    </row>
    <row r="278" spans="1:7" x14ac:dyDescent="0.2">
      <c r="A278" t="s">
        <v>611</v>
      </c>
      <c r="B278" t="s">
        <v>612</v>
      </c>
      <c r="C278">
        <v>32771</v>
      </c>
      <c r="D278">
        <v>757967</v>
      </c>
      <c r="E278">
        <v>4657693</v>
      </c>
      <c r="F278" t="s">
        <v>35</v>
      </c>
      <c r="G278" t="s">
        <v>15</v>
      </c>
    </row>
    <row r="279" spans="1:7" x14ac:dyDescent="0.2">
      <c r="A279" t="s">
        <v>579</v>
      </c>
      <c r="B279" t="s">
        <v>580</v>
      </c>
      <c r="C279">
        <v>31754</v>
      </c>
      <c r="D279">
        <v>112247</v>
      </c>
      <c r="E279">
        <v>1257681</v>
      </c>
      <c r="F279" t="s">
        <v>35</v>
      </c>
      <c r="G279" t="s">
        <v>15</v>
      </c>
    </row>
    <row r="280" spans="1:7" x14ac:dyDescent="0.2">
      <c r="A280" t="s">
        <v>607</v>
      </c>
      <c r="B280" t="s">
        <v>608</v>
      </c>
      <c r="C280">
        <v>30802</v>
      </c>
      <c r="D280">
        <v>51347</v>
      </c>
      <c r="E280">
        <v>263779</v>
      </c>
      <c r="F280" t="s">
        <v>35</v>
      </c>
      <c r="G280" t="s">
        <v>15</v>
      </c>
    </row>
    <row r="281" spans="1:7" x14ac:dyDescent="0.2">
      <c r="A281" t="s">
        <v>617</v>
      </c>
      <c r="B281" t="s">
        <v>618</v>
      </c>
      <c r="C281">
        <v>30463</v>
      </c>
      <c r="D281">
        <v>46470</v>
      </c>
      <c r="E281">
        <v>839849</v>
      </c>
      <c r="F281" t="s">
        <v>35</v>
      </c>
      <c r="G281" t="s">
        <v>15</v>
      </c>
    </row>
    <row r="282" spans="1:7" x14ac:dyDescent="0.2">
      <c r="A282" t="s">
        <v>603</v>
      </c>
      <c r="B282" t="s">
        <v>604</v>
      </c>
      <c r="C282">
        <v>30298</v>
      </c>
      <c r="D282">
        <v>39900</v>
      </c>
      <c r="E282">
        <v>1188431</v>
      </c>
      <c r="F282" t="s">
        <v>35</v>
      </c>
      <c r="G282" t="s">
        <v>15</v>
      </c>
    </row>
    <row r="283" spans="1:7" x14ac:dyDescent="0.2">
      <c r="A283" t="s">
        <v>623</v>
      </c>
      <c r="B283" t="s">
        <v>624</v>
      </c>
      <c r="C283">
        <v>29754</v>
      </c>
      <c r="D283">
        <v>55227</v>
      </c>
      <c r="E283">
        <v>878364</v>
      </c>
      <c r="F283" t="s">
        <v>35</v>
      </c>
      <c r="G283" t="s">
        <v>15</v>
      </c>
    </row>
    <row r="284" spans="1:7" x14ac:dyDescent="0.2">
      <c r="A284" t="s">
        <v>613</v>
      </c>
      <c r="B284" t="s">
        <v>614</v>
      </c>
      <c r="C284">
        <v>29348</v>
      </c>
      <c r="D284">
        <v>78561</v>
      </c>
      <c r="E284">
        <v>1324331</v>
      </c>
      <c r="F284" t="s">
        <v>35</v>
      </c>
      <c r="G284" t="s">
        <v>15</v>
      </c>
    </row>
    <row r="285" spans="1:7" x14ac:dyDescent="0.2">
      <c r="A285" t="s">
        <v>631</v>
      </c>
      <c r="B285" t="s">
        <v>632</v>
      </c>
      <c r="C285">
        <v>29088</v>
      </c>
      <c r="D285">
        <v>50528</v>
      </c>
      <c r="E285">
        <v>664645</v>
      </c>
      <c r="F285" t="s">
        <v>35</v>
      </c>
      <c r="G285" t="s">
        <v>15</v>
      </c>
    </row>
    <row r="286" spans="1:7" x14ac:dyDescent="0.2">
      <c r="A286" t="s">
        <v>641</v>
      </c>
      <c r="B286" t="s">
        <v>642</v>
      </c>
      <c r="C286">
        <v>27439</v>
      </c>
      <c r="D286">
        <v>76717</v>
      </c>
      <c r="E286">
        <v>863336</v>
      </c>
      <c r="F286" t="s">
        <v>35</v>
      </c>
      <c r="G286" t="s">
        <v>15</v>
      </c>
    </row>
    <row r="287" spans="1:7" x14ac:dyDescent="0.2">
      <c r="A287" t="s">
        <v>685</v>
      </c>
      <c r="B287" t="s">
        <v>686</v>
      </c>
      <c r="C287">
        <v>27392</v>
      </c>
      <c r="D287">
        <v>38720</v>
      </c>
      <c r="E287">
        <v>412876</v>
      </c>
      <c r="F287" t="s">
        <v>35</v>
      </c>
      <c r="G287" t="s">
        <v>15</v>
      </c>
    </row>
    <row r="288" spans="1:7" x14ac:dyDescent="0.2">
      <c r="A288" t="s">
        <v>605</v>
      </c>
      <c r="B288" t="s">
        <v>606</v>
      </c>
      <c r="C288">
        <v>27003</v>
      </c>
      <c r="D288">
        <v>106288</v>
      </c>
      <c r="E288">
        <v>1004016</v>
      </c>
      <c r="F288" t="s">
        <v>35</v>
      </c>
      <c r="G288" t="s">
        <v>15</v>
      </c>
    </row>
    <row r="289" spans="1:7" x14ac:dyDescent="0.2">
      <c r="A289" t="s">
        <v>619</v>
      </c>
      <c r="B289" t="s">
        <v>620</v>
      </c>
      <c r="C289">
        <v>26515</v>
      </c>
      <c r="D289">
        <v>35274</v>
      </c>
      <c r="E289">
        <v>558345</v>
      </c>
      <c r="F289" t="s">
        <v>35</v>
      </c>
      <c r="G289" t="s">
        <v>15</v>
      </c>
    </row>
    <row r="290" spans="1:7" x14ac:dyDescent="0.2">
      <c r="A290" t="s">
        <v>629</v>
      </c>
      <c r="B290" t="s">
        <v>630</v>
      </c>
      <c r="C290">
        <v>26515</v>
      </c>
      <c r="D290">
        <v>510922</v>
      </c>
      <c r="E290">
        <v>2964646</v>
      </c>
      <c r="F290" t="s">
        <v>35</v>
      </c>
      <c r="G290" t="s">
        <v>15</v>
      </c>
    </row>
    <row r="291" spans="1:7" x14ac:dyDescent="0.2">
      <c r="A291" t="s">
        <v>627</v>
      </c>
      <c r="B291" t="s">
        <v>628</v>
      </c>
      <c r="C291">
        <v>26391</v>
      </c>
      <c r="D291">
        <v>62999</v>
      </c>
      <c r="E291">
        <v>821156</v>
      </c>
      <c r="F291" t="s">
        <v>35</v>
      </c>
      <c r="G291" t="s">
        <v>15</v>
      </c>
    </row>
    <row r="292" spans="1:7" x14ac:dyDescent="0.2">
      <c r="A292" t="s">
        <v>625</v>
      </c>
      <c r="B292" t="s">
        <v>626</v>
      </c>
      <c r="C292">
        <v>26025</v>
      </c>
      <c r="D292">
        <v>40462</v>
      </c>
      <c r="E292">
        <v>802459</v>
      </c>
      <c r="F292" t="s">
        <v>35</v>
      </c>
      <c r="G292" t="s">
        <v>15</v>
      </c>
    </row>
    <row r="293" spans="1:7" x14ac:dyDescent="0.2">
      <c r="A293" t="s">
        <v>894</v>
      </c>
      <c r="B293" t="s">
        <v>895</v>
      </c>
      <c r="C293">
        <v>24835</v>
      </c>
      <c r="D293">
        <v>35416</v>
      </c>
      <c r="E293">
        <v>660488</v>
      </c>
      <c r="F293" t="s">
        <v>35</v>
      </c>
      <c r="G293" t="s">
        <v>15</v>
      </c>
    </row>
    <row r="294" spans="1:7" x14ac:dyDescent="0.2">
      <c r="A294" t="s">
        <v>896</v>
      </c>
      <c r="B294" t="s">
        <v>897</v>
      </c>
      <c r="C294">
        <v>24690</v>
      </c>
      <c r="D294">
        <v>29424</v>
      </c>
      <c r="E294">
        <v>510647</v>
      </c>
      <c r="F294" t="s">
        <v>35</v>
      </c>
      <c r="G294" t="s">
        <v>15</v>
      </c>
    </row>
    <row r="295" spans="1:7" x14ac:dyDescent="0.2">
      <c r="A295" t="s">
        <v>621</v>
      </c>
      <c r="B295" t="s">
        <v>622</v>
      </c>
      <c r="C295">
        <v>24551</v>
      </c>
      <c r="D295">
        <v>35630</v>
      </c>
      <c r="E295">
        <v>624209</v>
      </c>
      <c r="F295" t="s">
        <v>35</v>
      </c>
      <c r="G295" t="s">
        <v>15</v>
      </c>
    </row>
    <row r="296" spans="1:7" x14ac:dyDescent="0.2">
      <c r="A296" t="s">
        <v>643</v>
      </c>
      <c r="B296" t="s">
        <v>644</v>
      </c>
      <c r="C296">
        <v>24007</v>
      </c>
      <c r="D296">
        <v>776098</v>
      </c>
      <c r="E296">
        <v>3822972</v>
      </c>
      <c r="F296" t="s">
        <v>35</v>
      </c>
      <c r="G296" t="s">
        <v>15</v>
      </c>
    </row>
    <row r="297" spans="1:7" x14ac:dyDescent="0.2">
      <c r="A297" t="s">
        <v>537</v>
      </c>
      <c r="B297" t="s">
        <v>538</v>
      </c>
      <c r="C297">
        <v>23756</v>
      </c>
      <c r="D297">
        <v>37807</v>
      </c>
      <c r="E297">
        <v>612779</v>
      </c>
      <c r="F297" t="s">
        <v>35</v>
      </c>
      <c r="G297" t="s">
        <v>15</v>
      </c>
    </row>
    <row r="298" spans="1:7" x14ac:dyDescent="0.2">
      <c r="A298" t="s">
        <v>581</v>
      </c>
      <c r="B298" t="s">
        <v>582</v>
      </c>
      <c r="C298">
        <v>23545</v>
      </c>
      <c r="D298">
        <v>60262</v>
      </c>
      <c r="E298">
        <v>730268</v>
      </c>
      <c r="F298" t="s">
        <v>35</v>
      </c>
      <c r="G298" t="s">
        <v>15</v>
      </c>
    </row>
    <row r="299" spans="1:7" x14ac:dyDescent="0.2">
      <c r="A299" t="s">
        <v>657</v>
      </c>
      <c r="B299" t="s">
        <v>658</v>
      </c>
      <c r="C299">
        <v>23522</v>
      </c>
      <c r="D299">
        <v>55492</v>
      </c>
      <c r="E299">
        <v>387427</v>
      </c>
      <c r="F299" t="s">
        <v>35</v>
      </c>
      <c r="G299" t="s">
        <v>15</v>
      </c>
    </row>
    <row r="300" spans="1:7" x14ac:dyDescent="0.2">
      <c r="A300" t="s">
        <v>575</v>
      </c>
      <c r="B300" t="s">
        <v>576</v>
      </c>
      <c r="C300">
        <v>23115</v>
      </c>
      <c r="D300">
        <v>153703</v>
      </c>
      <c r="E300">
        <v>1255337</v>
      </c>
      <c r="F300" t="s">
        <v>35</v>
      </c>
      <c r="G300" t="s">
        <v>15</v>
      </c>
    </row>
    <row r="301" spans="1:7" x14ac:dyDescent="0.2">
      <c r="A301" t="s">
        <v>637</v>
      </c>
      <c r="B301" t="s">
        <v>638</v>
      </c>
      <c r="C301">
        <v>22484</v>
      </c>
      <c r="D301">
        <v>99922</v>
      </c>
      <c r="E301">
        <v>935984</v>
      </c>
      <c r="F301" t="s">
        <v>35</v>
      </c>
      <c r="G301" t="s">
        <v>15</v>
      </c>
    </row>
    <row r="302" spans="1:7" x14ac:dyDescent="0.2">
      <c r="A302" t="s">
        <v>663</v>
      </c>
      <c r="B302" t="s">
        <v>664</v>
      </c>
      <c r="C302">
        <v>22399</v>
      </c>
      <c r="D302">
        <v>885734</v>
      </c>
      <c r="E302">
        <v>4414085</v>
      </c>
      <c r="F302" t="s">
        <v>35</v>
      </c>
      <c r="G302" t="s">
        <v>15</v>
      </c>
    </row>
    <row r="303" spans="1:7" x14ac:dyDescent="0.2">
      <c r="A303" t="s">
        <v>639</v>
      </c>
      <c r="B303" t="s">
        <v>640</v>
      </c>
      <c r="C303">
        <v>22297</v>
      </c>
      <c r="D303">
        <v>76131</v>
      </c>
      <c r="E303">
        <v>812558</v>
      </c>
      <c r="F303" t="s">
        <v>35</v>
      </c>
      <c r="G303" t="s">
        <v>15</v>
      </c>
    </row>
    <row r="304" spans="1:7" x14ac:dyDescent="0.2">
      <c r="A304" t="s">
        <v>659</v>
      </c>
      <c r="B304" t="s">
        <v>660</v>
      </c>
      <c r="C304">
        <v>20747</v>
      </c>
      <c r="D304">
        <v>185458</v>
      </c>
      <c r="E304">
        <v>2907535</v>
      </c>
      <c r="F304" t="s">
        <v>35</v>
      </c>
      <c r="G304" t="s">
        <v>15</v>
      </c>
    </row>
    <row r="305" spans="1:7" x14ac:dyDescent="0.2">
      <c r="A305" t="s">
        <v>647</v>
      </c>
      <c r="B305" t="s">
        <v>648</v>
      </c>
      <c r="C305">
        <v>20039</v>
      </c>
      <c r="D305">
        <v>31712</v>
      </c>
      <c r="E305">
        <v>512370</v>
      </c>
      <c r="F305" t="s">
        <v>35</v>
      </c>
      <c r="G305" t="s">
        <v>15</v>
      </c>
    </row>
    <row r="306" spans="1:7" x14ac:dyDescent="0.2">
      <c r="A306" t="s">
        <v>651</v>
      </c>
      <c r="B306" t="s">
        <v>652</v>
      </c>
      <c r="C306">
        <v>19903</v>
      </c>
      <c r="D306">
        <v>129396</v>
      </c>
      <c r="E306">
        <v>893294</v>
      </c>
      <c r="F306" t="s">
        <v>35</v>
      </c>
      <c r="G306" t="s">
        <v>15</v>
      </c>
    </row>
    <row r="307" spans="1:7" x14ac:dyDescent="0.2">
      <c r="A307" t="s">
        <v>898</v>
      </c>
      <c r="B307" t="s">
        <v>650</v>
      </c>
      <c r="C307">
        <v>18824</v>
      </c>
      <c r="D307">
        <v>161500</v>
      </c>
      <c r="E307">
        <v>1122944</v>
      </c>
      <c r="F307" t="s">
        <v>35</v>
      </c>
      <c r="G307" t="s">
        <v>15</v>
      </c>
    </row>
    <row r="308" spans="1:7" x14ac:dyDescent="0.2">
      <c r="A308" t="s">
        <v>609</v>
      </c>
      <c r="B308" t="s">
        <v>610</v>
      </c>
      <c r="C308">
        <v>18453</v>
      </c>
      <c r="D308">
        <v>50411</v>
      </c>
      <c r="E308">
        <v>2333681</v>
      </c>
      <c r="F308" t="s">
        <v>35</v>
      </c>
      <c r="G308" t="s">
        <v>15</v>
      </c>
    </row>
    <row r="309" spans="1:7" x14ac:dyDescent="0.2">
      <c r="A309" t="s">
        <v>653</v>
      </c>
      <c r="B309" t="s">
        <v>654</v>
      </c>
      <c r="C309">
        <v>18242</v>
      </c>
      <c r="D309">
        <v>86797</v>
      </c>
      <c r="E309">
        <v>759524</v>
      </c>
      <c r="F309" t="s">
        <v>35</v>
      </c>
      <c r="G309" t="s">
        <v>15</v>
      </c>
    </row>
    <row r="310" spans="1:7" x14ac:dyDescent="0.2">
      <c r="A310" t="s">
        <v>671</v>
      </c>
      <c r="B310" t="s">
        <v>672</v>
      </c>
      <c r="C310">
        <v>17634</v>
      </c>
      <c r="D310">
        <v>62477</v>
      </c>
      <c r="E310">
        <v>554024</v>
      </c>
      <c r="F310" t="s">
        <v>35</v>
      </c>
      <c r="G310" t="s">
        <v>15</v>
      </c>
    </row>
    <row r="311" spans="1:7" x14ac:dyDescent="0.2">
      <c r="A311" t="s">
        <v>661</v>
      </c>
      <c r="B311" t="s">
        <v>662</v>
      </c>
      <c r="C311">
        <v>17431</v>
      </c>
      <c r="D311">
        <v>42609</v>
      </c>
      <c r="E311">
        <v>567846</v>
      </c>
      <c r="F311" t="s">
        <v>35</v>
      </c>
      <c r="G311" t="s">
        <v>15</v>
      </c>
    </row>
    <row r="312" spans="1:7" x14ac:dyDescent="0.2">
      <c r="A312" t="s">
        <v>645</v>
      </c>
      <c r="B312" t="s">
        <v>646</v>
      </c>
      <c r="C312">
        <v>17066</v>
      </c>
      <c r="D312">
        <v>56341</v>
      </c>
      <c r="E312">
        <v>585137</v>
      </c>
      <c r="F312" t="s">
        <v>35</v>
      </c>
      <c r="G312" t="s">
        <v>15</v>
      </c>
    </row>
    <row r="313" spans="1:7" x14ac:dyDescent="0.2">
      <c r="A313" t="s">
        <v>681</v>
      </c>
      <c r="B313" t="s">
        <v>682</v>
      </c>
      <c r="C313">
        <v>16809</v>
      </c>
      <c r="D313">
        <v>54485</v>
      </c>
      <c r="E313">
        <v>460352</v>
      </c>
      <c r="F313" t="s">
        <v>35</v>
      </c>
      <c r="G313" t="s">
        <v>15</v>
      </c>
    </row>
    <row r="314" spans="1:7" x14ac:dyDescent="0.2">
      <c r="A314" t="s">
        <v>669</v>
      </c>
      <c r="B314" t="s">
        <v>670</v>
      </c>
      <c r="C314">
        <v>16141</v>
      </c>
      <c r="D314">
        <v>579018</v>
      </c>
      <c r="E314">
        <v>3209490</v>
      </c>
      <c r="F314" t="s">
        <v>35</v>
      </c>
      <c r="G314" t="s">
        <v>15</v>
      </c>
    </row>
    <row r="315" spans="1:7" x14ac:dyDescent="0.2">
      <c r="A315" t="s">
        <v>679</v>
      </c>
      <c r="B315" t="s">
        <v>680</v>
      </c>
      <c r="C315">
        <v>16136</v>
      </c>
      <c r="D315">
        <v>131592</v>
      </c>
      <c r="E315">
        <v>1017356</v>
      </c>
      <c r="F315" t="s">
        <v>35</v>
      </c>
      <c r="G315" t="s">
        <v>15</v>
      </c>
    </row>
    <row r="316" spans="1:7" x14ac:dyDescent="0.2">
      <c r="A316" t="s">
        <v>655</v>
      </c>
      <c r="B316" t="s">
        <v>656</v>
      </c>
      <c r="C316">
        <v>15951</v>
      </c>
      <c r="D316">
        <v>79159</v>
      </c>
      <c r="E316">
        <v>651893</v>
      </c>
      <c r="F316" t="s">
        <v>35</v>
      </c>
      <c r="G316" t="s">
        <v>15</v>
      </c>
    </row>
    <row r="317" spans="1:7" x14ac:dyDescent="0.2">
      <c r="A317" t="s">
        <v>673</v>
      </c>
      <c r="B317" t="s">
        <v>674</v>
      </c>
      <c r="C317">
        <v>15797</v>
      </c>
      <c r="D317">
        <v>168149</v>
      </c>
      <c r="E317">
        <v>1201779</v>
      </c>
      <c r="F317" t="s">
        <v>35</v>
      </c>
      <c r="G317" t="s">
        <v>15</v>
      </c>
    </row>
    <row r="318" spans="1:7" x14ac:dyDescent="0.2">
      <c r="A318" t="s">
        <v>677</v>
      </c>
      <c r="B318" t="s">
        <v>678</v>
      </c>
      <c r="C318">
        <v>14901</v>
      </c>
      <c r="D318">
        <v>92066</v>
      </c>
      <c r="E318">
        <v>724172</v>
      </c>
      <c r="F318" t="s">
        <v>35</v>
      </c>
      <c r="G318" t="s">
        <v>15</v>
      </c>
    </row>
    <row r="319" spans="1:7" x14ac:dyDescent="0.2">
      <c r="A319" t="s">
        <v>695</v>
      </c>
      <c r="B319" t="s">
        <v>696</v>
      </c>
      <c r="C319">
        <v>14733</v>
      </c>
      <c r="D319">
        <v>71441</v>
      </c>
      <c r="E319">
        <v>675392</v>
      </c>
      <c r="F319" t="s">
        <v>35</v>
      </c>
      <c r="G319" t="s">
        <v>15</v>
      </c>
    </row>
    <row r="320" spans="1:7" x14ac:dyDescent="0.2">
      <c r="A320" t="s">
        <v>693</v>
      </c>
      <c r="B320" t="s">
        <v>694</v>
      </c>
      <c r="C320">
        <v>14601</v>
      </c>
      <c r="D320">
        <v>44044</v>
      </c>
      <c r="E320">
        <v>442407</v>
      </c>
      <c r="F320" t="s">
        <v>35</v>
      </c>
      <c r="G320" t="s">
        <v>15</v>
      </c>
    </row>
    <row r="321" spans="1:7" x14ac:dyDescent="0.2">
      <c r="A321" t="s">
        <v>635</v>
      </c>
      <c r="B321" t="s">
        <v>636</v>
      </c>
      <c r="C321">
        <v>14338</v>
      </c>
      <c r="D321">
        <v>64050</v>
      </c>
      <c r="E321">
        <v>549773</v>
      </c>
      <c r="F321" t="s">
        <v>35</v>
      </c>
      <c r="G321" t="s">
        <v>15</v>
      </c>
    </row>
    <row r="322" spans="1:7" x14ac:dyDescent="0.2">
      <c r="A322" t="s">
        <v>675</v>
      </c>
      <c r="B322" t="s">
        <v>676</v>
      </c>
      <c r="C322">
        <v>14323</v>
      </c>
      <c r="D322">
        <v>73191</v>
      </c>
      <c r="E322">
        <v>620562</v>
      </c>
      <c r="F322" t="s">
        <v>35</v>
      </c>
      <c r="G322" t="s">
        <v>15</v>
      </c>
    </row>
    <row r="323" spans="1:7" x14ac:dyDescent="0.2">
      <c r="A323" t="s">
        <v>705</v>
      </c>
      <c r="B323" t="s">
        <v>706</v>
      </c>
      <c r="C323">
        <v>13585</v>
      </c>
      <c r="D323">
        <v>96007</v>
      </c>
      <c r="E323">
        <v>704609</v>
      </c>
      <c r="F323" t="s">
        <v>35</v>
      </c>
      <c r="G323" t="s">
        <v>15</v>
      </c>
    </row>
    <row r="324" spans="1:7" x14ac:dyDescent="0.2">
      <c r="A324" t="s">
        <v>699</v>
      </c>
      <c r="B324" t="s">
        <v>700</v>
      </c>
      <c r="C324">
        <v>13328</v>
      </c>
      <c r="D324">
        <v>48061</v>
      </c>
      <c r="E324">
        <v>336631</v>
      </c>
      <c r="F324" t="s">
        <v>35</v>
      </c>
      <c r="G324" t="s">
        <v>15</v>
      </c>
    </row>
    <row r="325" spans="1:7" x14ac:dyDescent="0.2">
      <c r="A325" t="s">
        <v>719</v>
      </c>
      <c r="B325" t="s">
        <v>720</v>
      </c>
      <c r="C325">
        <v>13058</v>
      </c>
      <c r="D325">
        <v>613641</v>
      </c>
      <c r="E325">
        <v>3391370</v>
      </c>
      <c r="F325" t="s">
        <v>35</v>
      </c>
      <c r="G325" t="s">
        <v>15</v>
      </c>
    </row>
    <row r="326" spans="1:7" x14ac:dyDescent="0.2">
      <c r="A326" t="s">
        <v>691</v>
      </c>
      <c r="B326" t="s">
        <v>692</v>
      </c>
      <c r="C326">
        <v>13046</v>
      </c>
      <c r="D326">
        <v>66101</v>
      </c>
      <c r="E326">
        <v>540430</v>
      </c>
      <c r="F326" t="s">
        <v>35</v>
      </c>
      <c r="G326" t="s">
        <v>15</v>
      </c>
    </row>
    <row r="327" spans="1:7" x14ac:dyDescent="0.2">
      <c r="A327" t="s">
        <v>713</v>
      </c>
      <c r="B327" t="s">
        <v>714</v>
      </c>
      <c r="C327">
        <v>12972</v>
      </c>
      <c r="D327">
        <v>99408</v>
      </c>
      <c r="E327">
        <v>797367</v>
      </c>
      <c r="F327" t="s">
        <v>35</v>
      </c>
      <c r="G327" t="s">
        <v>15</v>
      </c>
    </row>
    <row r="328" spans="1:7" x14ac:dyDescent="0.2">
      <c r="A328" t="s">
        <v>689</v>
      </c>
      <c r="B328" t="s">
        <v>690</v>
      </c>
      <c r="C328">
        <v>12682</v>
      </c>
      <c r="D328">
        <v>48997</v>
      </c>
      <c r="E328">
        <v>527431</v>
      </c>
      <c r="F328" t="s">
        <v>35</v>
      </c>
      <c r="G328" t="s">
        <v>15</v>
      </c>
    </row>
    <row r="329" spans="1:7" x14ac:dyDescent="0.2">
      <c r="A329" t="s">
        <v>703</v>
      </c>
      <c r="B329" t="s">
        <v>704</v>
      </c>
      <c r="C329">
        <v>11848</v>
      </c>
      <c r="D329">
        <v>48563</v>
      </c>
      <c r="E329">
        <v>558048</v>
      </c>
      <c r="F329" t="s">
        <v>35</v>
      </c>
      <c r="G329" t="s">
        <v>15</v>
      </c>
    </row>
    <row r="330" spans="1:7" x14ac:dyDescent="0.2">
      <c r="A330" t="s">
        <v>837</v>
      </c>
      <c r="B330" t="s">
        <v>838</v>
      </c>
      <c r="C330">
        <v>11771</v>
      </c>
      <c r="D330">
        <v>78631</v>
      </c>
      <c r="E330">
        <v>584115</v>
      </c>
      <c r="F330" t="s">
        <v>35</v>
      </c>
      <c r="G330" t="s">
        <v>15</v>
      </c>
    </row>
    <row r="331" spans="1:7" x14ac:dyDescent="0.2">
      <c r="A331" t="s">
        <v>741</v>
      </c>
      <c r="B331" t="s">
        <v>742</v>
      </c>
      <c r="C331">
        <v>11625</v>
      </c>
      <c r="D331">
        <v>76279</v>
      </c>
      <c r="E331">
        <v>627855</v>
      </c>
      <c r="F331" t="s">
        <v>35</v>
      </c>
      <c r="G331" t="s">
        <v>15</v>
      </c>
    </row>
    <row r="332" spans="1:7" x14ac:dyDescent="0.2">
      <c r="A332" t="s">
        <v>717</v>
      </c>
      <c r="B332" t="s">
        <v>718</v>
      </c>
      <c r="C332">
        <v>11610</v>
      </c>
      <c r="D332">
        <v>102398</v>
      </c>
      <c r="E332">
        <v>767016</v>
      </c>
      <c r="F332" t="s">
        <v>35</v>
      </c>
      <c r="G332" t="s">
        <v>15</v>
      </c>
    </row>
    <row r="333" spans="1:7" x14ac:dyDescent="0.2">
      <c r="A333" t="s">
        <v>687</v>
      </c>
      <c r="B333" t="s">
        <v>688</v>
      </c>
      <c r="C333">
        <v>11298</v>
      </c>
      <c r="D333">
        <v>110906</v>
      </c>
      <c r="E333">
        <v>846768</v>
      </c>
      <c r="F333" t="s">
        <v>35</v>
      </c>
      <c r="G333" t="s">
        <v>15</v>
      </c>
    </row>
    <row r="334" spans="1:7" x14ac:dyDescent="0.2">
      <c r="A334" t="s">
        <v>697</v>
      </c>
      <c r="B334" t="s">
        <v>698</v>
      </c>
      <c r="C334">
        <v>10999</v>
      </c>
      <c r="D334">
        <v>105301</v>
      </c>
      <c r="E334">
        <v>740577</v>
      </c>
      <c r="F334" t="s">
        <v>35</v>
      </c>
      <c r="G334" t="s">
        <v>15</v>
      </c>
    </row>
    <row r="335" spans="1:7" x14ac:dyDescent="0.2">
      <c r="A335" t="s">
        <v>715</v>
      </c>
      <c r="B335" t="s">
        <v>716</v>
      </c>
      <c r="C335">
        <v>10769</v>
      </c>
      <c r="D335">
        <v>65084</v>
      </c>
      <c r="E335">
        <v>581846</v>
      </c>
      <c r="F335" t="s">
        <v>35</v>
      </c>
      <c r="G335" t="s">
        <v>15</v>
      </c>
    </row>
    <row r="336" spans="1:7" x14ac:dyDescent="0.2">
      <c r="A336" t="s">
        <v>733</v>
      </c>
      <c r="B336" t="s">
        <v>734</v>
      </c>
      <c r="C336">
        <v>10698</v>
      </c>
      <c r="D336">
        <v>73899</v>
      </c>
      <c r="E336">
        <v>562930</v>
      </c>
      <c r="F336" t="s">
        <v>35</v>
      </c>
      <c r="G336" t="s">
        <v>15</v>
      </c>
    </row>
    <row r="337" spans="1:7" x14ac:dyDescent="0.2">
      <c r="A337" t="s">
        <v>721</v>
      </c>
      <c r="B337" t="s">
        <v>722</v>
      </c>
      <c r="C337">
        <v>10493</v>
      </c>
      <c r="D337">
        <v>63040</v>
      </c>
      <c r="E337">
        <v>517189</v>
      </c>
      <c r="F337" t="s">
        <v>35</v>
      </c>
      <c r="G337" t="s">
        <v>15</v>
      </c>
    </row>
    <row r="338" spans="1:7" x14ac:dyDescent="0.2">
      <c r="A338" t="s">
        <v>723</v>
      </c>
      <c r="B338" t="s">
        <v>724</v>
      </c>
      <c r="C338">
        <v>10475</v>
      </c>
      <c r="D338">
        <v>439003</v>
      </c>
      <c r="E338">
        <v>2468442</v>
      </c>
      <c r="F338" t="s">
        <v>35</v>
      </c>
      <c r="G338" t="s">
        <v>15</v>
      </c>
    </row>
    <row r="339" spans="1:7" x14ac:dyDescent="0.2">
      <c r="A339" t="s">
        <v>701</v>
      </c>
      <c r="B339" t="s">
        <v>702</v>
      </c>
      <c r="C339">
        <v>10175</v>
      </c>
      <c r="D339">
        <v>55801</v>
      </c>
      <c r="E339">
        <v>399531</v>
      </c>
      <c r="F339" t="s">
        <v>35</v>
      </c>
      <c r="G339" t="s">
        <v>15</v>
      </c>
    </row>
    <row r="340" spans="1:7" x14ac:dyDescent="0.2">
      <c r="A340" t="s">
        <v>711</v>
      </c>
      <c r="B340" t="s">
        <v>712</v>
      </c>
      <c r="C340">
        <v>10046</v>
      </c>
      <c r="D340">
        <v>179604</v>
      </c>
      <c r="E340">
        <v>1149016</v>
      </c>
      <c r="F340" t="s">
        <v>35</v>
      </c>
      <c r="G340" t="s">
        <v>15</v>
      </c>
    </row>
    <row r="341" spans="1:7" x14ac:dyDescent="0.2">
      <c r="A341" t="s">
        <v>735</v>
      </c>
      <c r="B341" t="s">
        <v>736</v>
      </c>
      <c r="C341">
        <v>9428</v>
      </c>
      <c r="D341">
        <v>41388</v>
      </c>
      <c r="E341">
        <v>343615</v>
      </c>
      <c r="F341" t="s">
        <v>35</v>
      </c>
      <c r="G341" t="s">
        <v>15</v>
      </c>
    </row>
    <row r="342" spans="1:7" x14ac:dyDescent="0.2">
      <c r="A342" t="s">
        <v>667</v>
      </c>
      <c r="B342" t="s">
        <v>668</v>
      </c>
      <c r="C342">
        <v>8963</v>
      </c>
      <c r="D342">
        <v>105077</v>
      </c>
      <c r="E342">
        <v>678165</v>
      </c>
      <c r="F342" t="s">
        <v>35</v>
      </c>
      <c r="G342" t="s">
        <v>15</v>
      </c>
    </row>
    <row r="343" spans="1:7" x14ac:dyDescent="0.2">
      <c r="A343" t="s">
        <v>729</v>
      </c>
      <c r="B343" t="s">
        <v>730</v>
      </c>
      <c r="C343">
        <v>8919</v>
      </c>
      <c r="D343">
        <v>82947</v>
      </c>
      <c r="E343">
        <v>591664</v>
      </c>
      <c r="F343" t="s">
        <v>35</v>
      </c>
      <c r="G343" t="s">
        <v>15</v>
      </c>
    </row>
    <row r="344" spans="1:7" x14ac:dyDescent="0.2">
      <c r="A344" t="s">
        <v>731</v>
      </c>
      <c r="B344" t="s">
        <v>732</v>
      </c>
      <c r="C344">
        <v>8877</v>
      </c>
      <c r="D344">
        <v>66416</v>
      </c>
      <c r="E344">
        <v>468888</v>
      </c>
      <c r="F344" t="s">
        <v>35</v>
      </c>
      <c r="G344" t="s">
        <v>15</v>
      </c>
    </row>
    <row r="345" spans="1:7" x14ac:dyDescent="0.2">
      <c r="A345" t="s">
        <v>747</v>
      </c>
      <c r="B345" t="s">
        <v>748</v>
      </c>
      <c r="C345">
        <v>8040</v>
      </c>
      <c r="D345">
        <v>127165</v>
      </c>
      <c r="E345">
        <v>979653</v>
      </c>
      <c r="F345" t="s">
        <v>35</v>
      </c>
      <c r="G345" t="s">
        <v>15</v>
      </c>
    </row>
    <row r="346" spans="1:7" x14ac:dyDescent="0.2">
      <c r="A346" t="s">
        <v>737</v>
      </c>
      <c r="B346" t="s">
        <v>738</v>
      </c>
      <c r="C346">
        <v>7984</v>
      </c>
      <c r="D346">
        <v>92944</v>
      </c>
      <c r="E346">
        <v>620493</v>
      </c>
      <c r="F346" t="s">
        <v>35</v>
      </c>
      <c r="G346" t="s">
        <v>15</v>
      </c>
    </row>
    <row r="347" spans="1:7" x14ac:dyDescent="0.2">
      <c r="A347" t="s">
        <v>769</v>
      </c>
      <c r="B347" t="s">
        <v>770</v>
      </c>
      <c r="C347">
        <v>7817</v>
      </c>
      <c r="D347">
        <v>513958</v>
      </c>
      <c r="E347">
        <v>3368307</v>
      </c>
      <c r="F347" t="s">
        <v>35</v>
      </c>
      <c r="G347" t="s">
        <v>15</v>
      </c>
    </row>
    <row r="348" spans="1:7" x14ac:dyDescent="0.2">
      <c r="A348" t="s">
        <v>751</v>
      </c>
      <c r="B348" t="s">
        <v>752</v>
      </c>
      <c r="C348">
        <v>7769</v>
      </c>
      <c r="D348">
        <v>52876</v>
      </c>
      <c r="E348">
        <v>1643823</v>
      </c>
      <c r="F348" t="s">
        <v>35</v>
      </c>
      <c r="G348" t="s">
        <v>15</v>
      </c>
    </row>
    <row r="349" spans="1:7" x14ac:dyDescent="0.2">
      <c r="A349" t="s">
        <v>739</v>
      </c>
      <c r="B349" t="s">
        <v>740</v>
      </c>
      <c r="C349">
        <v>7760</v>
      </c>
      <c r="D349">
        <v>42483</v>
      </c>
      <c r="E349">
        <v>393336</v>
      </c>
      <c r="F349" t="s">
        <v>35</v>
      </c>
      <c r="G349" t="s">
        <v>15</v>
      </c>
    </row>
    <row r="350" spans="1:7" x14ac:dyDescent="0.2">
      <c r="A350" t="s">
        <v>745</v>
      </c>
      <c r="B350" t="s">
        <v>746</v>
      </c>
      <c r="C350">
        <v>7651</v>
      </c>
      <c r="D350">
        <v>64858</v>
      </c>
      <c r="E350">
        <v>492540</v>
      </c>
      <c r="F350" t="s">
        <v>35</v>
      </c>
      <c r="G350" t="s">
        <v>15</v>
      </c>
    </row>
    <row r="351" spans="1:7" x14ac:dyDescent="0.2">
      <c r="A351" t="s">
        <v>743</v>
      </c>
      <c r="B351" t="s">
        <v>744</v>
      </c>
      <c r="C351">
        <v>7415</v>
      </c>
      <c r="D351">
        <v>49650</v>
      </c>
      <c r="E351">
        <v>377436</v>
      </c>
      <c r="F351" t="s">
        <v>35</v>
      </c>
      <c r="G351" t="s">
        <v>15</v>
      </c>
    </row>
    <row r="352" spans="1:7" x14ac:dyDescent="0.2">
      <c r="A352" t="s">
        <v>749</v>
      </c>
      <c r="B352" t="s">
        <v>750</v>
      </c>
      <c r="C352">
        <v>7376</v>
      </c>
      <c r="D352">
        <v>168913</v>
      </c>
      <c r="E352">
        <v>1465660</v>
      </c>
      <c r="F352" t="s">
        <v>35</v>
      </c>
      <c r="G352" t="s">
        <v>15</v>
      </c>
    </row>
    <row r="353" spans="1:7" x14ac:dyDescent="0.2">
      <c r="A353" t="s">
        <v>757</v>
      </c>
      <c r="B353" t="s">
        <v>758</v>
      </c>
      <c r="C353">
        <v>6599</v>
      </c>
      <c r="D353">
        <v>81436</v>
      </c>
      <c r="E353">
        <v>503632</v>
      </c>
      <c r="F353" t="s">
        <v>35</v>
      </c>
      <c r="G353" t="s">
        <v>15</v>
      </c>
    </row>
    <row r="354" spans="1:7" x14ac:dyDescent="0.2">
      <c r="A354" t="s">
        <v>763</v>
      </c>
      <c r="B354" t="s">
        <v>764</v>
      </c>
      <c r="C354">
        <v>6594</v>
      </c>
      <c r="D354">
        <v>75432</v>
      </c>
      <c r="E354">
        <v>526235</v>
      </c>
      <c r="F354" t="s">
        <v>35</v>
      </c>
      <c r="G354" t="s">
        <v>15</v>
      </c>
    </row>
    <row r="355" spans="1:7" x14ac:dyDescent="0.2">
      <c r="A355" t="s">
        <v>753</v>
      </c>
      <c r="B355" t="s">
        <v>754</v>
      </c>
      <c r="C355">
        <v>6524</v>
      </c>
      <c r="D355">
        <v>65277</v>
      </c>
      <c r="E355">
        <v>455842</v>
      </c>
      <c r="F355" t="s">
        <v>35</v>
      </c>
      <c r="G355" t="s">
        <v>15</v>
      </c>
    </row>
    <row r="356" spans="1:7" x14ac:dyDescent="0.2">
      <c r="A356" t="s">
        <v>755</v>
      </c>
      <c r="B356" t="s">
        <v>756</v>
      </c>
      <c r="C356">
        <v>6296</v>
      </c>
      <c r="D356">
        <v>114969</v>
      </c>
      <c r="E356">
        <v>1348594</v>
      </c>
      <c r="F356" t="s">
        <v>35</v>
      </c>
      <c r="G356" t="s">
        <v>15</v>
      </c>
    </row>
    <row r="357" spans="1:7" x14ac:dyDescent="0.2">
      <c r="A357" t="s">
        <v>709</v>
      </c>
      <c r="B357" t="s">
        <v>710</v>
      </c>
      <c r="C357">
        <v>6228</v>
      </c>
      <c r="D357">
        <v>62054</v>
      </c>
      <c r="E357">
        <v>493137</v>
      </c>
      <c r="F357" t="s">
        <v>35</v>
      </c>
      <c r="G357" t="s">
        <v>15</v>
      </c>
    </row>
    <row r="358" spans="1:7" x14ac:dyDescent="0.2">
      <c r="A358" t="s">
        <v>759</v>
      </c>
      <c r="B358" t="s">
        <v>760</v>
      </c>
      <c r="C358">
        <v>6178</v>
      </c>
      <c r="D358">
        <v>355706</v>
      </c>
      <c r="E358">
        <v>1712717</v>
      </c>
      <c r="F358" t="s">
        <v>35</v>
      </c>
      <c r="G358" t="s">
        <v>15</v>
      </c>
    </row>
    <row r="359" spans="1:7" x14ac:dyDescent="0.2">
      <c r="A359" t="s">
        <v>783</v>
      </c>
      <c r="B359" t="s">
        <v>784</v>
      </c>
      <c r="C359">
        <v>5896</v>
      </c>
      <c r="D359">
        <v>268523</v>
      </c>
      <c r="E359">
        <v>1546841</v>
      </c>
      <c r="F359" t="s">
        <v>35</v>
      </c>
      <c r="G359" t="s">
        <v>15</v>
      </c>
    </row>
    <row r="360" spans="1:7" x14ac:dyDescent="0.2">
      <c r="A360" t="s">
        <v>899</v>
      </c>
      <c r="B360" t="s">
        <v>900</v>
      </c>
      <c r="C360">
        <v>5680</v>
      </c>
      <c r="D360">
        <v>1668140</v>
      </c>
      <c r="E360">
        <v>8894683</v>
      </c>
      <c r="F360" t="s">
        <v>35</v>
      </c>
      <c r="G360" t="s">
        <v>15</v>
      </c>
    </row>
    <row r="361" spans="1:7" x14ac:dyDescent="0.2">
      <c r="A361" t="s">
        <v>767</v>
      </c>
      <c r="B361" t="s">
        <v>768</v>
      </c>
      <c r="C361">
        <v>5510</v>
      </c>
      <c r="D361">
        <v>53119</v>
      </c>
      <c r="E361">
        <v>366175</v>
      </c>
      <c r="F361" t="s">
        <v>35</v>
      </c>
      <c r="G361" t="s">
        <v>15</v>
      </c>
    </row>
    <row r="362" spans="1:7" x14ac:dyDescent="0.2">
      <c r="A362" t="s">
        <v>765</v>
      </c>
      <c r="B362" t="s">
        <v>766</v>
      </c>
      <c r="C362">
        <v>5349</v>
      </c>
      <c r="D362">
        <v>105331</v>
      </c>
      <c r="E362">
        <v>666832</v>
      </c>
      <c r="F362" t="s">
        <v>35</v>
      </c>
      <c r="G362" t="s">
        <v>15</v>
      </c>
    </row>
    <row r="363" spans="1:7" x14ac:dyDescent="0.2">
      <c r="A363" t="s">
        <v>777</v>
      </c>
      <c r="B363" t="s">
        <v>778</v>
      </c>
      <c r="C363">
        <v>5275</v>
      </c>
      <c r="D363">
        <v>182626</v>
      </c>
      <c r="E363">
        <v>1014278</v>
      </c>
      <c r="F363" t="s">
        <v>35</v>
      </c>
      <c r="G363" t="s">
        <v>15</v>
      </c>
    </row>
    <row r="364" spans="1:7" x14ac:dyDescent="0.2">
      <c r="A364" t="s">
        <v>775</v>
      </c>
      <c r="B364" t="s">
        <v>776</v>
      </c>
      <c r="C364">
        <v>4952</v>
      </c>
      <c r="D364">
        <v>58505</v>
      </c>
      <c r="E364">
        <v>389468</v>
      </c>
      <c r="F364" t="s">
        <v>35</v>
      </c>
      <c r="G364" t="s">
        <v>15</v>
      </c>
    </row>
    <row r="365" spans="1:7" x14ac:dyDescent="0.2">
      <c r="A365" t="s">
        <v>773</v>
      </c>
      <c r="B365" t="s">
        <v>774</v>
      </c>
      <c r="C365">
        <v>4817</v>
      </c>
      <c r="D365">
        <v>47775</v>
      </c>
      <c r="E365">
        <v>327689</v>
      </c>
      <c r="F365" t="s">
        <v>35</v>
      </c>
      <c r="G365" t="s">
        <v>15</v>
      </c>
    </row>
    <row r="366" spans="1:7" x14ac:dyDescent="0.2">
      <c r="A366" t="s">
        <v>791</v>
      </c>
      <c r="B366" t="s">
        <v>792</v>
      </c>
      <c r="C366">
        <v>4341</v>
      </c>
      <c r="D366">
        <v>233633</v>
      </c>
      <c r="E366">
        <v>1362939</v>
      </c>
      <c r="F366" t="s">
        <v>35</v>
      </c>
      <c r="G366" t="s">
        <v>15</v>
      </c>
    </row>
    <row r="367" spans="1:7" x14ac:dyDescent="0.2">
      <c r="A367" t="s">
        <v>779</v>
      </c>
      <c r="B367" t="s">
        <v>780</v>
      </c>
      <c r="C367">
        <v>4329</v>
      </c>
      <c r="D367">
        <v>47165</v>
      </c>
      <c r="E367">
        <v>297880</v>
      </c>
      <c r="F367" t="s">
        <v>35</v>
      </c>
      <c r="G367" t="s">
        <v>15</v>
      </c>
    </row>
    <row r="368" spans="1:7" x14ac:dyDescent="0.2">
      <c r="A368" t="s">
        <v>781</v>
      </c>
      <c r="B368" t="s">
        <v>782</v>
      </c>
      <c r="C368">
        <v>4074</v>
      </c>
      <c r="D368">
        <v>56452</v>
      </c>
      <c r="E368">
        <v>334271</v>
      </c>
      <c r="F368" t="s">
        <v>35</v>
      </c>
      <c r="G368" t="s">
        <v>15</v>
      </c>
    </row>
    <row r="369" spans="1:7" x14ac:dyDescent="0.2">
      <c r="A369" t="s">
        <v>789</v>
      </c>
      <c r="B369" t="s">
        <v>790</v>
      </c>
      <c r="C369">
        <v>3478</v>
      </c>
      <c r="D369">
        <v>106344</v>
      </c>
      <c r="E369">
        <v>1536157</v>
      </c>
      <c r="F369" t="s">
        <v>35</v>
      </c>
      <c r="G369" t="s">
        <v>15</v>
      </c>
    </row>
    <row r="370" spans="1:7" x14ac:dyDescent="0.2">
      <c r="A370" t="s">
        <v>787</v>
      </c>
      <c r="B370" t="s">
        <v>788</v>
      </c>
      <c r="C370">
        <v>3370</v>
      </c>
      <c r="D370">
        <v>118951</v>
      </c>
      <c r="E370">
        <v>633311</v>
      </c>
      <c r="F370" t="s">
        <v>35</v>
      </c>
      <c r="G370" t="s">
        <v>15</v>
      </c>
    </row>
    <row r="371" spans="1:7" x14ac:dyDescent="0.2">
      <c r="A371" t="s">
        <v>803</v>
      </c>
      <c r="B371" t="s">
        <v>804</v>
      </c>
      <c r="C371">
        <v>3210</v>
      </c>
      <c r="D371">
        <v>73223</v>
      </c>
      <c r="E371">
        <v>409011</v>
      </c>
      <c r="F371" t="s">
        <v>35</v>
      </c>
      <c r="G371" t="s">
        <v>15</v>
      </c>
    </row>
    <row r="372" spans="1:7" x14ac:dyDescent="0.2">
      <c r="A372" t="s">
        <v>793</v>
      </c>
      <c r="B372" t="s">
        <v>794</v>
      </c>
      <c r="C372">
        <v>2451</v>
      </c>
      <c r="D372">
        <v>136564</v>
      </c>
      <c r="E372">
        <v>706356</v>
      </c>
      <c r="F372" t="s">
        <v>35</v>
      </c>
      <c r="G372" t="s">
        <v>15</v>
      </c>
    </row>
    <row r="373" spans="1:7" x14ac:dyDescent="0.2">
      <c r="A373" t="s">
        <v>785</v>
      </c>
      <c r="B373" t="s">
        <v>786</v>
      </c>
      <c r="C373">
        <v>2366</v>
      </c>
      <c r="D373">
        <v>77500</v>
      </c>
      <c r="E373">
        <v>445706</v>
      </c>
      <c r="F373" t="s">
        <v>35</v>
      </c>
      <c r="G373" t="s">
        <v>15</v>
      </c>
    </row>
    <row r="374" spans="1:7" x14ac:dyDescent="0.2">
      <c r="A374" t="s">
        <v>799</v>
      </c>
      <c r="B374" t="s">
        <v>800</v>
      </c>
      <c r="C374">
        <v>2319</v>
      </c>
      <c r="D374">
        <v>103886</v>
      </c>
      <c r="E374">
        <v>572296</v>
      </c>
      <c r="F374" t="s">
        <v>35</v>
      </c>
      <c r="G374" t="s">
        <v>15</v>
      </c>
    </row>
    <row r="375" spans="1:7" x14ac:dyDescent="0.2">
      <c r="A375" t="s">
        <v>797</v>
      </c>
      <c r="B375" t="s">
        <v>798</v>
      </c>
      <c r="C375">
        <v>1826</v>
      </c>
      <c r="D375">
        <v>450207</v>
      </c>
      <c r="E375">
        <v>2275838</v>
      </c>
      <c r="F375" t="s">
        <v>35</v>
      </c>
      <c r="G375" t="s">
        <v>15</v>
      </c>
    </row>
    <row r="376" spans="1:7" x14ac:dyDescent="0.2">
      <c r="A376" t="s">
        <v>801</v>
      </c>
      <c r="B376" t="s">
        <v>802</v>
      </c>
      <c r="C376">
        <v>1762</v>
      </c>
      <c r="D376">
        <v>147164</v>
      </c>
      <c r="E376">
        <v>832326</v>
      </c>
      <c r="F376" t="s">
        <v>35</v>
      </c>
      <c r="G376" t="s">
        <v>15</v>
      </c>
    </row>
    <row r="377" spans="1:7" x14ac:dyDescent="0.2">
      <c r="A377" t="s">
        <v>809</v>
      </c>
      <c r="B377" t="s">
        <v>810</v>
      </c>
      <c r="C377">
        <v>1759</v>
      </c>
      <c r="D377">
        <v>58142</v>
      </c>
      <c r="E377">
        <v>361614</v>
      </c>
      <c r="F377" t="s">
        <v>35</v>
      </c>
      <c r="G377" t="s">
        <v>15</v>
      </c>
    </row>
    <row r="378" spans="1:7" x14ac:dyDescent="0.2">
      <c r="A378" t="s">
        <v>807</v>
      </c>
      <c r="B378" t="s">
        <v>808</v>
      </c>
      <c r="C378">
        <v>1662</v>
      </c>
      <c r="D378">
        <v>350618</v>
      </c>
      <c r="E378">
        <v>1917017</v>
      </c>
      <c r="F378" t="s">
        <v>35</v>
      </c>
      <c r="G378" t="s">
        <v>15</v>
      </c>
    </row>
    <row r="379" spans="1:7" x14ac:dyDescent="0.2">
      <c r="A379" t="s">
        <v>805</v>
      </c>
      <c r="B379" t="s">
        <v>806</v>
      </c>
      <c r="C379">
        <v>1638</v>
      </c>
      <c r="D379">
        <v>59805</v>
      </c>
      <c r="E379">
        <v>322918</v>
      </c>
      <c r="F379" t="s">
        <v>35</v>
      </c>
      <c r="G379" t="s">
        <v>15</v>
      </c>
    </row>
    <row r="380" spans="1:7" x14ac:dyDescent="0.2">
      <c r="A380" t="s">
        <v>815</v>
      </c>
      <c r="B380" t="s">
        <v>816</v>
      </c>
      <c r="C380">
        <v>1614</v>
      </c>
      <c r="D380">
        <v>335627</v>
      </c>
      <c r="E380">
        <v>1744228</v>
      </c>
      <c r="F380" t="s">
        <v>35</v>
      </c>
      <c r="G380" t="s">
        <v>15</v>
      </c>
    </row>
    <row r="381" spans="1:7" x14ac:dyDescent="0.2">
      <c r="A381" t="s">
        <v>813</v>
      </c>
      <c r="B381" t="s">
        <v>814</v>
      </c>
      <c r="C381">
        <v>804</v>
      </c>
      <c r="D381">
        <v>54084</v>
      </c>
      <c r="E381">
        <v>303078</v>
      </c>
      <c r="F381" t="s">
        <v>35</v>
      </c>
      <c r="G381" t="s">
        <v>15</v>
      </c>
    </row>
    <row r="382" spans="1:7" x14ac:dyDescent="0.2">
      <c r="A382" t="s">
        <v>811</v>
      </c>
      <c r="B382" t="s">
        <v>812</v>
      </c>
      <c r="C382">
        <v>799</v>
      </c>
      <c r="D382">
        <v>279218</v>
      </c>
      <c r="E382">
        <v>1449889</v>
      </c>
      <c r="F382" t="s">
        <v>35</v>
      </c>
      <c r="G382" t="s">
        <v>15</v>
      </c>
    </row>
    <row r="383" spans="1:7" x14ac:dyDescent="0.2">
      <c r="A383" t="s">
        <v>901</v>
      </c>
      <c r="B383" t="s">
        <v>902</v>
      </c>
      <c r="C383">
        <v>727</v>
      </c>
      <c r="D383">
        <v>107638</v>
      </c>
      <c r="E383">
        <v>552753</v>
      </c>
      <c r="F383" t="s">
        <v>35</v>
      </c>
      <c r="G383" t="s">
        <v>15</v>
      </c>
    </row>
    <row r="384" spans="1:7" x14ac:dyDescent="0.2">
      <c r="A384" t="s">
        <v>817</v>
      </c>
      <c r="B384" t="s">
        <v>818</v>
      </c>
      <c r="C384">
        <v>583</v>
      </c>
      <c r="D384">
        <v>319138</v>
      </c>
      <c r="E384">
        <v>1684160</v>
      </c>
      <c r="F384" t="s">
        <v>35</v>
      </c>
      <c r="G384" t="s">
        <v>15</v>
      </c>
    </row>
    <row r="385" spans="1:7" x14ac:dyDescent="0.2">
      <c r="A385" t="s">
        <v>819</v>
      </c>
      <c r="B385" t="s">
        <v>820</v>
      </c>
      <c r="C385">
        <v>418</v>
      </c>
      <c r="D385">
        <v>52689</v>
      </c>
      <c r="E385">
        <v>293025</v>
      </c>
      <c r="F385" t="s">
        <v>35</v>
      </c>
      <c r="G385" t="s">
        <v>15</v>
      </c>
    </row>
    <row r="386" spans="1:7" x14ac:dyDescent="0.2">
      <c r="A386" t="s">
        <v>823</v>
      </c>
      <c r="B386" t="s">
        <v>824</v>
      </c>
      <c r="C386">
        <v>413</v>
      </c>
      <c r="D386">
        <v>92527</v>
      </c>
      <c r="E386">
        <v>495964</v>
      </c>
      <c r="F386" t="s">
        <v>35</v>
      </c>
      <c r="G386" t="s">
        <v>15</v>
      </c>
    </row>
    <row r="387" spans="1:7" x14ac:dyDescent="0.2">
      <c r="A387" t="s">
        <v>827</v>
      </c>
      <c r="B387" t="s">
        <v>828</v>
      </c>
      <c r="C387">
        <v>379</v>
      </c>
      <c r="D387">
        <v>49867</v>
      </c>
      <c r="E387">
        <v>270249</v>
      </c>
      <c r="F387" t="s">
        <v>35</v>
      </c>
      <c r="G387" t="s">
        <v>15</v>
      </c>
    </row>
    <row r="388" spans="1:7" x14ac:dyDescent="0.2">
      <c r="A388" t="s">
        <v>829</v>
      </c>
      <c r="B388" t="s">
        <v>830</v>
      </c>
      <c r="C388">
        <v>320</v>
      </c>
      <c r="D388">
        <v>66784</v>
      </c>
      <c r="E388">
        <v>364883</v>
      </c>
      <c r="F388" t="s">
        <v>35</v>
      </c>
      <c r="G388" t="s">
        <v>15</v>
      </c>
    </row>
    <row r="389" spans="1:7" x14ac:dyDescent="0.2">
      <c r="A389" t="s">
        <v>833</v>
      </c>
      <c r="B389" t="s">
        <v>834</v>
      </c>
      <c r="C389">
        <v>311</v>
      </c>
      <c r="D389">
        <v>78961</v>
      </c>
      <c r="E389">
        <v>422466</v>
      </c>
      <c r="F389" t="s">
        <v>35</v>
      </c>
      <c r="G389" t="s">
        <v>15</v>
      </c>
    </row>
    <row r="390" spans="1:7" x14ac:dyDescent="0.2">
      <c r="A390" t="s">
        <v>831</v>
      </c>
      <c r="B390" t="s">
        <v>832</v>
      </c>
      <c r="C390">
        <v>301</v>
      </c>
      <c r="D390">
        <v>257540</v>
      </c>
      <c r="E390">
        <v>1367770</v>
      </c>
      <c r="F390" t="s">
        <v>35</v>
      </c>
      <c r="G390" t="s">
        <v>15</v>
      </c>
    </row>
    <row r="391" spans="1:7" x14ac:dyDescent="0.2">
      <c r="A391" t="s">
        <v>771</v>
      </c>
      <c r="B391" t="s">
        <v>772</v>
      </c>
      <c r="C391">
        <v>279</v>
      </c>
      <c r="D391">
        <v>59363</v>
      </c>
      <c r="E391">
        <v>318455</v>
      </c>
      <c r="F391" t="s">
        <v>35</v>
      </c>
      <c r="G391" t="s">
        <v>15</v>
      </c>
    </row>
    <row r="392" spans="1:7" x14ac:dyDescent="0.2">
      <c r="A392" t="s">
        <v>825</v>
      </c>
      <c r="B392" t="s">
        <v>826</v>
      </c>
      <c r="C392">
        <v>267</v>
      </c>
      <c r="D392">
        <v>56248</v>
      </c>
      <c r="E392">
        <v>317693</v>
      </c>
      <c r="F392" t="s">
        <v>35</v>
      </c>
      <c r="G392" t="s">
        <v>15</v>
      </c>
    </row>
    <row r="393" spans="1:7" x14ac:dyDescent="0.2">
      <c r="A393" t="s">
        <v>835</v>
      </c>
      <c r="B393" t="s">
        <v>836</v>
      </c>
      <c r="C393">
        <v>138</v>
      </c>
      <c r="D393">
        <v>63900</v>
      </c>
      <c r="E393">
        <v>322737</v>
      </c>
      <c r="F393" t="s">
        <v>35</v>
      </c>
      <c r="G393" t="s">
        <v>15</v>
      </c>
    </row>
    <row r="394" spans="1:7" x14ac:dyDescent="0.2">
      <c r="G394" t="s">
        <v>15</v>
      </c>
    </row>
    <row r="395" spans="1:7" x14ac:dyDescent="0.2">
      <c r="G395" t="s">
        <v>15</v>
      </c>
    </row>
    <row r="396" spans="1:7" x14ac:dyDescent="0.2">
      <c r="G396" t="s">
        <v>15</v>
      </c>
    </row>
    <row r="397" spans="1:7" x14ac:dyDescent="0.2">
      <c r="G397" t="s">
        <v>15</v>
      </c>
    </row>
    <row r="398" spans="1:7" x14ac:dyDescent="0.2">
      <c r="G398" t="s">
        <v>15</v>
      </c>
    </row>
    <row r="399" spans="1:7" x14ac:dyDescent="0.2">
      <c r="G399" t="s">
        <v>15</v>
      </c>
    </row>
    <row r="400" spans="1:7" x14ac:dyDescent="0.2">
      <c r="G400" t="s">
        <v>15</v>
      </c>
    </row>
    <row r="401" spans="7:7" x14ac:dyDescent="0.2">
      <c r="G401" t="s">
        <v>15</v>
      </c>
    </row>
    <row r="402" spans="7:7" x14ac:dyDescent="0.2">
      <c r="G402" t="s">
        <v>15</v>
      </c>
    </row>
    <row r="403" spans="7:7" x14ac:dyDescent="0.2">
      <c r="G403" t="s">
        <v>15</v>
      </c>
    </row>
    <row r="404" spans="7:7" x14ac:dyDescent="0.2">
      <c r="G404" t="s">
        <v>15</v>
      </c>
    </row>
    <row r="405" spans="7:7" x14ac:dyDescent="0.2">
      <c r="G405" t="s">
        <v>15</v>
      </c>
    </row>
    <row r="406" spans="7:7" x14ac:dyDescent="0.2">
      <c r="G406" t="s">
        <v>15</v>
      </c>
    </row>
    <row r="407" spans="7:7" x14ac:dyDescent="0.2">
      <c r="G407" t="s">
        <v>15</v>
      </c>
    </row>
    <row r="408" spans="7:7" x14ac:dyDescent="0.2">
      <c r="G408" t="s">
        <v>15</v>
      </c>
    </row>
    <row r="409" spans="7:7" x14ac:dyDescent="0.2">
      <c r="G409" t="s">
        <v>15</v>
      </c>
    </row>
    <row r="410" spans="7:7" x14ac:dyDescent="0.2">
      <c r="G410" t="s">
        <v>15</v>
      </c>
    </row>
    <row r="411" spans="7:7" x14ac:dyDescent="0.2">
      <c r="G411" t="s">
        <v>15</v>
      </c>
    </row>
    <row r="412" spans="7:7" x14ac:dyDescent="0.2">
      <c r="G412" t="s">
        <v>15</v>
      </c>
    </row>
    <row r="413" spans="7:7" x14ac:dyDescent="0.2">
      <c r="G413" t="s">
        <v>15</v>
      </c>
    </row>
    <row r="414" spans="7:7" x14ac:dyDescent="0.2">
      <c r="G414" t="s">
        <v>15</v>
      </c>
    </row>
    <row r="415" spans="7:7" x14ac:dyDescent="0.2">
      <c r="G415"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88C1F-D4F5-7B41-A0D3-B5810FDFA821}">
  <dimension ref="A1:G415"/>
  <sheetViews>
    <sheetView workbookViewId="0"/>
  </sheetViews>
  <sheetFormatPr baseColWidth="10" defaultRowHeight="16" x14ac:dyDescent="0.2"/>
  <cols>
    <col min="1" max="1" width="63.83203125" bestFit="1" customWidth="1"/>
    <col min="2" max="2" width="67.33203125" bestFit="1" customWidth="1"/>
    <col min="3" max="4" width="31.83203125" bestFit="1" customWidth="1"/>
    <col min="5" max="5" width="25.5" bestFit="1" customWidth="1"/>
    <col min="6" max="6" width="80.6640625" bestFit="1" customWidth="1"/>
    <col min="7" max="7" width="7.83203125" bestFit="1" customWidth="1"/>
  </cols>
  <sheetData>
    <row r="1" spans="1:7" x14ac:dyDescent="0.2">
      <c r="A1" t="s">
        <v>26</v>
      </c>
      <c r="B1" t="s">
        <v>27</v>
      </c>
      <c r="C1" t="s">
        <v>28</v>
      </c>
      <c r="D1" t="s">
        <v>29</v>
      </c>
      <c r="E1" t="s">
        <v>30</v>
      </c>
      <c r="F1" t="s">
        <v>31</v>
      </c>
      <c r="G1" t="s">
        <v>32</v>
      </c>
    </row>
    <row r="2" spans="1:7" x14ac:dyDescent="0.2">
      <c r="A2" t="s">
        <v>33</v>
      </c>
      <c r="B2" t="s">
        <v>34</v>
      </c>
      <c r="C2">
        <v>34800071</v>
      </c>
      <c r="D2">
        <v>441624</v>
      </c>
      <c r="E2">
        <v>267795359</v>
      </c>
      <c r="F2" t="s">
        <v>35</v>
      </c>
      <c r="G2" t="s">
        <v>10</v>
      </c>
    </row>
    <row r="3" spans="1:7" x14ac:dyDescent="0.2">
      <c r="A3" t="s">
        <v>36</v>
      </c>
      <c r="B3" t="s">
        <v>37</v>
      </c>
      <c r="C3">
        <v>18286350</v>
      </c>
      <c r="D3">
        <v>51219</v>
      </c>
      <c r="E3">
        <v>133689521</v>
      </c>
      <c r="F3" t="s">
        <v>35</v>
      </c>
      <c r="G3" t="s">
        <v>10</v>
      </c>
    </row>
    <row r="4" spans="1:7" x14ac:dyDescent="0.2">
      <c r="A4" t="s">
        <v>38</v>
      </c>
      <c r="B4" t="s">
        <v>39</v>
      </c>
      <c r="C4">
        <v>17383708</v>
      </c>
      <c r="D4">
        <v>182649</v>
      </c>
      <c r="E4">
        <v>140570913</v>
      </c>
      <c r="F4" t="s">
        <v>35</v>
      </c>
      <c r="G4" t="s">
        <v>10</v>
      </c>
    </row>
    <row r="5" spans="1:7" x14ac:dyDescent="0.2">
      <c r="A5" t="s">
        <v>40</v>
      </c>
      <c r="B5" t="s">
        <v>41</v>
      </c>
      <c r="C5">
        <v>13677347</v>
      </c>
      <c r="D5">
        <v>2235097</v>
      </c>
      <c r="E5">
        <v>121640735</v>
      </c>
      <c r="F5" t="s">
        <v>35</v>
      </c>
      <c r="G5" t="s">
        <v>10</v>
      </c>
    </row>
    <row r="6" spans="1:7" x14ac:dyDescent="0.2">
      <c r="A6" t="s">
        <v>42</v>
      </c>
      <c r="B6" t="s">
        <v>43</v>
      </c>
      <c r="C6">
        <v>12046674</v>
      </c>
      <c r="D6">
        <v>1858</v>
      </c>
      <c r="E6">
        <v>138599240</v>
      </c>
      <c r="F6" t="s">
        <v>35</v>
      </c>
      <c r="G6" t="s">
        <v>10</v>
      </c>
    </row>
    <row r="7" spans="1:7" x14ac:dyDescent="0.2">
      <c r="A7" t="s">
        <v>44</v>
      </c>
      <c r="B7" t="s">
        <v>45</v>
      </c>
      <c r="C7">
        <v>10855757</v>
      </c>
      <c r="D7">
        <v>8718</v>
      </c>
      <c r="E7">
        <v>90179681</v>
      </c>
      <c r="F7" t="s">
        <v>35</v>
      </c>
      <c r="G7" t="s">
        <v>10</v>
      </c>
    </row>
    <row r="8" spans="1:7" x14ac:dyDescent="0.2">
      <c r="A8" t="s">
        <v>46</v>
      </c>
      <c r="B8" t="s">
        <v>47</v>
      </c>
      <c r="C8">
        <v>9270533</v>
      </c>
      <c r="D8">
        <v>5162</v>
      </c>
      <c r="E8">
        <v>144015162</v>
      </c>
      <c r="F8" t="s">
        <v>35</v>
      </c>
      <c r="G8" t="s">
        <v>10</v>
      </c>
    </row>
    <row r="9" spans="1:7" x14ac:dyDescent="0.2">
      <c r="A9" t="s">
        <v>48</v>
      </c>
      <c r="B9" t="s">
        <v>49</v>
      </c>
      <c r="C9">
        <v>8727629</v>
      </c>
      <c r="D9">
        <v>30043</v>
      </c>
      <c r="E9">
        <v>62575388</v>
      </c>
      <c r="F9" t="s">
        <v>50</v>
      </c>
      <c r="G9" t="s">
        <v>10</v>
      </c>
    </row>
    <row r="10" spans="1:7" x14ac:dyDescent="0.2">
      <c r="A10" t="s">
        <v>51</v>
      </c>
      <c r="B10" t="s">
        <v>52</v>
      </c>
      <c r="C10">
        <v>7607328</v>
      </c>
      <c r="D10">
        <v>7145119</v>
      </c>
      <c r="E10">
        <v>147581376</v>
      </c>
      <c r="F10" t="s">
        <v>35</v>
      </c>
      <c r="G10" t="s">
        <v>10</v>
      </c>
    </row>
    <row r="11" spans="1:7" x14ac:dyDescent="0.2">
      <c r="A11" t="s">
        <v>53</v>
      </c>
      <c r="B11" t="s">
        <v>54</v>
      </c>
      <c r="C11">
        <v>6914264</v>
      </c>
      <c r="D11">
        <v>73144</v>
      </c>
      <c r="E11">
        <v>46840771</v>
      </c>
      <c r="F11" t="s">
        <v>35</v>
      </c>
      <c r="G11" t="s">
        <v>10</v>
      </c>
    </row>
    <row r="12" spans="1:7" x14ac:dyDescent="0.2">
      <c r="A12" t="s">
        <v>55</v>
      </c>
      <c r="B12" t="s">
        <v>56</v>
      </c>
      <c r="C12">
        <v>6626970</v>
      </c>
      <c r="D12">
        <v>340354</v>
      </c>
      <c r="E12">
        <v>54290775</v>
      </c>
      <c r="F12" t="s">
        <v>35</v>
      </c>
      <c r="G12" t="s">
        <v>10</v>
      </c>
    </row>
    <row r="13" spans="1:7" x14ac:dyDescent="0.2">
      <c r="A13" t="s">
        <v>57</v>
      </c>
      <c r="B13" t="s">
        <v>58</v>
      </c>
      <c r="C13">
        <v>6473528</v>
      </c>
      <c r="D13">
        <v>526620</v>
      </c>
      <c r="E13">
        <v>82507803</v>
      </c>
      <c r="F13" t="s">
        <v>35</v>
      </c>
      <c r="G13" t="s">
        <v>10</v>
      </c>
    </row>
    <row r="14" spans="1:7" x14ac:dyDescent="0.2">
      <c r="A14" t="s">
        <v>59</v>
      </c>
      <c r="B14" t="s">
        <v>60</v>
      </c>
      <c r="C14">
        <v>6433252</v>
      </c>
      <c r="D14">
        <v>48193</v>
      </c>
      <c r="E14">
        <v>48305090</v>
      </c>
      <c r="F14" t="s">
        <v>35</v>
      </c>
      <c r="G14" t="s">
        <v>10</v>
      </c>
    </row>
    <row r="15" spans="1:7" x14ac:dyDescent="0.2">
      <c r="A15" t="s">
        <v>61</v>
      </c>
      <c r="B15" t="s">
        <v>62</v>
      </c>
      <c r="C15">
        <v>6318221</v>
      </c>
      <c r="D15">
        <v>829225</v>
      </c>
      <c r="E15">
        <v>74625952</v>
      </c>
      <c r="F15" t="s">
        <v>35</v>
      </c>
      <c r="G15" t="s">
        <v>10</v>
      </c>
    </row>
    <row r="16" spans="1:7" x14ac:dyDescent="0.2">
      <c r="A16" t="s">
        <v>63</v>
      </c>
      <c r="B16" t="s">
        <v>64</v>
      </c>
      <c r="C16">
        <v>5931417</v>
      </c>
      <c r="D16">
        <v>12977</v>
      </c>
      <c r="E16">
        <v>44416301</v>
      </c>
      <c r="F16" t="s">
        <v>50</v>
      </c>
      <c r="G16" t="s">
        <v>10</v>
      </c>
    </row>
    <row r="17" spans="1:7" x14ac:dyDescent="0.2">
      <c r="A17" t="s">
        <v>65</v>
      </c>
      <c r="B17" t="s">
        <v>66</v>
      </c>
      <c r="C17">
        <v>5892748</v>
      </c>
      <c r="D17">
        <v>3552278</v>
      </c>
      <c r="E17">
        <v>119494759</v>
      </c>
      <c r="F17" t="s">
        <v>35</v>
      </c>
      <c r="G17" t="s">
        <v>10</v>
      </c>
    </row>
    <row r="18" spans="1:7" x14ac:dyDescent="0.2">
      <c r="A18" t="s">
        <v>67</v>
      </c>
      <c r="B18" t="s">
        <v>68</v>
      </c>
      <c r="C18">
        <v>5840868</v>
      </c>
      <c r="D18">
        <v>598</v>
      </c>
      <c r="E18">
        <v>63473732</v>
      </c>
      <c r="F18" t="s">
        <v>35</v>
      </c>
      <c r="G18" t="s">
        <v>10</v>
      </c>
    </row>
    <row r="19" spans="1:7" x14ac:dyDescent="0.2">
      <c r="A19" t="s">
        <v>69</v>
      </c>
      <c r="B19" t="s">
        <v>70</v>
      </c>
      <c r="C19">
        <v>5560111</v>
      </c>
      <c r="D19">
        <v>1632572</v>
      </c>
      <c r="E19">
        <v>56332977</v>
      </c>
      <c r="F19" t="s">
        <v>35</v>
      </c>
      <c r="G19" t="s">
        <v>10</v>
      </c>
    </row>
    <row r="20" spans="1:7" x14ac:dyDescent="0.2">
      <c r="A20" t="s">
        <v>71</v>
      </c>
      <c r="B20" t="s">
        <v>72</v>
      </c>
      <c r="C20">
        <v>5359683</v>
      </c>
      <c r="D20">
        <v>3273</v>
      </c>
      <c r="E20">
        <v>48998810</v>
      </c>
      <c r="F20" t="s">
        <v>35</v>
      </c>
      <c r="G20" t="s">
        <v>10</v>
      </c>
    </row>
    <row r="21" spans="1:7" x14ac:dyDescent="0.2">
      <c r="A21" t="s">
        <v>73</v>
      </c>
      <c r="B21" t="s">
        <v>74</v>
      </c>
      <c r="C21">
        <v>4679375</v>
      </c>
      <c r="D21">
        <v>622229</v>
      </c>
      <c r="E21">
        <v>19053417</v>
      </c>
      <c r="F21" t="s">
        <v>35</v>
      </c>
      <c r="G21" t="s">
        <v>10</v>
      </c>
    </row>
    <row r="22" spans="1:7" x14ac:dyDescent="0.2">
      <c r="A22" t="s">
        <v>75</v>
      </c>
      <c r="B22" t="s">
        <v>76</v>
      </c>
      <c r="C22">
        <v>4385686</v>
      </c>
      <c r="D22">
        <v>62462</v>
      </c>
      <c r="E22">
        <v>64775969</v>
      </c>
      <c r="F22" t="s">
        <v>35</v>
      </c>
      <c r="G22" t="s">
        <v>10</v>
      </c>
    </row>
    <row r="23" spans="1:7" x14ac:dyDescent="0.2">
      <c r="A23" t="s">
        <v>77</v>
      </c>
      <c r="B23" t="s">
        <v>78</v>
      </c>
      <c r="C23">
        <v>3554997</v>
      </c>
      <c r="D23">
        <v>1272088</v>
      </c>
      <c r="E23">
        <v>64652296</v>
      </c>
      <c r="F23" t="s">
        <v>35</v>
      </c>
      <c r="G23" t="s">
        <v>10</v>
      </c>
    </row>
    <row r="24" spans="1:7" x14ac:dyDescent="0.2">
      <c r="A24" t="s">
        <v>79</v>
      </c>
      <c r="B24" t="s">
        <v>80</v>
      </c>
      <c r="C24">
        <v>3304501</v>
      </c>
      <c r="D24">
        <v>909928</v>
      </c>
      <c r="E24">
        <v>34648627</v>
      </c>
      <c r="F24" t="s">
        <v>35</v>
      </c>
      <c r="G24" t="s">
        <v>10</v>
      </c>
    </row>
    <row r="25" spans="1:7" x14ac:dyDescent="0.2">
      <c r="A25" t="s">
        <v>81</v>
      </c>
      <c r="B25" t="s">
        <v>82</v>
      </c>
      <c r="C25">
        <v>3076786</v>
      </c>
      <c r="D25">
        <v>182738</v>
      </c>
      <c r="E25">
        <v>27885275</v>
      </c>
      <c r="F25" t="s">
        <v>35</v>
      </c>
      <c r="G25" t="s">
        <v>10</v>
      </c>
    </row>
    <row r="26" spans="1:7" x14ac:dyDescent="0.2">
      <c r="A26" t="s">
        <v>83</v>
      </c>
      <c r="B26" t="s">
        <v>84</v>
      </c>
      <c r="C26">
        <v>3059545</v>
      </c>
      <c r="D26">
        <v>568842</v>
      </c>
      <c r="E26">
        <v>40707419</v>
      </c>
      <c r="F26" t="s">
        <v>35</v>
      </c>
      <c r="G26" t="s">
        <v>10</v>
      </c>
    </row>
    <row r="27" spans="1:7" x14ac:dyDescent="0.2">
      <c r="A27" t="s">
        <v>85</v>
      </c>
      <c r="B27" t="s">
        <v>86</v>
      </c>
      <c r="C27">
        <v>2591294</v>
      </c>
      <c r="D27">
        <v>202091</v>
      </c>
      <c r="E27">
        <v>13303387</v>
      </c>
      <c r="F27" t="s">
        <v>35</v>
      </c>
      <c r="G27" t="s">
        <v>10</v>
      </c>
    </row>
    <row r="28" spans="1:7" x14ac:dyDescent="0.2">
      <c r="A28" t="s">
        <v>87</v>
      </c>
      <c r="B28" t="s">
        <v>88</v>
      </c>
      <c r="C28">
        <v>2477909</v>
      </c>
      <c r="D28">
        <v>6076</v>
      </c>
      <c r="E28">
        <v>32696444</v>
      </c>
      <c r="F28" t="s">
        <v>35</v>
      </c>
      <c r="G28" t="s">
        <v>10</v>
      </c>
    </row>
    <row r="29" spans="1:7" x14ac:dyDescent="0.2">
      <c r="A29" t="s">
        <v>89</v>
      </c>
      <c r="B29" t="s">
        <v>90</v>
      </c>
      <c r="C29">
        <v>2316720</v>
      </c>
      <c r="D29">
        <v>338208</v>
      </c>
      <c r="E29">
        <v>17943785</v>
      </c>
      <c r="F29" t="s">
        <v>35</v>
      </c>
      <c r="G29" t="s">
        <v>10</v>
      </c>
    </row>
    <row r="30" spans="1:7" x14ac:dyDescent="0.2">
      <c r="A30" t="s">
        <v>91</v>
      </c>
      <c r="B30" t="s">
        <v>92</v>
      </c>
      <c r="C30">
        <v>2096033</v>
      </c>
      <c r="D30">
        <v>360</v>
      </c>
      <c r="E30">
        <v>41132387</v>
      </c>
      <c r="F30" t="s">
        <v>35</v>
      </c>
      <c r="G30" t="s">
        <v>10</v>
      </c>
    </row>
    <row r="31" spans="1:7" x14ac:dyDescent="0.2">
      <c r="A31" t="s">
        <v>93</v>
      </c>
      <c r="B31" t="s">
        <v>94</v>
      </c>
      <c r="C31">
        <v>2032585</v>
      </c>
      <c r="D31">
        <v>2286</v>
      </c>
      <c r="E31">
        <v>28965512</v>
      </c>
      <c r="F31" t="s">
        <v>35</v>
      </c>
      <c r="G31" t="s">
        <v>10</v>
      </c>
    </row>
    <row r="32" spans="1:7" x14ac:dyDescent="0.2">
      <c r="A32" t="s">
        <v>95</v>
      </c>
      <c r="B32" t="s">
        <v>96</v>
      </c>
      <c r="C32">
        <v>1910727</v>
      </c>
      <c r="D32">
        <v>363525</v>
      </c>
      <c r="E32">
        <v>31319711</v>
      </c>
      <c r="F32" t="s">
        <v>35</v>
      </c>
      <c r="G32" t="s">
        <v>10</v>
      </c>
    </row>
    <row r="33" spans="1:7" x14ac:dyDescent="0.2">
      <c r="A33" t="s">
        <v>97</v>
      </c>
      <c r="B33" t="s">
        <v>98</v>
      </c>
      <c r="C33">
        <v>1754222</v>
      </c>
      <c r="D33">
        <v>132803</v>
      </c>
      <c r="E33">
        <v>12829762</v>
      </c>
      <c r="F33" t="s">
        <v>35</v>
      </c>
      <c r="G33" t="s">
        <v>10</v>
      </c>
    </row>
    <row r="34" spans="1:7" x14ac:dyDescent="0.2">
      <c r="A34" t="s">
        <v>99</v>
      </c>
      <c r="B34" t="s">
        <v>100</v>
      </c>
      <c r="C34">
        <v>1738625</v>
      </c>
      <c r="D34">
        <v>34500</v>
      </c>
      <c r="E34">
        <v>22046483</v>
      </c>
      <c r="F34" t="s">
        <v>35</v>
      </c>
      <c r="G34" t="s">
        <v>10</v>
      </c>
    </row>
    <row r="35" spans="1:7" x14ac:dyDescent="0.2">
      <c r="A35" t="s">
        <v>101</v>
      </c>
      <c r="B35" t="s">
        <v>102</v>
      </c>
      <c r="C35">
        <v>1703481</v>
      </c>
      <c r="D35">
        <v>160939</v>
      </c>
      <c r="E35">
        <v>7704240</v>
      </c>
      <c r="F35" t="s">
        <v>35</v>
      </c>
      <c r="G35" t="s">
        <v>10</v>
      </c>
    </row>
    <row r="36" spans="1:7" x14ac:dyDescent="0.2">
      <c r="A36" t="s">
        <v>103</v>
      </c>
      <c r="B36" t="s">
        <v>104</v>
      </c>
      <c r="C36">
        <v>1673378</v>
      </c>
      <c r="D36">
        <v>0</v>
      </c>
      <c r="E36">
        <v>30868677</v>
      </c>
      <c r="F36" t="s">
        <v>35</v>
      </c>
      <c r="G36" t="s">
        <v>10</v>
      </c>
    </row>
    <row r="37" spans="1:7" x14ac:dyDescent="0.2">
      <c r="A37" t="s">
        <v>105</v>
      </c>
      <c r="B37" t="s">
        <v>106</v>
      </c>
      <c r="C37">
        <v>1568822</v>
      </c>
      <c r="D37">
        <v>284726</v>
      </c>
      <c r="E37">
        <v>20607889</v>
      </c>
      <c r="F37" t="s">
        <v>35</v>
      </c>
      <c r="G37" t="s">
        <v>10</v>
      </c>
    </row>
    <row r="38" spans="1:7" x14ac:dyDescent="0.2">
      <c r="A38" t="s">
        <v>107</v>
      </c>
      <c r="B38" t="s">
        <v>108</v>
      </c>
      <c r="C38">
        <v>1526582</v>
      </c>
      <c r="D38">
        <v>8746</v>
      </c>
      <c r="E38">
        <v>30208601</v>
      </c>
      <c r="F38" t="s">
        <v>35</v>
      </c>
      <c r="G38" t="s">
        <v>10</v>
      </c>
    </row>
    <row r="39" spans="1:7" x14ac:dyDescent="0.2">
      <c r="A39" t="s">
        <v>109</v>
      </c>
      <c r="B39" t="s">
        <v>110</v>
      </c>
      <c r="C39">
        <v>1453834</v>
      </c>
      <c r="D39">
        <v>154576</v>
      </c>
      <c r="E39">
        <v>2792556</v>
      </c>
      <c r="F39" t="s">
        <v>35</v>
      </c>
      <c r="G39" t="s">
        <v>10</v>
      </c>
    </row>
    <row r="40" spans="1:7" x14ac:dyDescent="0.2">
      <c r="A40" t="s">
        <v>111</v>
      </c>
      <c r="B40" t="s">
        <v>112</v>
      </c>
      <c r="C40">
        <v>1412751</v>
      </c>
      <c r="D40">
        <v>151415</v>
      </c>
      <c r="E40">
        <v>19314697</v>
      </c>
      <c r="F40" t="s">
        <v>35</v>
      </c>
      <c r="G40" t="s">
        <v>10</v>
      </c>
    </row>
    <row r="41" spans="1:7" x14ac:dyDescent="0.2">
      <c r="A41" t="s">
        <v>113</v>
      </c>
      <c r="B41" t="s">
        <v>114</v>
      </c>
      <c r="C41">
        <v>1379327</v>
      </c>
      <c r="D41">
        <v>152017</v>
      </c>
      <c r="E41">
        <v>16824168</v>
      </c>
      <c r="F41" t="s">
        <v>35</v>
      </c>
      <c r="G41" t="s">
        <v>10</v>
      </c>
    </row>
    <row r="42" spans="1:7" x14ac:dyDescent="0.2">
      <c r="A42" t="s">
        <v>115</v>
      </c>
      <c r="B42" t="s">
        <v>116</v>
      </c>
      <c r="C42">
        <v>1367784</v>
      </c>
      <c r="D42">
        <v>220995</v>
      </c>
      <c r="E42">
        <v>1862214</v>
      </c>
      <c r="F42" t="s">
        <v>35</v>
      </c>
      <c r="G42" t="s">
        <v>10</v>
      </c>
    </row>
    <row r="43" spans="1:7" x14ac:dyDescent="0.2">
      <c r="A43" t="s">
        <v>117</v>
      </c>
      <c r="B43" t="s">
        <v>118</v>
      </c>
      <c r="C43">
        <v>1352540</v>
      </c>
      <c r="D43">
        <v>107312</v>
      </c>
      <c r="E43">
        <v>25723957</v>
      </c>
      <c r="F43" t="s">
        <v>35</v>
      </c>
      <c r="G43" t="s">
        <v>10</v>
      </c>
    </row>
    <row r="44" spans="1:7" x14ac:dyDescent="0.2">
      <c r="A44" t="s">
        <v>119</v>
      </c>
      <c r="B44" t="s">
        <v>120</v>
      </c>
      <c r="C44">
        <v>1343797</v>
      </c>
      <c r="D44">
        <v>273829</v>
      </c>
      <c r="E44">
        <v>10528858</v>
      </c>
      <c r="F44" t="s">
        <v>35</v>
      </c>
      <c r="G44" t="s">
        <v>10</v>
      </c>
    </row>
    <row r="45" spans="1:7" x14ac:dyDescent="0.2">
      <c r="A45" t="s">
        <v>121</v>
      </c>
      <c r="B45" t="s">
        <v>122</v>
      </c>
      <c r="C45">
        <v>1229931</v>
      </c>
      <c r="D45">
        <v>139</v>
      </c>
      <c r="E45">
        <v>22624478</v>
      </c>
      <c r="F45" t="s">
        <v>35</v>
      </c>
      <c r="G45" t="s">
        <v>10</v>
      </c>
    </row>
    <row r="46" spans="1:7" x14ac:dyDescent="0.2">
      <c r="A46" t="s">
        <v>123</v>
      </c>
      <c r="B46" t="s">
        <v>124</v>
      </c>
      <c r="C46">
        <v>1177432</v>
      </c>
      <c r="D46">
        <v>6080933</v>
      </c>
      <c r="E46">
        <v>40145740</v>
      </c>
      <c r="F46" t="s">
        <v>35</v>
      </c>
      <c r="G46" t="s">
        <v>10</v>
      </c>
    </row>
    <row r="47" spans="1:7" x14ac:dyDescent="0.2">
      <c r="A47" t="s">
        <v>125</v>
      </c>
      <c r="B47" t="s">
        <v>126</v>
      </c>
      <c r="C47">
        <v>1172297</v>
      </c>
      <c r="D47">
        <v>93261</v>
      </c>
      <c r="E47">
        <v>6019439</v>
      </c>
      <c r="F47" t="s">
        <v>35</v>
      </c>
      <c r="G47" t="s">
        <v>10</v>
      </c>
    </row>
    <row r="48" spans="1:7" x14ac:dyDescent="0.2">
      <c r="A48" t="s">
        <v>127</v>
      </c>
      <c r="B48" t="s">
        <v>128</v>
      </c>
      <c r="C48">
        <v>1142716</v>
      </c>
      <c r="D48">
        <v>168648</v>
      </c>
      <c r="E48">
        <v>6933231</v>
      </c>
      <c r="F48" t="s">
        <v>35</v>
      </c>
      <c r="G48" t="s">
        <v>10</v>
      </c>
    </row>
    <row r="49" spans="1:7" x14ac:dyDescent="0.2">
      <c r="A49" t="s">
        <v>129</v>
      </c>
      <c r="B49" t="s">
        <v>130</v>
      </c>
      <c r="C49">
        <v>1128156</v>
      </c>
      <c r="D49">
        <v>58471</v>
      </c>
      <c r="E49">
        <v>5783201</v>
      </c>
      <c r="F49" t="s">
        <v>35</v>
      </c>
      <c r="G49" t="s">
        <v>10</v>
      </c>
    </row>
    <row r="50" spans="1:7" x14ac:dyDescent="0.2">
      <c r="A50" t="s">
        <v>131</v>
      </c>
      <c r="B50" t="s">
        <v>132</v>
      </c>
      <c r="C50">
        <v>1104957</v>
      </c>
      <c r="D50">
        <v>69600</v>
      </c>
      <c r="E50">
        <v>3086796</v>
      </c>
      <c r="F50" t="s">
        <v>35</v>
      </c>
      <c r="G50" t="s">
        <v>10</v>
      </c>
    </row>
    <row r="51" spans="1:7" x14ac:dyDescent="0.2">
      <c r="A51" t="s">
        <v>133</v>
      </c>
      <c r="B51" t="s">
        <v>134</v>
      </c>
      <c r="C51">
        <v>997508</v>
      </c>
      <c r="D51">
        <v>301675</v>
      </c>
      <c r="E51">
        <v>15561306</v>
      </c>
      <c r="F51" t="s">
        <v>35</v>
      </c>
      <c r="G51" t="s">
        <v>10</v>
      </c>
    </row>
    <row r="52" spans="1:7" x14ac:dyDescent="0.2">
      <c r="A52" t="s">
        <v>135</v>
      </c>
      <c r="B52" t="s">
        <v>136</v>
      </c>
      <c r="C52">
        <v>964833</v>
      </c>
      <c r="D52">
        <v>736</v>
      </c>
      <c r="E52">
        <v>8628344</v>
      </c>
      <c r="F52" t="s">
        <v>35</v>
      </c>
      <c r="G52" t="s">
        <v>10</v>
      </c>
    </row>
    <row r="53" spans="1:7" x14ac:dyDescent="0.2">
      <c r="A53" t="s">
        <v>137</v>
      </c>
      <c r="B53" t="s">
        <v>138</v>
      </c>
      <c r="C53">
        <v>918779</v>
      </c>
      <c r="D53">
        <v>2101370</v>
      </c>
      <c r="E53">
        <v>22843958</v>
      </c>
      <c r="F53" t="s">
        <v>35</v>
      </c>
      <c r="G53" t="s">
        <v>10</v>
      </c>
    </row>
    <row r="54" spans="1:7" x14ac:dyDescent="0.2">
      <c r="A54" t="s">
        <v>139</v>
      </c>
      <c r="B54" t="s">
        <v>140</v>
      </c>
      <c r="C54">
        <v>890139</v>
      </c>
      <c r="D54">
        <v>111</v>
      </c>
      <c r="E54">
        <v>12239414</v>
      </c>
      <c r="F54" t="s">
        <v>35</v>
      </c>
      <c r="G54" t="s">
        <v>10</v>
      </c>
    </row>
    <row r="55" spans="1:7" x14ac:dyDescent="0.2">
      <c r="A55" t="s">
        <v>141</v>
      </c>
      <c r="B55" t="s">
        <v>142</v>
      </c>
      <c r="C55">
        <v>855320</v>
      </c>
      <c r="D55">
        <v>41</v>
      </c>
      <c r="E55">
        <v>11106778</v>
      </c>
      <c r="F55" t="s">
        <v>35</v>
      </c>
      <c r="G55" t="s">
        <v>10</v>
      </c>
    </row>
    <row r="56" spans="1:7" x14ac:dyDescent="0.2">
      <c r="A56" t="s">
        <v>143</v>
      </c>
      <c r="B56" t="s">
        <v>144</v>
      </c>
      <c r="C56">
        <v>839088</v>
      </c>
      <c r="D56">
        <v>494856</v>
      </c>
      <c r="E56">
        <v>18413354</v>
      </c>
      <c r="F56" t="s">
        <v>35</v>
      </c>
      <c r="G56" t="s">
        <v>10</v>
      </c>
    </row>
    <row r="57" spans="1:7" x14ac:dyDescent="0.2">
      <c r="A57" t="s">
        <v>145</v>
      </c>
      <c r="B57" t="s">
        <v>146</v>
      </c>
      <c r="C57">
        <v>816771</v>
      </c>
      <c r="D57">
        <v>31368</v>
      </c>
      <c r="E57">
        <v>2111491</v>
      </c>
      <c r="F57" t="s">
        <v>35</v>
      </c>
      <c r="G57" t="s">
        <v>10</v>
      </c>
    </row>
    <row r="58" spans="1:7" x14ac:dyDescent="0.2">
      <c r="A58" t="s">
        <v>147</v>
      </c>
      <c r="B58" t="s">
        <v>148</v>
      </c>
      <c r="C58">
        <v>810695</v>
      </c>
      <c r="D58">
        <v>81591</v>
      </c>
      <c r="E58">
        <v>11968412</v>
      </c>
      <c r="F58" t="s">
        <v>35</v>
      </c>
      <c r="G58" t="s">
        <v>10</v>
      </c>
    </row>
    <row r="59" spans="1:7" x14ac:dyDescent="0.2">
      <c r="A59" t="s">
        <v>149</v>
      </c>
      <c r="B59" t="s">
        <v>150</v>
      </c>
      <c r="C59">
        <v>797805</v>
      </c>
      <c r="D59">
        <v>109674</v>
      </c>
      <c r="E59">
        <v>6763633</v>
      </c>
      <c r="F59" t="s">
        <v>35</v>
      </c>
      <c r="G59" t="s">
        <v>10</v>
      </c>
    </row>
    <row r="60" spans="1:7" x14ac:dyDescent="0.2">
      <c r="A60" t="s">
        <v>151</v>
      </c>
      <c r="B60" t="s">
        <v>152</v>
      </c>
      <c r="C60">
        <v>770306</v>
      </c>
      <c r="D60">
        <v>3862</v>
      </c>
      <c r="E60">
        <v>8768193</v>
      </c>
      <c r="F60" t="s">
        <v>35</v>
      </c>
      <c r="G60" t="s">
        <v>10</v>
      </c>
    </row>
    <row r="61" spans="1:7" x14ac:dyDescent="0.2">
      <c r="A61" t="s">
        <v>153</v>
      </c>
      <c r="B61" t="s">
        <v>154</v>
      </c>
      <c r="C61">
        <v>750069</v>
      </c>
      <c r="D61">
        <v>274272</v>
      </c>
      <c r="E61">
        <v>14056158</v>
      </c>
      <c r="F61" t="s">
        <v>35</v>
      </c>
      <c r="G61" t="s">
        <v>10</v>
      </c>
    </row>
    <row r="62" spans="1:7" x14ac:dyDescent="0.2">
      <c r="A62" t="s">
        <v>155</v>
      </c>
      <c r="B62" t="s">
        <v>156</v>
      </c>
      <c r="C62">
        <v>716474</v>
      </c>
      <c r="D62">
        <v>248206</v>
      </c>
      <c r="E62">
        <v>11902353</v>
      </c>
      <c r="F62" t="s">
        <v>35</v>
      </c>
      <c r="G62" t="s">
        <v>10</v>
      </c>
    </row>
    <row r="63" spans="1:7" x14ac:dyDescent="0.2">
      <c r="A63" t="s">
        <v>157</v>
      </c>
      <c r="B63" t="s">
        <v>158</v>
      </c>
      <c r="C63">
        <v>712933</v>
      </c>
      <c r="D63">
        <v>82228</v>
      </c>
      <c r="E63">
        <v>5253678</v>
      </c>
      <c r="F63" t="s">
        <v>35</v>
      </c>
      <c r="G63" t="s">
        <v>10</v>
      </c>
    </row>
    <row r="64" spans="1:7" x14ac:dyDescent="0.2">
      <c r="A64" t="s">
        <v>159</v>
      </c>
      <c r="B64" t="s">
        <v>160</v>
      </c>
      <c r="C64">
        <v>707580</v>
      </c>
      <c r="D64">
        <v>6090</v>
      </c>
      <c r="E64">
        <v>6399745</v>
      </c>
      <c r="F64" t="s">
        <v>35</v>
      </c>
      <c r="G64" t="s">
        <v>10</v>
      </c>
    </row>
    <row r="65" spans="1:7" x14ac:dyDescent="0.2">
      <c r="A65" t="s">
        <v>161</v>
      </c>
      <c r="B65" t="s">
        <v>162</v>
      </c>
      <c r="C65">
        <v>691052</v>
      </c>
      <c r="D65">
        <v>922839</v>
      </c>
      <c r="E65">
        <v>27030139</v>
      </c>
      <c r="F65" t="s">
        <v>35</v>
      </c>
      <c r="G65" t="s">
        <v>10</v>
      </c>
    </row>
    <row r="66" spans="1:7" x14ac:dyDescent="0.2">
      <c r="A66" t="s">
        <v>163</v>
      </c>
      <c r="B66" t="s">
        <v>164</v>
      </c>
      <c r="C66">
        <v>683531</v>
      </c>
      <c r="D66">
        <v>219045</v>
      </c>
      <c r="E66">
        <v>11113235</v>
      </c>
      <c r="F66" t="s">
        <v>35</v>
      </c>
      <c r="G66" t="s">
        <v>10</v>
      </c>
    </row>
    <row r="67" spans="1:7" x14ac:dyDescent="0.2">
      <c r="A67" t="s">
        <v>165</v>
      </c>
      <c r="B67" t="s">
        <v>166</v>
      </c>
      <c r="C67">
        <v>669965</v>
      </c>
      <c r="D67">
        <v>206595</v>
      </c>
      <c r="E67">
        <v>7846251</v>
      </c>
      <c r="F67" t="s">
        <v>35</v>
      </c>
      <c r="G67" t="s">
        <v>10</v>
      </c>
    </row>
    <row r="68" spans="1:7" x14ac:dyDescent="0.2">
      <c r="A68" t="s">
        <v>167</v>
      </c>
      <c r="B68" t="s">
        <v>168</v>
      </c>
      <c r="C68">
        <v>664594</v>
      </c>
      <c r="D68">
        <v>130812</v>
      </c>
      <c r="E68">
        <v>11613714</v>
      </c>
      <c r="F68" t="s">
        <v>35</v>
      </c>
      <c r="G68" t="s">
        <v>10</v>
      </c>
    </row>
    <row r="69" spans="1:7" x14ac:dyDescent="0.2">
      <c r="A69" t="s">
        <v>169</v>
      </c>
      <c r="B69" t="s">
        <v>170</v>
      </c>
      <c r="C69">
        <v>591228</v>
      </c>
      <c r="D69">
        <v>285139</v>
      </c>
      <c r="E69">
        <v>9833519</v>
      </c>
      <c r="F69" t="s">
        <v>35</v>
      </c>
      <c r="G69" t="s">
        <v>10</v>
      </c>
    </row>
    <row r="70" spans="1:7" x14ac:dyDescent="0.2">
      <c r="A70" t="s">
        <v>171</v>
      </c>
      <c r="B70" t="s">
        <v>172</v>
      </c>
      <c r="C70">
        <v>583120</v>
      </c>
      <c r="D70">
        <v>911</v>
      </c>
      <c r="E70">
        <v>6406722</v>
      </c>
      <c r="F70" t="s">
        <v>35</v>
      </c>
      <c r="G70" t="s">
        <v>10</v>
      </c>
    </row>
    <row r="71" spans="1:7" x14ac:dyDescent="0.2">
      <c r="A71" t="s">
        <v>173</v>
      </c>
      <c r="B71" t="s">
        <v>174</v>
      </c>
      <c r="C71">
        <v>578679</v>
      </c>
      <c r="D71">
        <v>13968</v>
      </c>
      <c r="E71">
        <v>2239793</v>
      </c>
      <c r="F71" t="s">
        <v>35</v>
      </c>
      <c r="G71" t="s">
        <v>10</v>
      </c>
    </row>
    <row r="72" spans="1:7" x14ac:dyDescent="0.2">
      <c r="A72" t="s">
        <v>175</v>
      </c>
      <c r="B72" t="s">
        <v>176</v>
      </c>
      <c r="C72">
        <v>573941</v>
      </c>
      <c r="D72">
        <v>54854</v>
      </c>
      <c r="E72">
        <v>2870837</v>
      </c>
      <c r="F72" t="s">
        <v>35</v>
      </c>
      <c r="G72" t="s">
        <v>10</v>
      </c>
    </row>
    <row r="73" spans="1:7" x14ac:dyDescent="0.2">
      <c r="A73" t="s">
        <v>177</v>
      </c>
      <c r="B73" t="s">
        <v>178</v>
      </c>
      <c r="C73">
        <v>561477</v>
      </c>
      <c r="D73">
        <v>135018</v>
      </c>
      <c r="E73">
        <v>21256451</v>
      </c>
      <c r="F73" t="s">
        <v>35</v>
      </c>
      <c r="G73" t="s">
        <v>10</v>
      </c>
    </row>
    <row r="74" spans="1:7" x14ac:dyDescent="0.2">
      <c r="A74" t="s">
        <v>179</v>
      </c>
      <c r="B74" t="s">
        <v>180</v>
      </c>
      <c r="C74">
        <v>560227</v>
      </c>
      <c r="D74">
        <v>31366</v>
      </c>
      <c r="E74">
        <v>8026051</v>
      </c>
      <c r="F74" t="s">
        <v>35</v>
      </c>
      <c r="G74" t="s">
        <v>10</v>
      </c>
    </row>
    <row r="75" spans="1:7" x14ac:dyDescent="0.2">
      <c r="A75" t="s">
        <v>181</v>
      </c>
      <c r="B75" t="s">
        <v>182</v>
      </c>
      <c r="C75">
        <v>555252</v>
      </c>
      <c r="D75">
        <v>6448</v>
      </c>
      <c r="E75">
        <v>7923805</v>
      </c>
      <c r="F75" t="s">
        <v>35</v>
      </c>
      <c r="G75" t="s">
        <v>10</v>
      </c>
    </row>
    <row r="76" spans="1:7" x14ac:dyDescent="0.2">
      <c r="A76" t="s">
        <v>183</v>
      </c>
      <c r="B76" t="s">
        <v>184</v>
      </c>
      <c r="C76">
        <v>531558</v>
      </c>
      <c r="D76">
        <v>855010</v>
      </c>
      <c r="E76">
        <v>13504127</v>
      </c>
      <c r="F76" t="s">
        <v>35</v>
      </c>
      <c r="G76" t="s">
        <v>10</v>
      </c>
    </row>
    <row r="77" spans="1:7" x14ac:dyDescent="0.2">
      <c r="A77" t="s">
        <v>185</v>
      </c>
      <c r="B77" t="s">
        <v>186</v>
      </c>
      <c r="C77">
        <v>489975</v>
      </c>
      <c r="D77">
        <v>97449</v>
      </c>
      <c r="E77">
        <v>9519874</v>
      </c>
      <c r="F77" t="s">
        <v>35</v>
      </c>
      <c r="G77" t="s">
        <v>10</v>
      </c>
    </row>
    <row r="78" spans="1:7" x14ac:dyDescent="0.2">
      <c r="A78" t="s">
        <v>187</v>
      </c>
      <c r="B78" t="s">
        <v>188</v>
      </c>
      <c r="C78">
        <v>485514</v>
      </c>
      <c r="D78">
        <v>99</v>
      </c>
      <c r="E78">
        <v>8439636</v>
      </c>
      <c r="F78" t="s">
        <v>35</v>
      </c>
      <c r="G78" t="s">
        <v>10</v>
      </c>
    </row>
    <row r="79" spans="1:7" x14ac:dyDescent="0.2">
      <c r="A79" t="s">
        <v>189</v>
      </c>
      <c r="B79" t="s">
        <v>190</v>
      </c>
      <c r="C79">
        <v>472322</v>
      </c>
      <c r="D79">
        <v>12488</v>
      </c>
      <c r="E79">
        <v>1456938</v>
      </c>
      <c r="F79" t="s">
        <v>35</v>
      </c>
      <c r="G79" t="s">
        <v>10</v>
      </c>
    </row>
    <row r="80" spans="1:7" x14ac:dyDescent="0.2">
      <c r="A80" t="s">
        <v>191</v>
      </c>
      <c r="B80" t="s">
        <v>192</v>
      </c>
      <c r="C80">
        <v>443658</v>
      </c>
      <c r="D80">
        <v>104567</v>
      </c>
      <c r="E80">
        <v>8773116</v>
      </c>
      <c r="F80" t="s">
        <v>35</v>
      </c>
      <c r="G80" t="s">
        <v>10</v>
      </c>
    </row>
    <row r="81" spans="1:7" x14ac:dyDescent="0.2">
      <c r="A81" t="s">
        <v>193</v>
      </c>
      <c r="B81" t="s">
        <v>194</v>
      </c>
      <c r="C81">
        <v>440050</v>
      </c>
      <c r="D81">
        <v>60887</v>
      </c>
      <c r="E81">
        <v>3691581</v>
      </c>
      <c r="F81" t="s">
        <v>35</v>
      </c>
      <c r="G81" t="s">
        <v>10</v>
      </c>
    </row>
    <row r="82" spans="1:7" x14ac:dyDescent="0.2">
      <c r="A82" t="s">
        <v>195</v>
      </c>
      <c r="B82" t="s">
        <v>196</v>
      </c>
      <c r="C82">
        <v>435876</v>
      </c>
      <c r="D82">
        <v>18199</v>
      </c>
      <c r="E82">
        <v>3267334</v>
      </c>
      <c r="F82" t="s">
        <v>35</v>
      </c>
      <c r="G82" t="s">
        <v>10</v>
      </c>
    </row>
    <row r="83" spans="1:7" x14ac:dyDescent="0.2">
      <c r="A83" t="s">
        <v>197</v>
      </c>
      <c r="B83" t="s">
        <v>198</v>
      </c>
      <c r="C83">
        <v>435419</v>
      </c>
      <c r="D83">
        <v>20992</v>
      </c>
      <c r="E83">
        <v>6325272</v>
      </c>
      <c r="F83" t="s">
        <v>35</v>
      </c>
      <c r="G83" t="s">
        <v>10</v>
      </c>
    </row>
    <row r="84" spans="1:7" x14ac:dyDescent="0.2">
      <c r="A84" t="s">
        <v>199</v>
      </c>
      <c r="B84" t="s">
        <v>200</v>
      </c>
      <c r="C84">
        <v>423006</v>
      </c>
      <c r="D84">
        <v>132</v>
      </c>
      <c r="E84">
        <v>2576053</v>
      </c>
      <c r="F84" t="s">
        <v>35</v>
      </c>
      <c r="G84" t="s">
        <v>10</v>
      </c>
    </row>
    <row r="85" spans="1:7" x14ac:dyDescent="0.2">
      <c r="A85" t="s">
        <v>201</v>
      </c>
      <c r="B85" t="s">
        <v>202</v>
      </c>
      <c r="C85">
        <v>418310</v>
      </c>
      <c r="D85">
        <v>376721</v>
      </c>
      <c r="E85">
        <v>15528520</v>
      </c>
      <c r="F85" t="s">
        <v>35</v>
      </c>
      <c r="G85" t="s">
        <v>10</v>
      </c>
    </row>
    <row r="86" spans="1:7" x14ac:dyDescent="0.2">
      <c r="A86" t="s">
        <v>203</v>
      </c>
      <c r="B86" t="s">
        <v>204</v>
      </c>
      <c r="C86">
        <v>413628</v>
      </c>
      <c r="D86">
        <v>494441</v>
      </c>
      <c r="E86">
        <v>10175731</v>
      </c>
      <c r="F86" t="s">
        <v>35</v>
      </c>
      <c r="G86" t="s">
        <v>10</v>
      </c>
    </row>
    <row r="87" spans="1:7" x14ac:dyDescent="0.2">
      <c r="A87" t="s">
        <v>205</v>
      </c>
      <c r="B87" t="s">
        <v>206</v>
      </c>
      <c r="C87">
        <v>395479</v>
      </c>
      <c r="D87">
        <v>1293425</v>
      </c>
      <c r="E87">
        <v>8292218</v>
      </c>
      <c r="F87" t="s">
        <v>35</v>
      </c>
      <c r="G87" t="s">
        <v>10</v>
      </c>
    </row>
    <row r="88" spans="1:7" x14ac:dyDescent="0.2">
      <c r="A88" t="s">
        <v>207</v>
      </c>
      <c r="B88" t="s">
        <v>208</v>
      </c>
      <c r="C88">
        <v>385004</v>
      </c>
      <c r="D88">
        <v>50277</v>
      </c>
      <c r="E88">
        <v>4290728</v>
      </c>
      <c r="F88" t="s">
        <v>35</v>
      </c>
      <c r="G88" t="s">
        <v>10</v>
      </c>
    </row>
    <row r="89" spans="1:7" x14ac:dyDescent="0.2">
      <c r="A89" t="s">
        <v>209</v>
      </c>
      <c r="B89" t="s">
        <v>210</v>
      </c>
      <c r="C89">
        <v>380260</v>
      </c>
      <c r="D89">
        <v>223573</v>
      </c>
      <c r="E89">
        <v>9922493</v>
      </c>
      <c r="F89" t="s">
        <v>35</v>
      </c>
      <c r="G89" t="s">
        <v>10</v>
      </c>
    </row>
    <row r="90" spans="1:7" x14ac:dyDescent="0.2">
      <c r="A90" t="s">
        <v>211</v>
      </c>
      <c r="B90" t="s">
        <v>212</v>
      </c>
      <c r="C90">
        <v>373456</v>
      </c>
      <c r="D90">
        <v>3490</v>
      </c>
      <c r="E90">
        <v>5538634</v>
      </c>
      <c r="F90" t="s">
        <v>35</v>
      </c>
      <c r="G90" t="s">
        <v>10</v>
      </c>
    </row>
    <row r="91" spans="1:7" x14ac:dyDescent="0.2">
      <c r="A91" t="s">
        <v>213</v>
      </c>
      <c r="B91" t="s">
        <v>214</v>
      </c>
      <c r="C91">
        <v>368793</v>
      </c>
      <c r="D91">
        <v>289398</v>
      </c>
      <c r="E91">
        <v>7201503</v>
      </c>
      <c r="F91" t="s">
        <v>35</v>
      </c>
      <c r="G91" t="s">
        <v>10</v>
      </c>
    </row>
    <row r="92" spans="1:7" x14ac:dyDescent="0.2">
      <c r="A92" t="s">
        <v>215</v>
      </c>
      <c r="B92" t="s">
        <v>216</v>
      </c>
      <c r="C92">
        <v>337714</v>
      </c>
      <c r="D92">
        <v>523250</v>
      </c>
      <c r="E92">
        <v>6147797</v>
      </c>
      <c r="F92" t="s">
        <v>35</v>
      </c>
      <c r="G92" t="s">
        <v>10</v>
      </c>
    </row>
    <row r="93" spans="1:7" x14ac:dyDescent="0.2">
      <c r="A93" t="s">
        <v>217</v>
      </c>
      <c r="B93" t="s">
        <v>218</v>
      </c>
      <c r="C93">
        <v>334929</v>
      </c>
      <c r="D93">
        <v>133739</v>
      </c>
      <c r="E93">
        <v>6118101</v>
      </c>
      <c r="F93" t="s">
        <v>35</v>
      </c>
      <c r="G93" t="s">
        <v>10</v>
      </c>
    </row>
    <row r="94" spans="1:7" x14ac:dyDescent="0.2">
      <c r="A94" t="s">
        <v>219</v>
      </c>
      <c r="B94" t="s">
        <v>220</v>
      </c>
      <c r="C94">
        <v>326995</v>
      </c>
      <c r="D94">
        <v>370</v>
      </c>
      <c r="E94">
        <v>1366314</v>
      </c>
      <c r="F94" t="s">
        <v>35</v>
      </c>
      <c r="G94" t="s">
        <v>10</v>
      </c>
    </row>
    <row r="95" spans="1:7" x14ac:dyDescent="0.2">
      <c r="A95" t="s">
        <v>221</v>
      </c>
      <c r="B95" t="s">
        <v>222</v>
      </c>
      <c r="C95">
        <v>311625</v>
      </c>
      <c r="D95">
        <v>234229</v>
      </c>
      <c r="E95">
        <v>4090309</v>
      </c>
      <c r="F95" t="s">
        <v>35</v>
      </c>
      <c r="G95" t="s">
        <v>10</v>
      </c>
    </row>
    <row r="96" spans="1:7" x14ac:dyDescent="0.2">
      <c r="A96" t="s">
        <v>223</v>
      </c>
      <c r="B96" t="s">
        <v>224</v>
      </c>
      <c r="C96">
        <v>297406</v>
      </c>
      <c r="D96">
        <v>26336</v>
      </c>
      <c r="E96">
        <v>1768558</v>
      </c>
      <c r="F96" t="s">
        <v>35</v>
      </c>
      <c r="G96" t="s">
        <v>10</v>
      </c>
    </row>
    <row r="97" spans="1:7" x14ac:dyDescent="0.2">
      <c r="A97" t="s">
        <v>225</v>
      </c>
      <c r="B97" t="s">
        <v>226</v>
      </c>
      <c r="C97">
        <v>290398</v>
      </c>
      <c r="D97">
        <v>15635</v>
      </c>
      <c r="E97">
        <v>107834</v>
      </c>
      <c r="F97" t="s">
        <v>35</v>
      </c>
      <c r="G97" t="s">
        <v>10</v>
      </c>
    </row>
    <row r="98" spans="1:7" x14ac:dyDescent="0.2">
      <c r="A98" t="s">
        <v>227</v>
      </c>
      <c r="B98" t="s">
        <v>228</v>
      </c>
      <c r="C98">
        <v>288621</v>
      </c>
      <c r="D98">
        <v>4569</v>
      </c>
      <c r="E98">
        <v>492291</v>
      </c>
      <c r="F98" t="s">
        <v>35</v>
      </c>
      <c r="G98" t="s">
        <v>10</v>
      </c>
    </row>
    <row r="99" spans="1:7" x14ac:dyDescent="0.2">
      <c r="A99" t="s">
        <v>229</v>
      </c>
      <c r="B99" t="s">
        <v>230</v>
      </c>
      <c r="C99">
        <v>275691</v>
      </c>
      <c r="D99">
        <v>1277</v>
      </c>
      <c r="E99">
        <v>3934049</v>
      </c>
      <c r="F99" t="s">
        <v>35</v>
      </c>
      <c r="G99" t="s">
        <v>10</v>
      </c>
    </row>
    <row r="100" spans="1:7" x14ac:dyDescent="0.2">
      <c r="A100" t="s">
        <v>231</v>
      </c>
      <c r="B100" t="s">
        <v>232</v>
      </c>
      <c r="C100">
        <v>272788</v>
      </c>
      <c r="D100">
        <v>162429</v>
      </c>
      <c r="E100">
        <v>5611440</v>
      </c>
      <c r="F100" t="s">
        <v>35</v>
      </c>
      <c r="G100" t="s">
        <v>10</v>
      </c>
    </row>
    <row r="101" spans="1:7" x14ac:dyDescent="0.2">
      <c r="A101" t="s">
        <v>233</v>
      </c>
      <c r="B101" t="s">
        <v>234</v>
      </c>
      <c r="C101">
        <v>272770</v>
      </c>
      <c r="D101">
        <v>761239</v>
      </c>
      <c r="E101">
        <v>7804294</v>
      </c>
      <c r="F101" t="s">
        <v>35</v>
      </c>
      <c r="G101" t="s">
        <v>10</v>
      </c>
    </row>
    <row r="102" spans="1:7" x14ac:dyDescent="0.2">
      <c r="A102" t="s">
        <v>235</v>
      </c>
      <c r="B102" t="s">
        <v>236</v>
      </c>
      <c r="C102">
        <v>269655</v>
      </c>
      <c r="D102">
        <v>1097464</v>
      </c>
      <c r="E102">
        <v>6643283</v>
      </c>
      <c r="F102" t="s">
        <v>35</v>
      </c>
      <c r="G102" t="s">
        <v>10</v>
      </c>
    </row>
    <row r="103" spans="1:7" x14ac:dyDescent="0.2">
      <c r="A103" t="s">
        <v>237</v>
      </c>
      <c r="B103" t="s">
        <v>238</v>
      </c>
      <c r="C103">
        <v>267179</v>
      </c>
      <c r="D103">
        <v>1258</v>
      </c>
      <c r="E103">
        <v>4487927</v>
      </c>
      <c r="F103" t="s">
        <v>35</v>
      </c>
      <c r="G103" t="s">
        <v>10</v>
      </c>
    </row>
    <row r="104" spans="1:7" x14ac:dyDescent="0.2">
      <c r="A104" t="s">
        <v>239</v>
      </c>
      <c r="B104" t="s">
        <v>240</v>
      </c>
      <c r="C104">
        <v>264141</v>
      </c>
      <c r="D104">
        <v>61939</v>
      </c>
      <c r="E104">
        <v>1811278</v>
      </c>
      <c r="F104" t="s">
        <v>35</v>
      </c>
      <c r="G104" t="s">
        <v>10</v>
      </c>
    </row>
    <row r="105" spans="1:7" x14ac:dyDescent="0.2">
      <c r="A105" t="s">
        <v>241</v>
      </c>
      <c r="B105" t="s">
        <v>242</v>
      </c>
      <c r="C105">
        <v>263323</v>
      </c>
      <c r="D105">
        <v>185700</v>
      </c>
      <c r="E105">
        <v>1986166</v>
      </c>
      <c r="F105" t="s">
        <v>35</v>
      </c>
      <c r="G105" t="s">
        <v>10</v>
      </c>
    </row>
    <row r="106" spans="1:7" x14ac:dyDescent="0.2">
      <c r="A106" t="s">
        <v>243</v>
      </c>
      <c r="B106" t="s">
        <v>244</v>
      </c>
      <c r="C106">
        <v>259052</v>
      </c>
      <c r="D106">
        <v>2579</v>
      </c>
      <c r="E106">
        <v>3271107</v>
      </c>
      <c r="F106" t="s">
        <v>35</v>
      </c>
      <c r="G106" t="s">
        <v>10</v>
      </c>
    </row>
    <row r="107" spans="1:7" x14ac:dyDescent="0.2">
      <c r="A107" t="s">
        <v>245</v>
      </c>
      <c r="B107" t="s">
        <v>246</v>
      </c>
      <c r="C107">
        <v>258143</v>
      </c>
      <c r="D107">
        <v>10473</v>
      </c>
      <c r="E107">
        <v>2061673</v>
      </c>
      <c r="F107" t="s">
        <v>35</v>
      </c>
      <c r="G107" t="s">
        <v>10</v>
      </c>
    </row>
    <row r="108" spans="1:7" x14ac:dyDescent="0.2">
      <c r="A108" t="s">
        <v>247</v>
      </c>
      <c r="B108" t="s">
        <v>248</v>
      </c>
      <c r="C108">
        <v>243172</v>
      </c>
      <c r="D108">
        <v>60147</v>
      </c>
      <c r="E108">
        <v>3813041</v>
      </c>
      <c r="F108" t="s">
        <v>35</v>
      </c>
      <c r="G108" t="s">
        <v>10</v>
      </c>
    </row>
    <row r="109" spans="1:7" x14ac:dyDescent="0.2">
      <c r="A109" t="s">
        <v>249</v>
      </c>
      <c r="B109" t="s">
        <v>250</v>
      </c>
      <c r="C109">
        <v>242433</v>
      </c>
      <c r="D109">
        <v>510872</v>
      </c>
      <c r="E109">
        <v>5572487</v>
      </c>
      <c r="F109" t="s">
        <v>35</v>
      </c>
      <c r="G109" t="s">
        <v>10</v>
      </c>
    </row>
    <row r="110" spans="1:7" x14ac:dyDescent="0.2">
      <c r="A110" t="s">
        <v>251</v>
      </c>
      <c r="B110" t="s">
        <v>252</v>
      </c>
      <c r="C110">
        <v>234908</v>
      </c>
      <c r="D110">
        <v>22912</v>
      </c>
      <c r="E110">
        <v>3498056</v>
      </c>
      <c r="F110" t="s">
        <v>35</v>
      </c>
      <c r="G110" t="s">
        <v>10</v>
      </c>
    </row>
    <row r="111" spans="1:7" x14ac:dyDescent="0.2">
      <c r="A111" t="s">
        <v>253</v>
      </c>
      <c r="B111" t="s">
        <v>254</v>
      </c>
      <c r="C111">
        <v>233757</v>
      </c>
      <c r="D111">
        <v>41708</v>
      </c>
      <c r="E111">
        <v>4717903</v>
      </c>
      <c r="F111" t="s">
        <v>35</v>
      </c>
      <c r="G111" t="s">
        <v>10</v>
      </c>
    </row>
    <row r="112" spans="1:7" x14ac:dyDescent="0.2">
      <c r="A112" t="s">
        <v>255</v>
      </c>
      <c r="B112" t="s">
        <v>256</v>
      </c>
      <c r="C112">
        <v>232848</v>
      </c>
      <c r="D112">
        <v>25</v>
      </c>
      <c r="E112">
        <v>3527185</v>
      </c>
      <c r="F112" t="s">
        <v>35</v>
      </c>
      <c r="G112" t="s">
        <v>10</v>
      </c>
    </row>
    <row r="113" spans="1:7" x14ac:dyDescent="0.2">
      <c r="A113" t="s">
        <v>257</v>
      </c>
      <c r="B113" t="s">
        <v>258</v>
      </c>
      <c r="C113">
        <v>228708</v>
      </c>
      <c r="D113">
        <v>49</v>
      </c>
      <c r="E113">
        <v>3297981</v>
      </c>
      <c r="F113" t="s">
        <v>35</v>
      </c>
      <c r="G113" t="s">
        <v>10</v>
      </c>
    </row>
    <row r="114" spans="1:7" x14ac:dyDescent="0.2">
      <c r="A114" t="s">
        <v>259</v>
      </c>
      <c r="B114" t="s">
        <v>260</v>
      </c>
      <c r="C114">
        <v>225985</v>
      </c>
      <c r="D114">
        <v>12233</v>
      </c>
      <c r="E114">
        <v>2246808</v>
      </c>
      <c r="F114" t="s">
        <v>35</v>
      </c>
      <c r="G114" t="s">
        <v>10</v>
      </c>
    </row>
    <row r="115" spans="1:7" x14ac:dyDescent="0.2">
      <c r="A115" t="s">
        <v>261</v>
      </c>
      <c r="B115" t="s">
        <v>262</v>
      </c>
      <c r="C115">
        <v>224561</v>
      </c>
      <c r="D115">
        <v>1040</v>
      </c>
      <c r="E115">
        <v>3205395</v>
      </c>
      <c r="F115" t="s">
        <v>35</v>
      </c>
      <c r="G115" t="s">
        <v>10</v>
      </c>
    </row>
    <row r="116" spans="1:7" x14ac:dyDescent="0.2">
      <c r="A116" t="s">
        <v>263</v>
      </c>
      <c r="B116" t="s">
        <v>264</v>
      </c>
      <c r="C116">
        <v>223285</v>
      </c>
      <c r="D116">
        <v>8607</v>
      </c>
      <c r="E116">
        <v>3310003</v>
      </c>
      <c r="F116" t="s">
        <v>35</v>
      </c>
      <c r="G116" t="s">
        <v>10</v>
      </c>
    </row>
    <row r="117" spans="1:7" x14ac:dyDescent="0.2">
      <c r="A117" t="s">
        <v>265</v>
      </c>
      <c r="B117" t="s">
        <v>266</v>
      </c>
      <c r="C117">
        <v>222277</v>
      </c>
      <c r="D117">
        <v>69481</v>
      </c>
      <c r="E117">
        <v>3960109</v>
      </c>
      <c r="F117" t="s">
        <v>35</v>
      </c>
      <c r="G117" t="s">
        <v>10</v>
      </c>
    </row>
    <row r="118" spans="1:7" x14ac:dyDescent="0.2">
      <c r="A118" t="s">
        <v>267</v>
      </c>
      <c r="B118" t="s">
        <v>268</v>
      </c>
      <c r="C118">
        <v>215952</v>
      </c>
      <c r="D118">
        <v>1278838</v>
      </c>
      <c r="E118">
        <v>7615774</v>
      </c>
      <c r="F118" t="s">
        <v>35</v>
      </c>
      <c r="G118" t="s">
        <v>10</v>
      </c>
    </row>
    <row r="119" spans="1:7" x14ac:dyDescent="0.2">
      <c r="A119" t="s">
        <v>269</v>
      </c>
      <c r="B119" t="s">
        <v>270</v>
      </c>
      <c r="C119">
        <v>214091</v>
      </c>
      <c r="D119">
        <v>37020</v>
      </c>
      <c r="E119">
        <v>3482970</v>
      </c>
      <c r="F119" t="s">
        <v>35</v>
      </c>
      <c r="G119" t="s">
        <v>10</v>
      </c>
    </row>
    <row r="120" spans="1:7" x14ac:dyDescent="0.2">
      <c r="A120" t="s">
        <v>271</v>
      </c>
      <c r="B120" t="s">
        <v>272</v>
      </c>
      <c r="C120">
        <v>212226</v>
      </c>
      <c r="D120">
        <v>31332</v>
      </c>
      <c r="E120">
        <v>3203153</v>
      </c>
      <c r="F120" t="s">
        <v>35</v>
      </c>
      <c r="G120" t="s">
        <v>10</v>
      </c>
    </row>
    <row r="121" spans="1:7" x14ac:dyDescent="0.2">
      <c r="A121" t="s">
        <v>273</v>
      </c>
      <c r="B121" t="s">
        <v>274</v>
      </c>
      <c r="C121">
        <v>196272</v>
      </c>
      <c r="D121">
        <v>23937</v>
      </c>
      <c r="E121">
        <v>2930975</v>
      </c>
      <c r="F121" t="s">
        <v>35</v>
      </c>
      <c r="G121" t="s">
        <v>10</v>
      </c>
    </row>
    <row r="122" spans="1:7" x14ac:dyDescent="0.2">
      <c r="A122" t="s">
        <v>275</v>
      </c>
      <c r="B122" t="s">
        <v>276</v>
      </c>
      <c r="C122">
        <v>196005</v>
      </c>
      <c r="D122">
        <v>60969</v>
      </c>
      <c r="E122">
        <v>4122066</v>
      </c>
      <c r="F122" t="s">
        <v>35</v>
      </c>
      <c r="G122" t="s">
        <v>10</v>
      </c>
    </row>
    <row r="123" spans="1:7" x14ac:dyDescent="0.2">
      <c r="A123" t="s">
        <v>277</v>
      </c>
      <c r="B123" t="s">
        <v>278</v>
      </c>
      <c r="C123">
        <v>193263</v>
      </c>
      <c r="D123">
        <v>20179</v>
      </c>
      <c r="E123">
        <v>2853360</v>
      </c>
      <c r="F123" t="s">
        <v>35</v>
      </c>
      <c r="G123" t="s">
        <v>10</v>
      </c>
    </row>
    <row r="124" spans="1:7" x14ac:dyDescent="0.2">
      <c r="A124" t="s">
        <v>279</v>
      </c>
      <c r="B124" t="s">
        <v>280</v>
      </c>
      <c r="C124">
        <v>189682</v>
      </c>
      <c r="D124">
        <v>424355</v>
      </c>
      <c r="E124">
        <v>5374658</v>
      </c>
      <c r="F124" t="s">
        <v>35</v>
      </c>
      <c r="G124" t="s">
        <v>10</v>
      </c>
    </row>
    <row r="125" spans="1:7" x14ac:dyDescent="0.2">
      <c r="A125" t="s">
        <v>281</v>
      </c>
      <c r="B125" t="s">
        <v>282</v>
      </c>
      <c r="C125">
        <v>172392</v>
      </c>
      <c r="D125">
        <v>124592</v>
      </c>
      <c r="E125">
        <v>4575504</v>
      </c>
      <c r="F125" t="s">
        <v>35</v>
      </c>
      <c r="G125" t="s">
        <v>10</v>
      </c>
    </row>
    <row r="126" spans="1:7" x14ac:dyDescent="0.2">
      <c r="A126" t="s">
        <v>283</v>
      </c>
      <c r="B126" t="s">
        <v>284</v>
      </c>
      <c r="C126">
        <v>169468</v>
      </c>
      <c r="D126">
        <v>106</v>
      </c>
      <c r="E126">
        <v>2433126</v>
      </c>
      <c r="F126" t="s">
        <v>35</v>
      </c>
      <c r="G126" t="s">
        <v>10</v>
      </c>
    </row>
    <row r="127" spans="1:7" x14ac:dyDescent="0.2">
      <c r="A127" t="s">
        <v>285</v>
      </c>
      <c r="B127" t="s">
        <v>286</v>
      </c>
      <c r="C127">
        <v>169076</v>
      </c>
      <c r="D127">
        <v>37220</v>
      </c>
      <c r="E127">
        <v>2070334</v>
      </c>
      <c r="F127" t="s">
        <v>35</v>
      </c>
      <c r="G127" t="s">
        <v>10</v>
      </c>
    </row>
    <row r="128" spans="1:7" x14ac:dyDescent="0.2">
      <c r="A128" t="s">
        <v>287</v>
      </c>
      <c r="B128" t="s">
        <v>288</v>
      </c>
      <c r="C128">
        <v>164617</v>
      </c>
      <c r="D128">
        <v>47854</v>
      </c>
      <c r="E128">
        <v>50815499</v>
      </c>
      <c r="F128" t="s">
        <v>35</v>
      </c>
      <c r="G128" t="s">
        <v>10</v>
      </c>
    </row>
    <row r="129" spans="1:7" x14ac:dyDescent="0.2">
      <c r="A129" t="s">
        <v>289</v>
      </c>
      <c r="B129" t="s">
        <v>290</v>
      </c>
      <c r="C129">
        <v>162513</v>
      </c>
      <c r="D129">
        <v>54163</v>
      </c>
      <c r="E129">
        <v>3340059</v>
      </c>
      <c r="F129" t="s">
        <v>35</v>
      </c>
      <c r="G129" t="s">
        <v>10</v>
      </c>
    </row>
    <row r="130" spans="1:7" x14ac:dyDescent="0.2">
      <c r="A130" t="s">
        <v>291</v>
      </c>
      <c r="B130" t="s">
        <v>292</v>
      </c>
      <c r="C130">
        <v>162401</v>
      </c>
      <c r="D130">
        <v>962</v>
      </c>
      <c r="E130">
        <v>2314116</v>
      </c>
      <c r="F130" t="s">
        <v>35</v>
      </c>
      <c r="G130" t="s">
        <v>10</v>
      </c>
    </row>
    <row r="131" spans="1:7" x14ac:dyDescent="0.2">
      <c r="A131" t="s">
        <v>293</v>
      </c>
      <c r="B131" t="s">
        <v>294</v>
      </c>
      <c r="C131">
        <v>154987</v>
      </c>
      <c r="D131">
        <v>25013</v>
      </c>
      <c r="E131">
        <v>2155451</v>
      </c>
      <c r="F131" t="s">
        <v>35</v>
      </c>
      <c r="G131" t="s">
        <v>10</v>
      </c>
    </row>
    <row r="132" spans="1:7" x14ac:dyDescent="0.2">
      <c r="A132" t="s">
        <v>295</v>
      </c>
      <c r="B132" t="s">
        <v>296</v>
      </c>
      <c r="C132">
        <v>150701</v>
      </c>
      <c r="D132">
        <v>43028</v>
      </c>
      <c r="E132">
        <v>2955626</v>
      </c>
      <c r="F132" t="s">
        <v>35</v>
      </c>
      <c r="G132" t="s">
        <v>10</v>
      </c>
    </row>
    <row r="133" spans="1:7" x14ac:dyDescent="0.2">
      <c r="A133" t="s">
        <v>297</v>
      </c>
      <c r="B133" t="s">
        <v>298</v>
      </c>
      <c r="C133">
        <v>150324</v>
      </c>
      <c r="D133">
        <v>60</v>
      </c>
      <c r="E133">
        <v>2146896</v>
      </c>
      <c r="F133" t="s">
        <v>35</v>
      </c>
      <c r="G133" t="s">
        <v>10</v>
      </c>
    </row>
    <row r="134" spans="1:7" x14ac:dyDescent="0.2">
      <c r="A134" t="s">
        <v>299</v>
      </c>
      <c r="B134" t="s">
        <v>300</v>
      </c>
      <c r="C134">
        <v>148906</v>
      </c>
      <c r="D134">
        <v>826</v>
      </c>
      <c r="E134">
        <v>7304</v>
      </c>
      <c r="F134" t="s">
        <v>35</v>
      </c>
      <c r="G134" t="s">
        <v>10</v>
      </c>
    </row>
    <row r="135" spans="1:7" x14ac:dyDescent="0.2">
      <c r="A135" t="s">
        <v>301</v>
      </c>
      <c r="B135" t="s">
        <v>302</v>
      </c>
      <c r="C135">
        <v>146415</v>
      </c>
      <c r="D135">
        <v>1385617</v>
      </c>
      <c r="E135">
        <v>8217596</v>
      </c>
      <c r="F135" t="s">
        <v>35</v>
      </c>
      <c r="G135" t="s">
        <v>10</v>
      </c>
    </row>
    <row r="136" spans="1:7" x14ac:dyDescent="0.2">
      <c r="A136" t="s">
        <v>303</v>
      </c>
      <c r="B136" t="s">
        <v>304</v>
      </c>
      <c r="C136">
        <v>146382</v>
      </c>
      <c r="D136">
        <v>5536</v>
      </c>
      <c r="E136">
        <v>2104553</v>
      </c>
      <c r="F136" t="s">
        <v>35</v>
      </c>
      <c r="G136" t="s">
        <v>10</v>
      </c>
    </row>
    <row r="137" spans="1:7" x14ac:dyDescent="0.2">
      <c r="A137" t="s">
        <v>305</v>
      </c>
      <c r="B137" t="s">
        <v>306</v>
      </c>
      <c r="C137">
        <v>145810</v>
      </c>
      <c r="D137">
        <v>2951</v>
      </c>
      <c r="E137">
        <v>2094959</v>
      </c>
      <c r="F137" t="s">
        <v>35</v>
      </c>
      <c r="G137" t="s">
        <v>10</v>
      </c>
    </row>
    <row r="138" spans="1:7" x14ac:dyDescent="0.2">
      <c r="A138" t="s">
        <v>307</v>
      </c>
      <c r="B138" t="s">
        <v>308</v>
      </c>
      <c r="C138">
        <v>144016</v>
      </c>
      <c r="D138">
        <v>8</v>
      </c>
      <c r="E138">
        <v>2469680</v>
      </c>
      <c r="F138" t="s">
        <v>35</v>
      </c>
      <c r="G138" t="s">
        <v>10</v>
      </c>
    </row>
    <row r="139" spans="1:7" x14ac:dyDescent="0.2">
      <c r="A139" t="s">
        <v>309</v>
      </c>
      <c r="B139" t="s">
        <v>310</v>
      </c>
      <c r="C139">
        <v>139972</v>
      </c>
      <c r="D139">
        <v>146754</v>
      </c>
      <c r="E139">
        <v>2984154</v>
      </c>
      <c r="F139" t="s">
        <v>35</v>
      </c>
      <c r="G139" t="s">
        <v>10</v>
      </c>
    </row>
    <row r="140" spans="1:7" x14ac:dyDescent="0.2">
      <c r="A140" t="s">
        <v>311</v>
      </c>
      <c r="B140" t="s">
        <v>312</v>
      </c>
      <c r="C140">
        <v>133062</v>
      </c>
      <c r="D140">
        <v>19790</v>
      </c>
      <c r="E140">
        <v>2165776</v>
      </c>
      <c r="F140" t="s">
        <v>35</v>
      </c>
      <c r="G140" t="s">
        <v>10</v>
      </c>
    </row>
    <row r="141" spans="1:7" x14ac:dyDescent="0.2">
      <c r="A141" t="s">
        <v>313</v>
      </c>
      <c r="B141" t="s">
        <v>314</v>
      </c>
      <c r="C141">
        <v>132305</v>
      </c>
      <c r="D141">
        <v>88791</v>
      </c>
      <c r="E141">
        <v>1551836</v>
      </c>
      <c r="F141" t="s">
        <v>35</v>
      </c>
      <c r="G141" t="s">
        <v>10</v>
      </c>
    </row>
    <row r="142" spans="1:7" x14ac:dyDescent="0.2">
      <c r="A142" t="s">
        <v>315</v>
      </c>
      <c r="B142" t="s">
        <v>316</v>
      </c>
      <c r="C142">
        <v>126848</v>
      </c>
      <c r="D142">
        <v>17140</v>
      </c>
      <c r="E142">
        <v>2372960</v>
      </c>
      <c r="F142" t="s">
        <v>35</v>
      </c>
      <c r="G142" t="s">
        <v>10</v>
      </c>
    </row>
    <row r="143" spans="1:7" x14ac:dyDescent="0.2">
      <c r="A143" t="s">
        <v>317</v>
      </c>
      <c r="B143" t="s">
        <v>318</v>
      </c>
      <c r="C143">
        <v>125843</v>
      </c>
      <c r="D143">
        <v>13416</v>
      </c>
      <c r="E143">
        <v>1844163</v>
      </c>
      <c r="F143" t="s">
        <v>35</v>
      </c>
      <c r="G143" t="s">
        <v>10</v>
      </c>
    </row>
    <row r="144" spans="1:7" x14ac:dyDescent="0.2">
      <c r="A144" t="s">
        <v>319</v>
      </c>
      <c r="B144" t="s">
        <v>320</v>
      </c>
      <c r="C144">
        <v>124963</v>
      </c>
      <c r="D144">
        <v>22</v>
      </c>
      <c r="E144">
        <v>1737514</v>
      </c>
      <c r="F144" t="s">
        <v>35</v>
      </c>
      <c r="G144" t="s">
        <v>10</v>
      </c>
    </row>
    <row r="145" spans="1:7" x14ac:dyDescent="0.2">
      <c r="A145" t="s">
        <v>321</v>
      </c>
      <c r="B145" t="s">
        <v>322</v>
      </c>
      <c r="C145">
        <v>124600</v>
      </c>
      <c r="D145">
        <v>0</v>
      </c>
      <c r="E145">
        <v>1536214</v>
      </c>
      <c r="F145" t="s">
        <v>35</v>
      </c>
      <c r="G145" t="s">
        <v>10</v>
      </c>
    </row>
    <row r="146" spans="1:7" x14ac:dyDescent="0.2">
      <c r="A146" t="s">
        <v>323</v>
      </c>
      <c r="B146" t="s">
        <v>324</v>
      </c>
      <c r="C146">
        <v>123993</v>
      </c>
      <c r="D146">
        <v>293723</v>
      </c>
      <c r="E146">
        <v>4202806</v>
      </c>
      <c r="F146" t="s">
        <v>35</v>
      </c>
      <c r="G146" t="s">
        <v>10</v>
      </c>
    </row>
    <row r="147" spans="1:7" x14ac:dyDescent="0.2">
      <c r="A147" t="s">
        <v>325</v>
      </c>
      <c r="B147" t="s">
        <v>326</v>
      </c>
      <c r="C147">
        <v>122977</v>
      </c>
      <c r="D147">
        <v>27799</v>
      </c>
      <c r="E147">
        <v>2127978</v>
      </c>
      <c r="F147" t="s">
        <v>35</v>
      </c>
      <c r="G147" t="s">
        <v>10</v>
      </c>
    </row>
    <row r="148" spans="1:7" x14ac:dyDescent="0.2">
      <c r="A148" t="s">
        <v>327</v>
      </c>
      <c r="B148" t="s">
        <v>328</v>
      </c>
      <c r="C148">
        <v>122427</v>
      </c>
      <c r="D148">
        <v>114275</v>
      </c>
      <c r="E148">
        <v>2389954</v>
      </c>
      <c r="F148" t="s">
        <v>35</v>
      </c>
      <c r="G148" t="s">
        <v>10</v>
      </c>
    </row>
    <row r="149" spans="1:7" x14ac:dyDescent="0.2">
      <c r="A149" t="s">
        <v>329</v>
      </c>
      <c r="B149" t="s">
        <v>330</v>
      </c>
      <c r="C149">
        <v>122385</v>
      </c>
      <c r="D149">
        <v>1648</v>
      </c>
      <c r="E149">
        <v>1266257</v>
      </c>
      <c r="F149" t="s">
        <v>35</v>
      </c>
      <c r="G149" t="s">
        <v>10</v>
      </c>
    </row>
    <row r="150" spans="1:7" x14ac:dyDescent="0.2">
      <c r="A150" t="s">
        <v>331</v>
      </c>
      <c r="B150" t="s">
        <v>332</v>
      </c>
      <c r="C150">
        <v>122306</v>
      </c>
      <c r="D150">
        <v>16383</v>
      </c>
      <c r="E150">
        <v>1883672</v>
      </c>
      <c r="F150" t="s">
        <v>35</v>
      </c>
      <c r="G150" t="s">
        <v>10</v>
      </c>
    </row>
    <row r="151" spans="1:7" x14ac:dyDescent="0.2">
      <c r="A151" t="s">
        <v>333</v>
      </c>
      <c r="B151" t="s">
        <v>334</v>
      </c>
      <c r="C151">
        <v>121801</v>
      </c>
      <c r="D151">
        <v>4176</v>
      </c>
      <c r="E151">
        <v>1758294</v>
      </c>
      <c r="F151" t="s">
        <v>35</v>
      </c>
      <c r="G151" t="s">
        <v>10</v>
      </c>
    </row>
    <row r="152" spans="1:7" x14ac:dyDescent="0.2">
      <c r="A152" t="s">
        <v>335</v>
      </c>
      <c r="B152" t="s">
        <v>336</v>
      </c>
      <c r="C152">
        <v>120614</v>
      </c>
      <c r="D152">
        <v>8869</v>
      </c>
      <c r="E152">
        <v>1760505</v>
      </c>
      <c r="F152" t="s">
        <v>35</v>
      </c>
      <c r="G152" t="s">
        <v>10</v>
      </c>
    </row>
    <row r="153" spans="1:7" x14ac:dyDescent="0.2">
      <c r="A153" t="s">
        <v>337</v>
      </c>
      <c r="B153" t="s">
        <v>338</v>
      </c>
      <c r="C153">
        <v>119940</v>
      </c>
      <c r="D153">
        <v>176</v>
      </c>
      <c r="E153">
        <v>1709695</v>
      </c>
      <c r="F153" t="s">
        <v>35</v>
      </c>
      <c r="G153" t="s">
        <v>10</v>
      </c>
    </row>
    <row r="154" spans="1:7" x14ac:dyDescent="0.2">
      <c r="A154" t="s">
        <v>339</v>
      </c>
      <c r="B154" t="s">
        <v>340</v>
      </c>
      <c r="C154">
        <v>119316</v>
      </c>
      <c r="D154">
        <v>5044</v>
      </c>
      <c r="E154">
        <v>1724512</v>
      </c>
      <c r="F154" t="s">
        <v>35</v>
      </c>
      <c r="G154" t="s">
        <v>10</v>
      </c>
    </row>
    <row r="155" spans="1:7" x14ac:dyDescent="0.2">
      <c r="A155" t="s">
        <v>341</v>
      </c>
      <c r="B155" t="s">
        <v>342</v>
      </c>
      <c r="C155">
        <v>117502</v>
      </c>
      <c r="D155">
        <v>3370</v>
      </c>
      <c r="E155">
        <v>1685654</v>
      </c>
      <c r="F155" t="s">
        <v>35</v>
      </c>
      <c r="G155" t="s">
        <v>10</v>
      </c>
    </row>
    <row r="156" spans="1:7" x14ac:dyDescent="0.2">
      <c r="A156" t="s">
        <v>343</v>
      </c>
      <c r="B156" t="s">
        <v>344</v>
      </c>
      <c r="C156">
        <v>117387</v>
      </c>
      <c r="D156">
        <v>61398</v>
      </c>
      <c r="E156">
        <v>1990105</v>
      </c>
      <c r="F156" t="s">
        <v>35</v>
      </c>
      <c r="G156" t="s">
        <v>10</v>
      </c>
    </row>
    <row r="157" spans="1:7" x14ac:dyDescent="0.2">
      <c r="A157" t="s">
        <v>345</v>
      </c>
      <c r="B157" t="s">
        <v>346</v>
      </c>
      <c r="C157">
        <v>116313</v>
      </c>
      <c r="D157">
        <v>20252</v>
      </c>
      <c r="E157">
        <v>2025541</v>
      </c>
      <c r="F157" t="s">
        <v>35</v>
      </c>
      <c r="G157" t="s">
        <v>10</v>
      </c>
    </row>
    <row r="158" spans="1:7" x14ac:dyDescent="0.2">
      <c r="A158" t="s">
        <v>347</v>
      </c>
      <c r="B158" t="s">
        <v>348</v>
      </c>
      <c r="C158">
        <v>114512</v>
      </c>
      <c r="D158">
        <v>39</v>
      </c>
      <c r="E158">
        <v>1575050</v>
      </c>
      <c r="F158" t="s">
        <v>35</v>
      </c>
      <c r="G158" t="s">
        <v>10</v>
      </c>
    </row>
    <row r="159" spans="1:7" x14ac:dyDescent="0.2">
      <c r="A159" t="s">
        <v>349</v>
      </c>
      <c r="B159" t="s">
        <v>350</v>
      </c>
      <c r="C159">
        <v>111314</v>
      </c>
      <c r="D159">
        <v>0</v>
      </c>
      <c r="E159">
        <v>1507935</v>
      </c>
      <c r="F159" t="s">
        <v>35</v>
      </c>
      <c r="G159" t="s">
        <v>10</v>
      </c>
    </row>
    <row r="160" spans="1:7" x14ac:dyDescent="0.2">
      <c r="A160" t="s">
        <v>351</v>
      </c>
      <c r="B160" t="s">
        <v>352</v>
      </c>
      <c r="C160">
        <v>111243</v>
      </c>
      <c r="D160">
        <v>26052</v>
      </c>
      <c r="E160">
        <v>1696166</v>
      </c>
      <c r="F160" t="s">
        <v>35</v>
      </c>
      <c r="G160" t="s">
        <v>10</v>
      </c>
    </row>
    <row r="161" spans="1:7" x14ac:dyDescent="0.2">
      <c r="A161" t="s">
        <v>353</v>
      </c>
      <c r="B161" t="s">
        <v>354</v>
      </c>
      <c r="C161">
        <v>110745</v>
      </c>
      <c r="D161">
        <v>67219</v>
      </c>
      <c r="E161">
        <v>1423131</v>
      </c>
      <c r="F161" t="s">
        <v>35</v>
      </c>
      <c r="G161" t="s">
        <v>10</v>
      </c>
    </row>
    <row r="162" spans="1:7" x14ac:dyDescent="0.2">
      <c r="A162" t="s">
        <v>355</v>
      </c>
      <c r="B162" t="s">
        <v>356</v>
      </c>
      <c r="C162">
        <v>109241</v>
      </c>
      <c r="D162">
        <v>26644</v>
      </c>
      <c r="E162">
        <v>1579154</v>
      </c>
      <c r="F162" t="s">
        <v>35</v>
      </c>
      <c r="G162" t="s">
        <v>10</v>
      </c>
    </row>
    <row r="163" spans="1:7" x14ac:dyDescent="0.2">
      <c r="A163" t="s">
        <v>357</v>
      </c>
      <c r="B163" t="s">
        <v>358</v>
      </c>
      <c r="C163">
        <v>106935</v>
      </c>
      <c r="D163">
        <v>5</v>
      </c>
      <c r="E163">
        <v>963156</v>
      </c>
      <c r="F163" t="s">
        <v>35</v>
      </c>
      <c r="G163" t="s">
        <v>10</v>
      </c>
    </row>
    <row r="164" spans="1:7" x14ac:dyDescent="0.2">
      <c r="A164" t="s">
        <v>359</v>
      </c>
      <c r="B164" t="s">
        <v>360</v>
      </c>
      <c r="C164">
        <v>105435</v>
      </c>
      <c r="D164">
        <v>33018</v>
      </c>
      <c r="E164">
        <v>1868519</v>
      </c>
      <c r="F164" t="s">
        <v>35</v>
      </c>
      <c r="G164" t="s">
        <v>10</v>
      </c>
    </row>
    <row r="165" spans="1:7" x14ac:dyDescent="0.2">
      <c r="A165" t="s">
        <v>361</v>
      </c>
      <c r="B165" t="s">
        <v>362</v>
      </c>
      <c r="C165">
        <v>105414</v>
      </c>
      <c r="D165">
        <v>92390</v>
      </c>
      <c r="E165">
        <v>2429385</v>
      </c>
      <c r="F165" t="s">
        <v>35</v>
      </c>
      <c r="G165" t="s">
        <v>10</v>
      </c>
    </row>
    <row r="166" spans="1:7" x14ac:dyDescent="0.2">
      <c r="A166" t="s">
        <v>363</v>
      </c>
      <c r="B166" t="s">
        <v>364</v>
      </c>
      <c r="C166">
        <v>105315</v>
      </c>
      <c r="D166">
        <v>8883</v>
      </c>
      <c r="E166">
        <v>2126236</v>
      </c>
      <c r="F166" t="s">
        <v>35</v>
      </c>
      <c r="G166" t="s">
        <v>10</v>
      </c>
    </row>
    <row r="167" spans="1:7" x14ac:dyDescent="0.2">
      <c r="A167" t="s">
        <v>365</v>
      </c>
      <c r="B167" t="s">
        <v>366</v>
      </c>
      <c r="C167">
        <v>102427</v>
      </c>
      <c r="D167">
        <v>2981</v>
      </c>
      <c r="E167">
        <v>1479382</v>
      </c>
      <c r="F167" t="s">
        <v>35</v>
      </c>
      <c r="G167" t="s">
        <v>10</v>
      </c>
    </row>
    <row r="168" spans="1:7" x14ac:dyDescent="0.2">
      <c r="A168" t="s">
        <v>367</v>
      </c>
      <c r="B168" t="s">
        <v>368</v>
      </c>
      <c r="C168">
        <v>102089</v>
      </c>
      <c r="D168">
        <v>345</v>
      </c>
      <c r="E168">
        <v>823017</v>
      </c>
      <c r="F168" t="s">
        <v>35</v>
      </c>
      <c r="G168" t="s">
        <v>10</v>
      </c>
    </row>
    <row r="169" spans="1:7" x14ac:dyDescent="0.2">
      <c r="A169" t="s">
        <v>369</v>
      </c>
      <c r="B169" t="s">
        <v>370</v>
      </c>
      <c r="C169">
        <v>97597</v>
      </c>
      <c r="D169">
        <v>72502</v>
      </c>
      <c r="E169">
        <v>1754395</v>
      </c>
      <c r="F169" t="s">
        <v>35</v>
      </c>
      <c r="G169" t="s">
        <v>10</v>
      </c>
    </row>
    <row r="170" spans="1:7" x14ac:dyDescent="0.2">
      <c r="A170" t="s">
        <v>371</v>
      </c>
      <c r="B170" t="s">
        <v>372</v>
      </c>
      <c r="C170">
        <v>96992</v>
      </c>
      <c r="D170">
        <v>122</v>
      </c>
      <c r="E170">
        <v>594701</v>
      </c>
      <c r="F170" t="s">
        <v>35</v>
      </c>
      <c r="G170" t="s">
        <v>10</v>
      </c>
    </row>
    <row r="171" spans="1:7" x14ac:dyDescent="0.2">
      <c r="A171" t="s">
        <v>373</v>
      </c>
      <c r="B171" t="s">
        <v>374</v>
      </c>
      <c r="C171">
        <v>96359</v>
      </c>
      <c r="D171">
        <v>97396</v>
      </c>
      <c r="E171">
        <v>1885557</v>
      </c>
      <c r="F171" t="s">
        <v>35</v>
      </c>
      <c r="G171" t="s">
        <v>10</v>
      </c>
    </row>
    <row r="172" spans="1:7" x14ac:dyDescent="0.2">
      <c r="A172" t="s">
        <v>375</v>
      </c>
      <c r="B172" t="s">
        <v>376</v>
      </c>
      <c r="C172">
        <v>94358</v>
      </c>
      <c r="D172">
        <v>8095</v>
      </c>
      <c r="E172">
        <v>561782</v>
      </c>
      <c r="F172" t="s">
        <v>35</v>
      </c>
      <c r="G172" t="s">
        <v>10</v>
      </c>
    </row>
    <row r="173" spans="1:7" x14ac:dyDescent="0.2">
      <c r="A173" t="s">
        <v>377</v>
      </c>
      <c r="B173" t="s">
        <v>378</v>
      </c>
      <c r="C173">
        <v>94063</v>
      </c>
      <c r="D173">
        <v>15559</v>
      </c>
      <c r="E173">
        <v>853839</v>
      </c>
      <c r="F173" t="s">
        <v>35</v>
      </c>
      <c r="G173" t="s">
        <v>10</v>
      </c>
    </row>
    <row r="174" spans="1:7" x14ac:dyDescent="0.2">
      <c r="A174" t="s">
        <v>379</v>
      </c>
      <c r="B174" t="s">
        <v>380</v>
      </c>
      <c r="C174">
        <v>93428</v>
      </c>
      <c r="D174">
        <v>0</v>
      </c>
      <c r="E174">
        <v>1338120</v>
      </c>
      <c r="F174" t="s">
        <v>35</v>
      </c>
      <c r="G174" t="s">
        <v>10</v>
      </c>
    </row>
    <row r="175" spans="1:7" x14ac:dyDescent="0.2">
      <c r="A175" t="s">
        <v>381</v>
      </c>
      <c r="B175" t="s">
        <v>382</v>
      </c>
      <c r="C175">
        <v>93121</v>
      </c>
      <c r="D175">
        <v>4437</v>
      </c>
      <c r="E175">
        <v>1360475</v>
      </c>
      <c r="F175" t="s">
        <v>35</v>
      </c>
      <c r="G175" t="s">
        <v>10</v>
      </c>
    </row>
    <row r="176" spans="1:7" x14ac:dyDescent="0.2">
      <c r="A176" t="s">
        <v>383</v>
      </c>
      <c r="B176" t="s">
        <v>384</v>
      </c>
      <c r="C176">
        <v>91667</v>
      </c>
      <c r="D176">
        <v>7486</v>
      </c>
      <c r="E176">
        <v>1345440</v>
      </c>
      <c r="F176" t="s">
        <v>35</v>
      </c>
      <c r="G176" t="s">
        <v>10</v>
      </c>
    </row>
    <row r="177" spans="1:7" x14ac:dyDescent="0.2">
      <c r="A177" t="s">
        <v>385</v>
      </c>
      <c r="B177" t="s">
        <v>386</v>
      </c>
      <c r="C177">
        <v>91369</v>
      </c>
      <c r="D177">
        <v>448</v>
      </c>
      <c r="E177">
        <v>1300899</v>
      </c>
      <c r="F177" t="s">
        <v>35</v>
      </c>
      <c r="G177" t="s">
        <v>10</v>
      </c>
    </row>
    <row r="178" spans="1:7" x14ac:dyDescent="0.2">
      <c r="A178" t="s">
        <v>387</v>
      </c>
      <c r="B178" t="s">
        <v>388</v>
      </c>
      <c r="C178">
        <v>91365</v>
      </c>
      <c r="D178">
        <v>895</v>
      </c>
      <c r="E178">
        <v>1683615</v>
      </c>
      <c r="F178" t="s">
        <v>35</v>
      </c>
      <c r="G178" t="s">
        <v>10</v>
      </c>
    </row>
    <row r="179" spans="1:7" x14ac:dyDescent="0.2">
      <c r="A179" t="s">
        <v>389</v>
      </c>
      <c r="B179" t="s">
        <v>390</v>
      </c>
      <c r="C179">
        <v>90563</v>
      </c>
      <c r="D179">
        <v>16495</v>
      </c>
      <c r="E179">
        <v>572532</v>
      </c>
      <c r="F179" t="s">
        <v>35</v>
      </c>
      <c r="G179" t="s">
        <v>10</v>
      </c>
    </row>
    <row r="180" spans="1:7" x14ac:dyDescent="0.2">
      <c r="A180" t="s">
        <v>391</v>
      </c>
      <c r="B180" t="s">
        <v>392</v>
      </c>
      <c r="C180">
        <v>90516</v>
      </c>
      <c r="D180">
        <v>61112</v>
      </c>
      <c r="E180">
        <v>1740848</v>
      </c>
      <c r="F180" t="s">
        <v>35</v>
      </c>
      <c r="G180" t="s">
        <v>10</v>
      </c>
    </row>
    <row r="181" spans="1:7" x14ac:dyDescent="0.2">
      <c r="A181" t="s">
        <v>393</v>
      </c>
      <c r="B181" t="s">
        <v>394</v>
      </c>
      <c r="C181">
        <v>90049</v>
      </c>
      <c r="D181">
        <v>297</v>
      </c>
      <c r="E181">
        <v>1286982</v>
      </c>
      <c r="F181" t="s">
        <v>35</v>
      </c>
      <c r="G181" t="s">
        <v>10</v>
      </c>
    </row>
    <row r="182" spans="1:7" x14ac:dyDescent="0.2">
      <c r="A182" t="s">
        <v>395</v>
      </c>
      <c r="B182" t="s">
        <v>396</v>
      </c>
      <c r="C182">
        <v>89550</v>
      </c>
      <c r="D182">
        <v>150464</v>
      </c>
      <c r="E182">
        <v>4294364</v>
      </c>
      <c r="F182" t="s">
        <v>35</v>
      </c>
      <c r="G182" t="s">
        <v>10</v>
      </c>
    </row>
    <row r="183" spans="1:7" x14ac:dyDescent="0.2">
      <c r="A183" t="s">
        <v>397</v>
      </c>
      <c r="B183" t="s">
        <v>398</v>
      </c>
      <c r="C183">
        <v>88913</v>
      </c>
      <c r="D183">
        <v>2972</v>
      </c>
      <c r="E183">
        <v>16020</v>
      </c>
      <c r="F183" t="s">
        <v>35</v>
      </c>
      <c r="G183" t="s">
        <v>10</v>
      </c>
    </row>
    <row r="184" spans="1:7" x14ac:dyDescent="0.2">
      <c r="A184" t="s">
        <v>399</v>
      </c>
      <c r="B184" t="s">
        <v>400</v>
      </c>
      <c r="C184">
        <v>88098</v>
      </c>
      <c r="D184">
        <v>270050</v>
      </c>
      <c r="E184">
        <v>3205745</v>
      </c>
      <c r="F184" t="s">
        <v>35</v>
      </c>
      <c r="G184" t="s">
        <v>10</v>
      </c>
    </row>
    <row r="185" spans="1:7" x14ac:dyDescent="0.2">
      <c r="A185" t="s">
        <v>401</v>
      </c>
      <c r="B185" t="s">
        <v>402</v>
      </c>
      <c r="C185">
        <v>87827</v>
      </c>
      <c r="D185">
        <v>113</v>
      </c>
      <c r="E185">
        <v>1252514</v>
      </c>
      <c r="F185" t="s">
        <v>35</v>
      </c>
      <c r="G185" t="s">
        <v>10</v>
      </c>
    </row>
    <row r="186" spans="1:7" x14ac:dyDescent="0.2">
      <c r="A186" t="s">
        <v>403</v>
      </c>
      <c r="B186" t="s">
        <v>404</v>
      </c>
      <c r="C186">
        <v>87625</v>
      </c>
      <c r="D186">
        <v>645</v>
      </c>
      <c r="E186">
        <v>861733</v>
      </c>
      <c r="F186" t="s">
        <v>35</v>
      </c>
      <c r="G186" t="s">
        <v>10</v>
      </c>
    </row>
    <row r="187" spans="1:7" x14ac:dyDescent="0.2">
      <c r="A187" t="s">
        <v>405</v>
      </c>
      <c r="B187" t="s">
        <v>406</v>
      </c>
      <c r="C187">
        <v>86981</v>
      </c>
      <c r="D187">
        <v>162</v>
      </c>
      <c r="E187">
        <v>39136</v>
      </c>
      <c r="F187" t="s">
        <v>35</v>
      </c>
      <c r="G187" t="s">
        <v>10</v>
      </c>
    </row>
    <row r="188" spans="1:7" x14ac:dyDescent="0.2">
      <c r="A188" t="s">
        <v>407</v>
      </c>
      <c r="B188" t="s">
        <v>408</v>
      </c>
      <c r="C188">
        <v>85289</v>
      </c>
      <c r="D188">
        <v>2662</v>
      </c>
      <c r="E188">
        <v>1844966</v>
      </c>
      <c r="F188" t="s">
        <v>35</v>
      </c>
      <c r="G188" t="s">
        <v>10</v>
      </c>
    </row>
    <row r="189" spans="1:7" x14ac:dyDescent="0.2">
      <c r="A189" t="s">
        <v>409</v>
      </c>
      <c r="B189" t="s">
        <v>410</v>
      </c>
      <c r="C189">
        <v>84321</v>
      </c>
      <c r="D189">
        <v>169841</v>
      </c>
      <c r="E189">
        <v>2613303</v>
      </c>
      <c r="F189" t="s">
        <v>35</v>
      </c>
      <c r="G189" t="s">
        <v>10</v>
      </c>
    </row>
    <row r="190" spans="1:7" x14ac:dyDescent="0.2">
      <c r="A190" t="s">
        <v>411</v>
      </c>
      <c r="B190" t="s">
        <v>412</v>
      </c>
      <c r="C190">
        <v>83849</v>
      </c>
      <c r="D190">
        <v>3411</v>
      </c>
      <c r="E190">
        <v>1221868</v>
      </c>
      <c r="F190" t="s">
        <v>35</v>
      </c>
      <c r="G190" t="s">
        <v>10</v>
      </c>
    </row>
    <row r="191" spans="1:7" x14ac:dyDescent="0.2">
      <c r="A191" t="s">
        <v>413</v>
      </c>
      <c r="B191" t="s">
        <v>414</v>
      </c>
      <c r="C191">
        <v>83006</v>
      </c>
      <c r="D191">
        <v>272</v>
      </c>
      <c r="E191">
        <v>38935</v>
      </c>
      <c r="F191" t="s">
        <v>35</v>
      </c>
      <c r="G191" t="s">
        <v>10</v>
      </c>
    </row>
    <row r="192" spans="1:7" x14ac:dyDescent="0.2">
      <c r="A192" t="s">
        <v>415</v>
      </c>
      <c r="B192" t="s">
        <v>416</v>
      </c>
      <c r="C192">
        <v>82639</v>
      </c>
      <c r="D192">
        <v>141084</v>
      </c>
      <c r="E192">
        <v>2126267</v>
      </c>
      <c r="F192" t="s">
        <v>35</v>
      </c>
      <c r="G192" t="s">
        <v>10</v>
      </c>
    </row>
    <row r="193" spans="1:7" x14ac:dyDescent="0.2">
      <c r="A193" t="s">
        <v>417</v>
      </c>
      <c r="B193" t="s">
        <v>418</v>
      </c>
      <c r="C193">
        <v>81558</v>
      </c>
      <c r="D193">
        <v>8384</v>
      </c>
      <c r="E193">
        <v>1255692</v>
      </c>
      <c r="F193" t="s">
        <v>35</v>
      </c>
      <c r="G193" t="s">
        <v>10</v>
      </c>
    </row>
    <row r="194" spans="1:7" x14ac:dyDescent="0.2">
      <c r="A194" t="s">
        <v>419</v>
      </c>
      <c r="B194" t="s">
        <v>420</v>
      </c>
      <c r="C194">
        <v>80391</v>
      </c>
      <c r="D194">
        <v>119483</v>
      </c>
      <c r="E194">
        <v>2034077</v>
      </c>
      <c r="F194" t="s">
        <v>35</v>
      </c>
      <c r="G194" t="s">
        <v>10</v>
      </c>
    </row>
    <row r="195" spans="1:7" x14ac:dyDescent="0.2">
      <c r="A195" t="s">
        <v>421</v>
      </c>
      <c r="B195" t="s">
        <v>422</v>
      </c>
      <c r="C195">
        <v>80304</v>
      </c>
      <c r="D195">
        <v>8</v>
      </c>
      <c r="E195">
        <v>1357813</v>
      </c>
      <c r="F195" t="s">
        <v>35</v>
      </c>
      <c r="G195" t="s">
        <v>10</v>
      </c>
    </row>
    <row r="196" spans="1:7" x14ac:dyDescent="0.2">
      <c r="A196" t="s">
        <v>423</v>
      </c>
      <c r="B196" t="s">
        <v>424</v>
      </c>
      <c r="C196">
        <v>79836</v>
      </c>
      <c r="D196">
        <v>10581</v>
      </c>
      <c r="E196">
        <v>575934</v>
      </c>
      <c r="F196" t="s">
        <v>35</v>
      </c>
      <c r="G196" t="s">
        <v>10</v>
      </c>
    </row>
    <row r="197" spans="1:7" x14ac:dyDescent="0.2">
      <c r="A197" t="s">
        <v>425</v>
      </c>
      <c r="B197" t="s">
        <v>426</v>
      </c>
      <c r="C197">
        <v>77398</v>
      </c>
      <c r="D197">
        <v>49794</v>
      </c>
      <c r="E197">
        <v>1216741</v>
      </c>
      <c r="F197" t="s">
        <v>35</v>
      </c>
      <c r="G197" t="s">
        <v>10</v>
      </c>
    </row>
    <row r="198" spans="1:7" x14ac:dyDescent="0.2">
      <c r="A198" t="s">
        <v>427</v>
      </c>
      <c r="B198" t="s">
        <v>428</v>
      </c>
      <c r="C198">
        <v>76453</v>
      </c>
      <c r="D198">
        <v>787</v>
      </c>
      <c r="E198">
        <v>1098252</v>
      </c>
      <c r="F198" t="s">
        <v>35</v>
      </c>
      <c r="G198" t="s">
        <v>10</v>
      </c>
    </row>
    <row r="199" spans="1:7" x14ac:dyDescent="0.2">
      <c r="A199" t="s">
        <v>429</v>
      </c>
      <c r="B199" t="s">
        <v>430</v>
      </c>
      <c r="C199">
        <v>75624</v>
      </c>
      <c r="D199">
        <v>40921</v>
      </c>
      <c r="E199">
        <v>757045</v>
      </c>
      <c r="F199" t="s">
        <v>35</v>
      </c>
      <c r="G199" t="s">
        <v>10</v>
      </c>
    </row>
    <row r="200" spans="1:7" x14ac:dyDescent="0.2">
      <c r="A200" t="s">
        <v>431</v>
      </c>
      <c r="B200" t="s">
        <v>432</v>
      </c>
      <c r="C200">
        <v>75152</v>
      </c>
      <c r="D200">
        <v>9383</v>
      </c>
      <c r="E200">
        <v>1087381</v>
      </c>
      <c r="F200" t="s">
        <v>35</v>
      </c>
      <c r="G200" t="s">
        <v>10</v>
      </c>
    </row>
    <row r="201" spans="1:7" x14ac:dyDescent="0.2">
      <c r="A201" t="s">
        <v>433</v>
      </c>
      <c r="B201" t="s">
        <v>434</v>
      </c>
      <c r="C201">
        <v>74774</v>
      </c>
      <c r="D201">
        <v>89699</v>
      </c>
      <c r="E201">
        <v>1712044</v>
      </c>
      <c r="F201" t="s">
        <v>35</v>
      </c>
      <c r="G201" t="s">
        <v>10</v>
      </c>
    </row>
    <row r="202" spans="1:7" x14ac:dyDescent="0.2">
      <c r="A202" t="s">
        <v>435</v>
      </c>
      <c r="B202" t="s">
        <v>436</v>
      </c>
      <c r="C202">
        <v>74184</v>
      </c>
      <c r="D202">
        <v>145347</v>
      </c>
      <c r="E202">
        <v>2432974</v>
      </c>
      <c r="F202" t="s">
        <v>35</v>
      </c>
      <c r="G202" t="s">
        <v>10</v>
      </c>
    </row>
    <row r="203" spans="1:7" x14ac:dyDescent="0.2">
      <c r="A203" t="s">
        <v>437</v>
      </c>
      <c r="B203" t="s">
        <v>438</v>
      </c>
      <c r="C203">
        <v>73608</v>
      </c>
      <c r="D203">
        <v>49</v>
      </c>
      <c r="E203">
        <v>1077849</v>
      </c>
      <c r="F203" t="s">
        <v>35</v>
      </c>
      <c r="G203" t="s">
        <v>10</v>
      </c>
    </row>
    <row r="204" spans="1:7" x14ac:dyDescent="0.2">
      <c r="A204" t="s">
        <v>439</v>
      </c>
      <c r="B204" t="s">
        <v>440</v>
      </c>
      <c r="C204">
        <v>72162</v>
      </c>
      <c r="D204">
        <v>14</v>
      </c>
      <c r="E204">
        <v>807278</v>
      </c>
      <c r="F204" t="s">
        <v>35</v>
      </c>
      <c r="G204" t="s">
        <v>10</v>
      </c>
    </row>
    <row r="205" spans="1:7" x14ac:dyDescent="0.2">
      <c r="A205" t="s">
        <v>441</v>
      </c>
      <c r="B205" t="s">
        <v>442</v>
      </c>
      <c r="C205">
        <v>71737</v>
      </c>
      <c r="D205">
        <v>538</v>
      </c>
      <c r="E205">
        <v>1025733</v>
      </c>
      <c r="F205" t="s">
        <v>35</v>
      </c>
      <c r="G205" t="s">
        <v>10</v>
      </c>
    </row>
    <row r="206" spans="1:7" x14ac:dyDescent="0.2">
      <c r="A206" t="s">
        <v>443</v>
      </c>
      <c r="B206" t="s">
        <v>444</v>
      </c>
      <c r="C206">
        <v>71536</v>
      </c>
      <c r="D206">
        <v>468</v>
      </c>
      <c r="E206">
        <v>1024622</v>
      </c>
      <c r="F206" t="s">
        <v>35</v>
      </c>
      <c r="G206" t="s">
        <v>10</v>
      </c>
    </row>
    <row r="207" spans="1:7" x14ac:dyDescent="0.2">
      <c r="A207" t="s">
        <v>445</v>
      </c>
      <c r="B207" t="s">
        <v>446</v>
      </c>
      <c r="C207">
        <v>71475</v>
      </c>
      <c r="D207">
        <v>3225</v>
      </c>
      <c r="E207">
        <v>1279268</v>
      </c>
      <c r="F207" t="s">
        <v>35</v>
      </c>
      <c r="G207" t="s">
        <v>10</v>
      </c>
    </row>
    <row r="208" spans="1:7" x14ac:dyDescent="0.2">
      <c r="A208" t="s">
        <v>447</v>
      </c>
      <c r="B208" t="s">
        <v>448</v>
      </c>
      <c r="C208">
        <v>70961</v>
      </c>
      <c r="D208">
        <v>384</v>
      </c>
      <c r="E208">
        <v>1010281</v>
      </c>
      <c r="F208" t="s">
        <v>35</v>
      </c>
      <c r="G208" t="s">
        <v>10</v>
      </c>
    </row>
    <row r="209" spans="1:7" x14ac:dyDescent="0.2">
      <c r="A209" t="s">
        <v>449</v>
      </c>
      <c r="B209" t="s">
        <v>450</v>
      </c>
      <c r="C209">
        <v>69130</v>
      </c>
      <c r="D209">
        <v>903</v>
      </c>
      <c r="E209">
        <v>988076</v>
      </c>
      <c r="F209" t="s">
        <v>35</v>
      </c>
      <c r="G209" t="s">
        <v>10</v>
      </c>
    </row>
    <row r="210" spans="1:7" x14ac:dyDescent="0.2">
      <c r="A210" t="s">
        <v>451</v>
      </c>
      <c r="B210" t="s">
        <v>452</v>
      </c>
      <c r="C210">
        <v>69097</v>
      </c>
      <c r="D210">
        <v>30691</v>
      </c>
      <c r="E210">
        <v>1199261</v>
      </c>
      <c r="F210" t="s">
        <v>35</v>
      </c>
      <c r="G210" t="s">
        <v>10</v>
      </c>
    </row>
    <row r="211" spans="1:7" x14ac:dyDescent="0.2">
      <c r="A211" t="s">
        <v>453</v>
      </c>
      <c r="B211" t="s">
        <v>454</v>
      </c>
      <c r="C211">
        <v>67241</v>
      </c>
      <c r="D211">
        <v>0</v>
      </c>
      <c r="E211">
        <v>960007</v>
      </c>
      <c r="F211" t="s">
        <v>35</v>
      </c>
      <c r="G211" t="s">
        <v>10</v>
      </c>
    </row>
    <row r="212" spans="1:7" x14ac:dyDescent="0.2">
      <c r="A212" t="s">
        <v>455</v>
      </c>
      <c r="B212" t="s">
        <v>456</v>
      </c>
      <c r="C212">
        <v>67209</v>
      </c>
      <c r="D212">
        <v>794</v>
      </c>
      <c r="E212">
        <v>971637</v>
      </c>
      <c r="F212" t="s">
        <v>35</v>
      </c>
      <c r="G212" t="s">
        <v>10</v>
      </c>
    </row>
    <row r="213" spans="1:7" x14ac:dyDescent="0.2">
      <c r="A213" t="s">
        <v>457</v>
      </c>
      <c r="B213" t="s">
        <v>458</v>
      </c>
      <c r="C213">
        <v>66416</v>
      </c>
      <c r="D213">
        <v>3251</v>
      </c>
      <c r="E213">
        <v>902918</v>
      </c>
      <c r="F213" t="s">
        <v>35</v>
      </c>
      <c r="G213" t="s">
        <v>10</v>
      </c>
    </row>
    <row r="214" spans="1:7" x14ac:dyDescent="0.2">
      <c r="A214" t="s">
        <v>459</v>
      </c>
      <c r="B214" t="s">
        <v>460</v>
      </c>
      <c r="C214">
        <v>66324</v>
      </c>
      <c r="D214">
        <v>251300</v>
      </c>
      <c r="E214">
        <v>2327693</v>
      </c>
      <c r="F214" t="s">
        <v>35</v>
      </c>
      <c r="G214" t="s">
        <v>10</v>
      </c>
    </row>
    <row r="215" spans="1:7" x14ac:dyDescent="0.2">
      <c r="A215" t="s">
        <v>461</v>
      </c>
      <c r="B215" t="s">
        <v>462</v>
      </c>
      <c r="C215">
        <v>66143</v>
      </c>
      <c r="D215">
        <v>32447</v>
      </c>
      <c r="E215">
        <v>1429713</v>
      </c>
      <c r="F215" t="s">
        <v>35</v>
      </c>
      <c r="G215" t="s">
        <v>10</v>
      </c>
    </row>
    <row r="216" spans="1:7" x14ac:dyDescent="0.2">
      <c r="A216" t="s">
        <v>463</v>
      </c>
      <c r="B216" t="s">
        <v>464</v>
      </c>
      <c r="C216">
        <v>64515</v>
      </c>
      <c r="D216">
        <v>16625</v>
      </c>
      <c r="E216">
        <v>293215</v>
      </c>
      <c r="F216" t="s">
        <v>35</v>
      </c>
      <c r="G216" t="s">
        <v>10</v>
      </c>
    </row>
    <row r="217" spans="1:7" x14ac:dyDescent="0.2">
      <c r="A217" t="s">
        <v>465</v>
      </c>
      <c r="B217" t="s">
        <v>466</v>
      </c>
      <c r="C217">
        <v>64404</v>
      </c>
      <c r="D217">
        <v>16</v>
      </c>
      <c r="E217">
        <v>458018</v>
      </c>
      <c r="F217" t="s">
        <v>35</v>
      </c>
      <c r="G217" t="s">
        <v>10</v>
      </c>
    </row>
    <row r="218" spans="1:7" x14ac:dyDescent="0.2">
      <c r="A218" t="s">
        <v>467</v>
      </c>
      <c r="B218" t="s">
        <v>468</v>
      </c>
      <c r="C218">
        <v>64233</v>
      </c>
      <c r="D218">
        <v>0</v>
      </c>
      <c r="E218">
        <v>1192640</v>
      </c>
      <c r="F218" t="s">
        <v>35</v>
      </c>
      <c r="G218" t="s">
        <v>10</v>
      </c>
    </row>
    <row r="219" spans="1:7" x14ac:dyDescent="0.2">
      <c r="A219" t="s">
        <v>469</v>
      </c>
      <c r="B219" t="s">
        <v>470</v>
      </c>
      <c r="C219">
        <v>63412</v>
      </c>
      <c r="D219">
        <v>106</v>
      </c>
      <c r="E219">
        <v>1045644</v>
      </c>
      <c r="F219" t="s">
        <v>35</v>
      </c>
      <c r="G219" t="s">
        <v>10</v>
      </c>
    </row>
    <row r="220" spans="1:7" x14ac:dyDescent="0.2">
      <c r="A220" t="s">
        <v>471</v>
      </c>
      <c r="B220" t="s">
        <v>472</v>
      </c>
      <c r="C220">
        <v>61744</v>
      </c>
      <c r="D220">
        <v>24359</v>
      </c>
      <c r="E220">
        <v>1383082</v>
      </c>
      <c r="F220" t="s">
        <v>35</v>
      </c>
      <c r="G220" t="s">
        <v>10</v>
      </c>
    </row>
    <row r="221" spans="1:7" x14ac:dyDescent="0.2">
      <c r="A221" t="s">
        <v>473</v>
      </c>
      <c r="B221" t="s">
        <v>474</v>
      </c>
      <c r="C221">
        <v>61684</v>
      </c>
      <c r="D221">
        <v>15</v>
      </c>
      <c r="E221">
        <v>876954</v>
      </c>
      <c r="F221" t="s">
        <v>35</v>
      </c>
      <c r="G221" t="s">
        <v>10</v>
      </c>
    </row>
    <row r="222" spans="1:7" x14ac:dyDescent="0.2">
      <c r="A222" t="s">
        <v>475</v>
      </c>
      <c r="B222" t="s">
        <v>476</v>
      </c>
      <c r="C222">
        <v>61682</v>
      </c>
      <c r="D222">
        <v>27505</v>
      </c>
      <c r="E222">
        <v>1378515</v>
      </c>
      <c r="F222" t="s">
        <v>35</v>
      </c>
      <c r="G222" t="s">
        <v>10</v>
      </c>
    </row>
    <row r="223" spans="1:7" x14ac:dyDescent="0.2">
      <c r="A223" t="s">
        <v>477</v>
      </c>
      <c r="B223" t="s">
        <v>478</v>
      </c>
      <c r="C223">
        <v>61514</v>
      </c>
      <c r="D223">
        <v>5025</v>
      </c>
      <c r="E223">
        <v>64628</v>
      </c>
      <c r="F223" t="s">
        <v>35</v>
      </c>
      <c r="G223" t="s">
        <v>10</v>
      </c>
    </row>
    <row r="224" spans="1:7" x14ac:dyDescent="0.2">
      <c r="A224" t="s">
        <v>479</v>
      </c>
      <c r="B224" t="s">
        <v>480</v>
      </c>
      <c r="C224">
        <v>61397</v>
      </c>
      <c r="D224">
        <v>82075</v>
      </c>
      <c r="E224">
        <v>2273545</v>
      </c>
      <c r="F224" t="s">
        <v>35</v>
      </c>
      <c r="G224" t="s">
        <v>10</v>
      </c>
    </row>
    <row r="225" spans="1:7" x14ac:dyDescent="0.2">
      <c r="A225" t="s">
        <v>481</v>
      </c>
      <c r="B225" t="s">
        <v>482</v>
      </c>
      <c r="C225">
        <v>60939</v>
      </c>
      <c r="D225">
        <v>21270</v>
      </c>
      <c r="E225">
        <v>1427758</v>
      </c>
      <c r="F225" t="s">
        <v>35</v>
      </c>
      <c r="G225" t="s">
        <v>10</v>
      </c>
    </row>
    <row r="226" spans="1:7" x14ac:dyDescent="0.2">
      <c r="A226" t="s">
        <v>483</v>
      </c>
      <c r="B226" t="s">
        <v>484</v>
      </c>
      <c r="C226">
        <v>60624</v>
      </c>
      <c r="D226">
        <v>26387</v>
      </c>
      <c r="E226">
        <v>982757</v>
      </c>
      <c r="F226" t="s">
        <v>35</v>
      </c>
      <c r="G226" t="s">
        <v>10</v>
      </c>
    </row>
    <row r="227" spans="1:7" x14ac:dyDescent="0.2">
      <c r="A227" t="s">
        <v>485</v>
      </c>
      <c r="B227" t="s">
        <v>486</v>
      </c>
      <c r="C227">
        <v>59885</v>
      </c>
      <c r="D227">
        <v>55</v>
      </c>
      <c r="E227">
        <v>7246</v>
      </c>
      <c r="F227" t="s">
        <v>35</v>
      </c>
      <c r="G227" t="s">
        <v>10</v>
      </c>
    </row>
    <row r="228" spans="1:7" x14ac:dyDescent="0.2">
      <c r="A228" t="s">
        <v>487</v>
      </c>
      <c r="B228" t="s">
        <v>488</v>
      </c>
      <c r="C228">
        <v>59767</v>
      </c>
      <c r="D228">
        <v>0</v>
      </c>
      <c r="E228">
        <v>15788</v>
      </c>
      <c r="F228" t="s">
        <v>35</v>
      </c>
      <c r="G228" t="s">
        <v>10</v>
      </c>
    </row>
    <row r="229" spans="1:7" x14ac:dyDescent="0.2">
      <c r="A229" t="s">
        <v>489</v>
      </c>
      <c r="B229" t="s">
        <v>490</v>
      </c>
      <c r="C229">
        <v>59552</v>
      </c>
      <c r="D229">
        <v>248</v>
      </c>
      <c r="E229">
        <v>850046</v>
      </c>
      <c r="F229" t="s">
        <v>35</v>
      </c>
      <c r="G229" t="s">
        <v>10</v>
      </c>
    </row>
    <row r="230" spans="1:7" x14ac:dyDescent="0.2">
      <c r="A230" t="s">
        <v>491</v>
      </c>
      <c r="B230" t="s">
        <v>492</v>
      </c>
      <c r="C230">
        <v>58608</v>
      </c>
      <c r="D230">
        <v>294998</v>
      </c>
      <c r="E230">
        <v>1839333</v>
      </c>
      <c r="F230" t="s">
        <v>35</v>
      </c>
      <c r="G230" t="s">
        <v>10</v>
      </c>
    </row>
    <row r="231" spans="1:7" x14ac:dyDescent="0.2">
      <c r="A231" t="s">
        <v>493</v>
      </c>
      <c r="B231" t="s">
        <v>494</v>
      </c>
      <c r="C231">
        <v>58534</v>
      </c>
      <c r="D231">
        <v>2</v>
      </c>
      <c r="E231">
        <v>843155</v>
      </c>
      <c r="F231" t="s">
        <v>35</v>
      </c>
      <c r="G231" t="s">
        <v>10</v>
      </c>
    </row>
    <row r="232" spans="1:7" x14ac:dyDescent="0.2">
      <c r="A232" t="s">
        <v>495</v>
      </c>
      <c r="B232" t="s">
        <v>496</v>
      </c>
      <c r="C232">
        <v>57523</v>
      </c>
      <c r="D232">
        <v>146</v>
      </c>
      <c r="E232">
        <v>822022</v>
      </c>
      <c r="F232" t="s">
        <v>35</v>
      </c>
      <c r="G232" t="s">
        <v>10</v>
      </c>
    </row>
    <row r="233" spans="1:7" x14ac:dyDescent="0.2">
      <c r="A233" t="s">
        <v>497</v>
      </c>
      <c r="B233" t="s">
        <v>498</v>
      </c>
      <c r="C233">
        <v>56956</v>
      </c>
      <c r="D233">
        <v>144992</v>
      </c>
      <c r="E233">
        <v>1530080</v>
      </c>
      <c r="F233" t="s">
        <v>35</v>
      </c>
      <c r="G233" t="s">
        <v>10</v>
      </c>
    </row>
    <row r="234" spans="1:7" x14ac:dyDescent="0.2">
      <c r="A234" t="s">
        <v>499</v>
      </c>
      <c r="B234" t="s">
        <v>500</v>
      </c>
      <c r="C234">
        <v>56883</v>
      </c>
      <c r="D234">
        <v>2019</v>
      </c>
      <c r="E234">
        <v>819269</v>
      </c>
      <c r="F234" t="s">
        <v>35</v>
      </c>
      <c r="G234" t="s">
        <v>10</v>
      </c>
    </row>
    <row r="235" spans="1:7" x14ac:dyDescent="0.2">
      <c r="A235" t="s">
        <v>501</v>
      </c>
      <c r="B235" t="s">
        <v>502</v>
      </c>
      <c r="C235">
        <v>56787</v>
      </c>
      <c r="D235">
        <v>194</v>
      </c>
      <c r="E235">
        <v>832767</v>
      </c>
      <c r="F235" t="s">
        <v>35</v>
      </c>
      <c r="G235" t="s">
        <v>10</v>
      </c>
    </row>
    <row r="236" spans="1:7" x14ac:dyDescent="0.2">
      <c r="A236" t="s">
        <v>503</v>
      </c>
      <c r="B236" t="s">
        <v>504</v>
      </c>
      <c r="C236">
        <v>56581</v>
      </c>
      <c r="D236">
        <v>86</v>
      </c>
      <c r="E236">
        <v>805208</v>
      </c>
      <c r="F236" t="s">
        <v>35</v>
      </c>
      <c r="G236" t="s">
        <v>10</v>
      </c>
    </row>
    <row r="237" spans="1:7" x14ac:dyDescent="0.2">
      <c r="A237" t="s">
        <v>505</v>
      </c>
      <c r="B237" t="s">
        <v>506</v>
      </c>
      <c r="C237">
        <v>56544</v>
      </c>
      <c r="D237">
        <v>135053</v>
      </c>
      <c r="E237">
        <v>1723684</v>
      </c>
      <c r="F237" t="s">
        <v>35</v>
      </c>
      <c r="G237" t="s">
        <v>10</v>
      </c>
    </row>
    <row r="238" spans="1:7" x14ac:dyDescent="0.2">
      <c r="A238" t="s">
        <v>507</v>
      </c>
      <c r="B238" t="s">
        <v>508</v>
      </c>
      <c r="C238">
        <v>56143</v>
      </c>
      <c r="D238">
        <v>12895</v>
      </c>
      <c r="E238">
        <v>866517</v>
      </c>
      <c r="F238" t="s">
        <v>35</v>
      </c>
      <c r="G238" t="s">
        <v>10</v>
      </c>
    </row>
    <row r="239" spans="1:7" x14ac:dyDescent="0.2">
      <c r="A239" t="s">
        <v>509</v>
      </c>
      <c r="B239" t="s">
        <v>510</v>
      </c>
      <c r="C239">
        <v>55860</v>
      </c>
      <c r="D239">
        <v>1699</v>
      </c>
      <c r="E239">
        <v>810542</v>
      </c>
      <c r="F239" t="s">
        <v>35</v>
      </c>
      <c r="G239" t="s">
        <v>10</v>
      </c>
    </row>
    <row r="240" spans="1:7" x14ac:dyDescent="0.2">
      <c r="A240" t="s">
        <v>511</v>
      </c>
      <c r="B240" t="s">
        <v>512</v>
      </c>
      <c r="C240">
        <v>55799</v>
      </c>
      <c r="D240">
        <v>399847</v>
      </c>
      <c r="E240">
        <v>3223614</v>
      </c>
      <c r="F240" t="s">
        <v>35</v>
      </c>
      <c r="G240" t="s">
        <v>10</v>
      </c>
    </row>
    <row r="241" spans="1:7" x14ac:dyDescent="0.2">
      <c r="A241" t="s">
        <v>513</v>
      </c>
      <c r="B241" t="s">
        <v>514</v>
      </c>
      <c r="C241">
        <v>55593</v>
      </c>
      <c r="D241">
        <v>281973</v>
      </c>
      <c r="E241">
        <v>2494914</v>
      </c>
      <c r="F241" t="s">
        <v>35</v>
      </c>
      <c r="G241" t="s">
        <v>10</v>
      </c>
    </row>
    <row r="242" spans="1:7" x14ac:dyDescent="0.2">
      <c r="A242" t="s">
        <v>515</v>
      </c>
      <c r="B242" t="s">
        <v>516</v>
      </c>
      <c r="C242">
        <v>55046</v>
      </c>
      <c r="D242">
        <v>209272</v>
      </c>
      <c r="E242">
        <v>3510280</v>
      </c>
      <c r="F242" t="s">
        <v>35</v>
      </c>
      <c r="G242" t="s">
        <v>10</v>
      </c>
    </row>
    <row r="243" spans="1:7" x14ac:dyDescent="0.2">
      <c r="A243" t="s">
        <v>517</v>
      </c>
      <c r="B243" t="s">
        <v>518</v>
      </c>
      <c r="C243">
        <v>54853</v>
      </c>
      <c r="D243">
        <v>58</v>
      </c>
      <c r="E243">
        <v>788901</v>
      </c>
      <c r="F243" t="s">
        <v>35</v>
      </c>
      <c r="G243" t="s">
        <v>10</v>
      </c>
    </row>
    <row r="244" spans="1:7" x14ac:dyDescent="0.2">
      <c r="A244" t="s">
        <v>519</v>
      </c>
      <c r="B244" t="s">
        <v>520</v>
      </c>
      <c r="C244">
        <v>54134</v>
      </c>
      <c r="D244">
        <v>0</v>
      </c>
      <c r="E244">
        <v>400437</v>
      </c>
      <c r="F244" t="s">
        <v>35</v>
      </c>
      <c r="G244" t="s">
        <v>10</v>
      </c>
    </row>
    <row r="245" spans="1:7" x14ac:dyDescent="0.2">
      <c r="A245" t="s">
        <v>521</v>
      </c>
      <c r="B245" t="s">
        <v>522</v>
      </c>
      <c r="C245">
        <v>54024</v>
      </c>
      <c r="D245">
        <v>0</v>
      </c>
      <c r="E245">
        <v>1048401</v>
      </c>
      <c r="F245" t="s">
        <v>35</v>
      </c>
      <c r="G245" t="s">
        <v>10</v>
      </c>
    </row>
    <row r="246" spans="1:7" x14ac:dyDescent="0.2">
      <c r="A246" t="s">
        <v>523</v>
      </c>
      <c r="B246" t="s">
        <v>524</v>
      </c>
      <c r="C246">
        <v>52942</v>
      </c>
      <c r="D246">
        <v>124582</v>
      </c>
      <c r="E246">
        <v>1437676</v>
      </c>
      <c r="F246" t="s">
        <v>35</v>
      </c>
      <c r="G246" t="s">
        <v>10</v>
      </c>
    </row>
    <row r="247" spans="1:7" x14ac:dyDescent="0.2">
      <c r="A247" t="s">
        <v>525</v>
      </c>
      <c r="B247" t="s">
        <v>526</v>
      </c>
      <c r="C247">
        <v>52910</v>
      </c>
      <c r="D247">
        <v>51363</v>
      </c>
      <c r="E247">
        <v>1258149</v>
      </c>
      <c r="F247" t="s">
        <v>35</v>
      </c>
      <c r="G247" t="s">
        <v>10</v>
      </c>
    </row>
    <row r="248" spans="1:7" x14ac:dyDescent="0.2">
      <c r="A248" t="s">
        <v>527</v>
      </c>
      <c r="B248" t="s">
        <v>528</v>
      </c>
      <c r="C248">
        <v>52879</v>
      </c>
      <c r="D248">
        <v>14254</v>
      </c>
      <c r="E248">
        <v>860472</v>
      </c>
      <c r="F248" t="s">
        <v>35</v>
      </c>
      <c r="G248" t="s">
        <v>10</v>
      </c>
    </row>
    <row r="249" spans="1:7" x14ac:dyDescent="0.2">
      <c r="A249" t="s">
        <v>529</v>
      </c>
      <c r="B249" t="s">
        <v>530</v>
      </c>
      <c r="C249">
        <v>52575</v>
      </c>
      <c r="D249">
        <v>111095</v>
      </c>
      <c r="E249">
        <v>1560904</v>
      </c>
      <c r="F249" t="s">
        <v>35</v>
      </c>
      <c r="G249" t="s">
        <v>10</v>
      </c>
    </row>
    <row r="250" spans="1:7" x14ac:dyDescent="0.2">
      <c r="A250" t="s">
        <v>531</v>
      </c>
      <c r="B250" t="s">
        <v>532</v>
      </c>
      <c r="C250">
        <v>52573</v>
      </c>
      <c r="D250">
        <v>100309</v>
      </c>
      <c r="E250">
        <v>694010</v>
      </c>
      <c r="F250" t="s">
        <v>35</v>
      </c>
      <c r="G250" t="s">
        <v>10</v>
      </c>
    </row>
    <row r="251" spans="1:7" x14ac:dyDescent="0.2">
      <c r="A251" t="s">
        <v>533</v>
      </c>
      <c r="B251" t="s">
        <v>534</v>
      </c>
      <c r="C251">
        <v>52255</v>
      </c>
      <c r="D251">
        <v>1948</v>
      </c>
      <c r="E251">
        <v>752608</v>
      </c>
      <c r="F251" t="s">
        <v>35</v>
      </c>
      <c r="G251" t="s">
        <v>10</v>
      </c>
    </row>
    <row r="252" spans="1:7" x14ac:dyDescent="0.2">
      <c r="A252" t="s">
        <v>535</v>
      </c>
      <c r="B252" t="s">
        <v>536</v>
      </c>
      <c r="C252">
        <v>51988</v>
      </c>
      <c r="D252">
        <v>15152</v>
      </c>
      <c r="E252">
        <v>181722</v>
      </c>
      <c r="F252" t="s">
        <v>35</v>
      </c>
      <c r="G252" t="s">
        <v>10</v>
      </c>
    </row>
    <row r="253" spans="1:7" x14ac:dyDescent="0.2">
      <c r="A253" t="s">
        <v>537</v>
      </c>
      <c r="B253" t="s">
        <v>538</v>
      </c>
      <c r="C253">
        <v>51570</v>
      </c>
      <c r="D253">
        <v>29627</v>
      </c>
      <c r="E253">
        <v>615942</v>
      </c>
      <c r="F253" t="s">
        <v>35</v>
      </c>
      <c r="G253" t="s">
        <v>10</v>
      </c>
    </row>
    <row r="254" spans="1:7" x14ac:dyDescent="0.2">
      <c r="A254" t="s">
        <v>539</v>
      </c>
      <c r="B254" t="s">
        <v>540</v>
      </c>
      <c r="C254">
        <v>51489</v>
      </c>
      <c r="D254">
        <v>592</v>
      </c>
      <c r="E254">
        <v>42446</v>
      </c>
      <c r="F254" t="s">
        <v>35</v>
      </c>
      <c r="G254" t="s">
        <v>10</v>
      </c>
    </row>
    <row r="255" spans="1:7" x14ac:dyDescent="0.2">
      <c r="A255" t="s">
        <v>541</v>
      </c>
      <c r="B255" t="s">
        <v>542</v>
      </c>
      <c r="C255">
        <v>51052</v>
      </c>
      <c r="D255">
        <v>71471</v>
      </c>
      <c r="E255">
        <v>1181048</v>
      </c>
      <c r="F255" t="s">
        <v>35</v>
      </c>
      <c r="G255" t="s">
        <v>10</v>
      </c>
    </row>
    <row r="256" spans="1:7" x14ac:dyDescent="0.2">
      <c r="A256" t="s">
        <v>543</v>
      </c>
      <c r="B256" t="s">
        <v>544</v>
      </c>
      <c r="C256">
        <v>50842</v>
      </c>
      <c r="D256">
        <v>151</v>
      </c>
      <c r="E256">
        <v>5967554</v>
      </c>
      <c r="F256" t="s">
        <v>35</v>
      </c>
      <c r="G256" t="s">
        <v>10</v>
      </c>
    </row>
    <row r="257" spans="1:7" x14ac:dyDescent="0.2">
      <c r="A257" t="s">
        <v>545</v>
      </c>
      <c r="B257" t="s">
        <v>546</v>
      </c>
      <c r="C257">
        <v>50326</v>
      </c>
      <c r="D257">
        <v>3009</v>
      </c>
      <c r="E257">
        <v>768939</v>
      </c>
      <c r="F257" t="s">
        <v>35</v>
      </c>
      <c r="G257" t="s">
        <v>10</v>
      </c>
    </row>
    <row r="258" spans="1:7" x14ac:dyDescent="0.2">
      <c r="A258" t="s">
        <v>547</v>
      </c>
      <c r="B258" t="s">
        <v>548</v>
      </c>
      <c r="C258">
        <v>50161</v>
      </c>
      <c r="D258">
        <v>37358</v>
      </c>
      <c r="E258">
        <v>923823</v>
      </c>
      <c r="F258" t="s">
        <v>35</v>
      </c>
      <c r="G258" t="s">
        <v>10</v>
      </c>
    </row>
    <row r="259" spans="1:7" x14ac:dyDescent="0.2">
      <c r="A259" t="s">
        <v>549</v>
      </c>
      <c r="B259" t="s">
        <v>550</v>
      </c>
      <c r="C259">
        <v>50067</v>
      </c>
      <c r="D259">
        <v>54231</v>
      </c>
      <c r="E259">
        <v>969689</v>
      </c>
      <c r="F259" t="s">
        <v>35</v>
      </c>
      <c r="G259" t="s">
        <v>10</v>
      </c>
    </row>
    <row r="260" spans="1:7" x14ac:dyDescent="0.2">
      <c r="A260" t="s">
        <v>551</v>
      </c>
      <c r="B260" t="s">
        <v>552</v>
      </c>
      <c r="C260">
        <v>49785</v>
      </c>
      <c r="D260">
        <v>8851</v>
      </c>
      <c r="E260">
        <v>16422901</v>
      </c>
      <c r="F260" t="s">
        <v>35</v>
      </c>
      <c r="G260" t="s">
        <v>10</v>
      </c>
    </row>
    <row r="261" spans="1:7" x14ac:dyDescent="0.2">
      <c r="A261" t="s">
        <v>553</v>
      </c>
      <c r="B261" t="s">
        <v>554</v>
      </c>
      <c r="C261">
        <v>49259</v>
      </c>
      <c r="D261">
        <v>15378</v>
      </c>
      <c r="E261">
        <v>1023024</v>
      </c>
      <c r="F261" t="s">
        <v>35</v>
      </c>
      <c r="G261" t="s">
        <v>10</v>
      </c>
    </row>
    <row r="262" spans="1:7" x14ac:dyDescent="0.2">
      <c r="A262" t="s">
        <v>555</v>
      </c>
      <c r="B262" t="s">
        <v>556</v>
      </c>
      <c r="C262">
        <v>48371</v>
      </c>
      <c r="D262">
        <v>2592</v>
      </c>
      <c r="E262">
        <v>890996</v>
      </c>
      <c r="F262" t="s">
        <v>35</v>
      </c>
      <c r="G262" t="s">
        <v>10</v>
      </c>
    </row>
    <row r="263" spans="1:7" x14ac:dyDescent="0.2">
      <c r="A263" t="s">
        <v>557</v>
      </c>
      <c r="B263" t="s">
        <v>558</v>
      </c>
      <c r="C263">
        <v>47879</v>
      </c>
      <c r="D263">
        <v>21056</v>
      </c>
      <c r="E263">
        <v>750587</v>
      </c>
      <c r="F263" t="s">
        <v>35</v>
      </c>
      <c r="G263" t="s">
        <v>10</v>
      </c>
    </row>
    <row r="264" spans="1:7" x14ac:dyDescent="0.2">
      <c r="A264" t="s">
        <v>559</v>
      </c>
      <c r="B264" t="s">
        <v>560</v>
      </c>
      <c r="C264">
        <v>47053</v>
      </c>
      <c r="D264">
        <v>3152</v>
      </c>
      <c r="E264">
        <v>690205</v>
      </c>
      <c r="F264" t="s">
        <v>35</v>
      </c>
      <c r="G264" t="s">
        <v>10</v>
      </c>
    </row>
    <row r="265" spans="1:7" x14ac:dyDescent="0.2">
      <c r="A265" t="s">
        <v>561</v>
      </c>
      <c r="B265" t="s">
        <v>562</v>
      </c>
      <c r="C265">
        <v>46420</v>
      </c>
      <c r="D265">
        <v>38908</v>
      </c>
      <c r="E265">
        <v>897455</v>
      </c>
      <c r="F265" t="s">
        <v>35</v>
      </c>
      <c r="G265" t="s">
        <v>10</v>
      </c>
    </row>
    <row r="266" spans="1:7" x14ac:dyDescent="0.2">
      <c r="A266" t="s">
        <v>563</v>
      </c>
      <c r="B266" t="s">
        <v>564</v>
      </c>
      <c r="C266">
        <v>46323</v>
      </c>
      <c r="D266">
        <v>9744</v>
      </c>
      <c r="E266">
        <v>497916</v>
      </c>
      <c r="F266" t="s">
        <v>35</v>
      </c>
      <c r="G266" t="s">
        <v>10</v>
      </c>
    </row>
    <row r="267" spans="1:7" x14ac:dyDescent="0.2">
      <c r="A267" t="s">
        <v>565</v>
      </c>
      <c r="B267" t="s">
        <v>566</v>
      </c>
      <c r="C267">
        <v>45946</v>
      </c>
      <c r="D267">
        <v>22435</v>
      </c>
      <c r="E267">
        <v>538321</v>
      </c>
      <c r="F267" t="s">
        <v>35</v>
      </c>
      <c r="G267" t="s">
        <v>10</v>
      </c>
    </row>
    <row r="268" spans="1:7" x14ac:dyDescent="0.2">
      <c r="A268" t="s">
        <v>567</v>
      </c>
      <c r="B268" t="s">
        <v>568</v>
      </c>
      <c r="C268">
        <v>45771</v>
      </c>
      <c r="D268">
        <v>60107</v>
      </c>
      <c r="E268">
        <v>642655</v>
      </c>
      <c r="F268" t="s">
        <v>35</v>
      </c>
      <c r="G268" t="s">
        <v>10</v>
      </c>
    </row>
    <row r="269" spans="1:7" x14ac:dyDescent="0.2">
      <c r="A269" t="s">
        <v>569</v>
      </c>
      <c r="B269" t="s">
        <v>570</v>
      </c>
      <c r="C269">
        <v>41428</v>
      </c>
      <c r="D269">
        <v>85354</v>
      </c>
      <c r="E269">
        <v>1202603</v>
      </c>
      <c r="F269" t="s">
        <v>35</v>
      </c>
      <c r="G269" t="s">
        <v>10</v>
      </c>
    </row>
    <row r="270" spans="1:7" x14ac:dyDescent="0.2">
      <c r="A270" t="s">
        <v>571</v>
      </c>
      <c r="B270" t="s">
        <v>572</v>
      </c>
      <c r="C270">
        <v>37797</v>
      </c>
      <c r="D270">
        <v>36179</v>
      </c>
      <c r="E270">
        <v>484003</v>
      </c>
      <c r="F270" t="s">
        <v>35</v>
      </c>
      <c r="G270" t="s">
        <v>10</v>
      </c>
    </row>
    <row r="271" spans="1:7" x14ac:dyDescent="0.2">
      <c r="A271" t="s">
        <v>573</v>
      </c>
      <c r="B271" t="s">
        <v>574</v>
      </c>
      <c r="C271">
        <v>37440</v>
      </c>
      <c r="D271">
        <v>296118</v>
      </c>
      <c r="E271">
        <v>2973052</v>
      </c>
      <c r="F271" t="s">
        <v>35</v>
      </c>
      <c r="G271" t="s">
        <v>10</v>
      </c>
    </row>
    <row r="272" spans="1:7" x14ac:dyDescent="0.2">
      <c r="A272" t="s">
        <v>575</v>
      </c>
      <c r="B272" t="s">
        <v>576</v>
      </c>
      <c r="C272">
        <v>36948</v>
      </c>
      <c r="D272">
        <v>152661</v>
      </c>
      <c r="E272">
        <v>1453179</v>
      </c>
      <c r="F272" t="s">
        <v>35</v>
      </c>
      <c r="G272" t="s">
        <v>10</v>
      </c>
    </row>
    <row r="273" spans="1:7" x14ac:dyDescent="0.2">
      <c r="A273" t="s">
        <v>577</v>
      </c>
      <c r="B273" t="s">
        <v>578</v>
      </c>
      <c r="C273">
        <v>36544</v>
      </c>
      <c r="D273">
        <v>28065</v>
      </c>
      <c r="E273">
        <v>739239</v>
      </c>
      <c r="F273" t="s">
        <v>35</v>
      </c>
      <c r="G273" t="s">
        <v>10</v>
      </c>
    </row>
    <row r="274" spans="1:7" x14ac:dyDescent="0.2">
      <c r="A274" t="s">
        <v>579</v>
      </c>
      <c r="B274" t="s">
        <v>580</v>
      </c>
      <c r="C274">
        <v>36229</v>
      </c>
      <c r="D274">
        <v>108848</v>
      </c>
      <c r="E274">
        <v>1337790</v>
      </c>
      <c r="F274" t="s">
        <v>35</v>
      </c>
      <c r="G274" t="s">
        <v>10</v>
      </c>
    </row>
    <row r="275" spans="1:7" x14ac:dyDescent="0.2">
      <c r="A275" t="s">
        <v>581</v>
      </c>
      <c r="B275" t="s">
        <v>582</v>
      </c>
      <c r="C275">
        <v>35464</v>
      </c>
      <c r="D275">
        <v>93418</v>
      </c>
      <c r="E275">
        <v>1082445</v>
      </c>
      <c r="F275" t="s">
        <v>35</v>
      </c>
      <c r="G275" t="s">
        <v>10</v>
      </c>
    </row>
    <row r="276" spans="1:7" x14ac:dyDescent="0.2">
      <c r="A276" t="s">
        <v>583</v>
      </c>
      <c r="B276" t="s">
        <v>584</v>
      </c>
      <c r="C276">
        <v>35104</v>
      </c>
      <c r="D276">
        <v>234004</v>
      </c>
      <c r="E276">
        <v>1659218</v>
      </c>
      <c r="F276" t="s">
        <v>35</v>
      </c>
      <c r="G276" t="s">
        <v>10</v>
      </c>
    </row>
    <row r="277" spans="1:7" x14ac:dyDescent="0.2">
      <c r="A277" t="s">
        <v>585</v>
      </c>
      <c r="B277" t="s">
        <v>586</v>
      </c>
      <c r="C277">
        <v>34721</v>
      </c>
      <c r="D277">
        <v>16781</v>
      </c>
      <c r="E277">
        <v>445008</v>
      </c>
      <c r="F277" t="s">
        <v>35</v>
      </c>
      <c r="G277" t="s">
        <v>10</v>
      </c>
    </row>
    <row r="278" spans="1:7" x14ac:dyDescent="0.2">
      <c r="A278" t="s">
        <v>587</v>
      </c>
      <c r="B278" t="s">
        <v>588</v>
      </c>
      <c r="C278">
        <v>34585</v>
      </c>
      <c r="D278">
        <v>52168</v>
      </c>
      <c r="E278">
        <v>923258</v>
      </c>
      <c r="F278" t="s">
        <v>35</v>
      </c>
      <c r="G278" t="s">
        <v>10</v>
      </c>
    </row>
    <row r="279" spans="1:7" x14ac:dyDescent="0.2">
      <c r="A279" t="s">
        <v>589</v>
      </c>
      <c r="B279" t="s">
        <v>590</v>
      </c>
      <c r="C279">
        <v>33686</v>
      </c>
      <c r="D279">
        <v>608839</v>
      </c>
      <c r="E279">
        <v>4668101</v>
      </c>
      <c r="F279" t="s">
        <v>35</v>
      </c>
      <c r="G279" t="s">
        <v>10</v>
      </c>
    </row>
    <row r="280" spans="1:7" x14ac:dyDescent="0.2">
      <c r="A280" t="s">
        <v>591</v>
      </c>
      <c r="B280" t="s">
        <v>592</v>
      </c>
      <c r="C280">
        <v>32695</v>
      </c>
      <c r="D280">
        <v>28587</v>
      </c>
      <c r="E280">
        <v>686247</v>
      </c>
      <c r="F280" t="s">
        <v>35</v>
      </c>
      <c r="G280" t="s">
        <v>10</v>
      </c>
    </row>
    <row r="281" spans="1:7" x14ac:dyDescent="0.2">
      <c r="A281" t="s">
        <v>593</v>
      </c>
      <c r="B281" t="s">
        <v>594</v>
      </c>
      <c r="C281">
        <v>32618</v>
      </c>
      <c r="D281">
        <v>22166</v>
      </c>
      <c r="E281">
        <v>741043</v>
      </c>
      <c r="F281" t="s">
        <v>35</v>
      </c>
      <c r="G281" t="s">
        <v>10</v>
      </c>
    </row>
    <row r="282" spans="1:7" x14ac:dyDescent="0.2">
      <c r="A282" t="s">
        <v>595</v>
      </c>
      <c r="B282" t="s">
        <v>596</v>
      </c>
      <c r="C282">
        <v>32060</v>
      </c>
      <c r="D282">
        <v>186170</v>
      </c>
      <c r="E282">
        <v>1284427</v>
      </c>
      <c r="F282" t="s">
        <v>35</v>
      </c>
      <c r="G282" t="s">
        <v>10</v>
      </c>
    </row>
    <row r="283" spans="1:7" x14ac:dyDescent="0.2">
      <c r="A283" t="s">
        <v>597</v>
      </c>
      <c r="B283" t="s">
        <v>598</v>
      </c>
      <c r="C283">
        <v>31670</v>
      </c>
      <c r="D283">
        <v>24762</v>
      </c>
      <c r="E283">
        <v>727746</v>
      </c>
      <c r="F283" t="s">
        <v>35</v>
      </c>
      <c r="G283" t="s">
        <v>10</v>
      </c>
    </row>
    <row r="284" spans="1:7" x14ac:dyDescent="0.2">
      <c r="A284" t="s">
        <v>599</v>
      </c>
      <c r="B284" t="s">
        <v>600</v>
      </c>
      <c r="C284">
        <v>31655</v>
      </c>
      <c r="D284">
        <v>103303</v>
      </c>
      <c r="E284">
        <v>1700937</v>
      </c>
      <c r="F284" t="s">
        <v>35</v>
      </c>
      <c r="G284" t="s">
        <v>10</v>
      </c>
    </row>
    <row r="285" spans="1:7" x14ac:dyDescent="0.2">
      <c r="A285" t="s">
        <v>601</v>
      </c>
      <c r="B285" t="s">
        <v>602</v>
      </c>
      <c r="C285">
        <v>31489</v>
      </c>
      <c r="D285">
        <v>29883</v>
      </c>
      <c r="E285">
        <v>599879</v>
      </c>
      <c r="F285" t="s">
        <v>35</v>
      </c>
      <c r="G285" t="s">
        <v>10</v>
      </c>
    </row>
    <row r="286" spans="1:7" x14ac:dyDescent="0.2">
      <c r="A286" t="s">
        <v>603</v>
      </c>
      <c r="B286" t="s">
        <v>604</v>
      </c>
      <c r="C286">
        <v>31159</v>
      </c>
      <c r="D286">
        <v>43823</v>
      </c>
      <c r="E286">
        <v>1183134</v>
      </c>
      <c r="F286" t="s">
        <v>35</v>
      </c>
      <c r="G286" t="s">
        <v>10</v>
      </c>
    </row>
    <row r="287" spans="1:7" x14ac:dyDescent="0.2">
      <c r="A287" t="s">
        <v>605</v>
      </c>
      <c r="B287" t="s">
        <v>606</v>
      </c>
      <c r="C287">
        <v>31153</v>
      </c>
      <c r="D287">
        <v>112676</v>
      </c>
      <c r="E287">
        <v>1073547</v>
      </c>
      <c r="F287" t="s">
        <v>35</v>
      </c>
      <c r="G287" t="s">
        <v>10</v>
      </c>
    </row>
    <row r="288" spans="1:7" x14ac:dyDescent="0.2">
      <c r="A288" t="s">
        <v>607</v>
      </c>
      <c r="B288" t="s">
        <v>608</v>
      </c>
      <c r="C288">
        <v>30909</v>
      </c>
      <c r="D288">
        <v>55613</v>
      </c>
      <c r="E288">
        <v>264752</v>
      </c>
      <c r="F288" t="s">
        <v>35</v>
      </c>
      <c r="G288" t="s">
        <v>10</v>
      </c>
    </row>
    <row r="289" spans="1:7" x14ac:dyDescent="0.2">
      <c r="A289" t="s">
        <v>609</v>
      </c>
      <c r="B289" t="s">
        <v>610</v>
      </c>
      <c r="C289">
        <v>30728</v>
      </c>
      <c r="D289">
        <v>56564</v>
      </c>
      <c r="E289">
        <v>2753289</v>
      </c>
      <c r="F289" t="s">
        <v>35</v>
      </c>
      <c r="G289" t="s">
        <v>10</v>
      </c>
    </row>
    <row r="290" spans="1:7" x14ac:dyDescent="0.2">
      <c r="A290" t="s">
        <v>611</v>
      </c>
      <c r="B290" t="s">
        <v>612</v>
      </c>
      <c r="C290">
        <v>30465</v>
      </c>
      <c r="D290">
        <v>856726</v>
      </c>
      <c r="E290">
        <v>4933447</v>
      </c>
      <c r="F290" t="s">
        <v>35</v>
      </c>
      <c r="G290" t="s">
        <v>10</v>
      </c>
    </row>
    <row r="291" spans="1:7" x14ac:dyDescent="0.2">
      <c r="A291" t="s">
        <v>613</v>
      </c>
      <c r="B291" t="s">
        <v>614</v>
      </c>
      <c r="C291">
        <v>30440</v>
      </c>
      <c r="D291">
        <v>84724</v>
      </c>
      <c r="E291">
        <v>1410702</v>
      </c>
      <c r="F291" t="s">
        <v>35</v>
      </c>
      <c r="G291" t="s">
        <v>10</v>
      </c>
    </row>
    <row r="292" spans="1:7" x14ac:dyDescent="0.2">
      <c r="A292" t="s">
        <v>615</v>
      </c>
      <c r="B292" t="s">
        <v>616</v>
      </c>
      <c r="C292">
        <v>29738</v>
      </c>
      <c r="D292">
        <v>21592</v>
      </c>
      <c r="E292">
        <v>702861</v>
      </c>
      <c r="F292" t="s">
        <v>35</v>
      </c>
      <c r="G292" t="s">
        <v>10</v>
      </c>
    </row>
    <row r="293" spans="1:7" x14ac:dyDescent="0.2">
      <c r="A293" t="s">
        <v>617</v>
      </c>
      <c r="B293" t="s">
        <v>618</v>
      </c>
      <c r="C293">
        <v>28715</v>
      </c>
      <c r="D293">
        <v>46433</v>
      </c>
      <c r="E293">
        <v>791972</v>
      </c>
      <c r="F293" t="s">
        <v>35</v>
      </c>
      <c r="G293" t="s">
        <v>10</v>
      </c>
    </row>
    <row r="294" spans="1:7" x14ac:dyDescent="0.2">
      <c r="A294" t="s">
        <v>619</v>
      </c>
      <c r="B294" t="s">
        <v>620</v>
      </c>
      <c r="C294">
        <v>28547</v>
      </c>
      <c r="D294">
        <v>37422</v>
      </c>
      <c r="E294">
        <v>590684</v>
      </c>
      <c r="F294" t="s">
        <v>35</v>
      </c>
      <c r="G294" t="s">
        <v>10</v>
      </c>
    </row>
    <row r="295" spans="1:7" x14ac:dyDescent="0.2">
      <c r="A295" t="s">
        <v>621</v>
      </c>
      <c r="B295" t="s">
        <v>622</v>
      </c>
      <c r="C295">
        <v>28394</v>
      </c>
      <c r="D295">
        <v>31348</v>
      </c>
      <c r="E295">
        <v>686387</v>
      </c>
      <c r="F295" t="s">
        <v>35</v>
      </c>
      <c r="G295" t="s">
        <v>10</v>
      </c>
    </row>
    <row r="296" spans="1:7" x14ac:dyDescent="0.2">
      <c r="A296" t="s">
        <v>623</v>
      </c>
      <c r="B296" t="s">
        <v>624</v>
      </c>
      <c r="C296">
        <v>27694</v>
      </c>
      <c r="D296">
        <v>70846</v>
      </c>
      <c r="E296">
        <v>851477</v>
      </c>
      <c r="F296" t="s">
        <v>35</v>
      </c>
      <c r="G296" t="s">
        <v>10</v>
      </c>
    </row>
    <row r="297" spans="1:7" x14ac:dyDescent="0.2">
      <c r="A297" t="s">
        <v>625</v>
      </c>
      <c r="B297" t="s">
        <v>626</v>
      </c>
      <c r="C297">
        <v>26999</v>
      </c>
      <c r="D297">
        <v>45006</v>
      </c>
      <c r="E297">
        <v>824192</v>
      </c>
      <c r="F297" t="s">
        <v>35</v>
      </c>
      <c r="G297" t="s">
        <v>10</v>
      </c>
    </row>
    <row r="298" spans="1:7" x14ac:dyDescent="0.2">
      <c r="A298" t="s">
        <v>627</v>
      </c>
      <c r="B298" t="s">
        <v>628</v>
      </c>
      <c r="C298">
        <v>26796</v>
      </c>
      <c r="D298">
        <v>64894</v>
      </c>
      <c r="E298">
        <v>829432</v>
      </c>
      <c r="F298" t="s">
        <v>35</v>
      </c>
      <c r="G298" t="s">
        <v>10</v>
      </c>
    </row>
    <row r="299" spans="1:7" x14ac:dyDescent="0.2">
      <c r="A299" t="s">
        <v>629</v>
      </c>
      <c r="B299" t="s">
        <v>630</v>
      </c>
      <c r="C299">
        <v>25919</v>
      </c>
      <c r="D299">
        <v>526612</v>
      </c>
      <c r="E299">
        <v>2857422</v>
      </c>
      <c r="F299" t="s">
        <v>35</v>
      </c>
      <c r="G299" t="s">
        <v>10</v>
      </c>
    </row>
    <row r="300" spans="1:7" x14ac:dyDescent="0.2">
      <c r="A300" t="s">
        <v>631</v>
      </c>
      <c r="B300" t="s">
        <v>632</v>
      </c>
      <c r="C300">
        <v>25884</v>
      </c>
      <c r="D300">
        <v>46484</v>
      </c>
      <c r="E300">
        <v>598732</v>
      </c>
      <c r="F300" t="s">
        <v>35</v>
      </c>
      <c r="G300" t="s">
        <v>10</v>
      </c>
    </row>
    <row r="301" spans="1:7" x14ac:dyDescent="0.2">
      <c r="A301" t="s">
        <v>633</v>
      </c>
      <c r="B301" t="s">
        <v>634</v>
      </c>
      <c r="C301">
        <v>24799</v>
      </c>
      <c r="D301">
        <v>41048</v>
      </c>
      <c r="E301">
        <v>507649</v>
      </c>
      <c r="F301" t="s">
        <v>35</v>
      </c>
      <c r="G301" t="s">
        <v>10</v>
      </c>
    </row>
    <row r="302" spans="1:7" x14ac:dyDescent="0.2">
      <c r="A302" t="s">
        <v>635</v>
      </c>
      <c r="B302" t="s">
        <v>636</v>
      </c>
      <c r="C302">
        <v>24163</v>
      </c>
      <c r="D302">
        <v>80469</v>
      </c>
      <c r="E302">
        <v>800497</v>
      </c>
      <c r="F302" t="s">
        <v>35</v>
      </c>
      <c r="G302" t="s">
        <v>10</v>
      </c>
    </row>
    <row r="303" spans="1:7" x14ac:dyDescent="0.2">
      <c r="A303" t="s">
        <v>637</v>
      </c>
      <c r="B303" t="s">
        <v>638</v>
      </c>
      <c r="C303">
        <v>23596</v>
      </c>
      <c r="D303">
        <v>99106</v>
      </c>
      <c r="E303">
        <v>933462</v>
      </c>
      <c r="F303" t="s">
        <v>35</v>
      </c>
      <c r="G303" t="s">
        <v>10</v>
      </c>
    </row>
    <row r="304" spans="1:7" x14ac:dyDescent="0.2">
      <c r="A304" t="s">
        <v>639</v>
      </c>
      <c r="B304" t="s">
        <v>640</v>
      </c>
      <c r="C304">
        <v>23593</v>
      </c>
      <c r="D304">
        <v>81752</v>
      </c>
      <c r="E304">
        <v>850726</v>
      </c>
      <c r="F304" t="s">
        <v>35</v>
      </c>
      <c r="G304" t="s">
        <v>10</v>
      </c>
    </row>
    <row r="305" spans="1:7" x14ac:dyDescent="0.2">
      <c r="A305" t="s">
        <v>641</v>
      </c>
      <c r="B305" t="s">
        <v>642</v>
      </c>
      <c r="C305">
        <v>23216</v>
      </c>
      <c r="D305">
        <v>77029</v>
      </c>
      <c r="E305">
        <v>754813</v>
      </c>
      <c r="F305" t="s">
        <v>35</v>
      </c>
      <c r="G305" t="s">
        <v>10</v>
      </c>
    </row>
    <row r="306" spans="1:7" x14ac:dyDescent="0.2">
      <c r="A306" t="s">
        <v>643</v>
      </c>
      <c r="B306" t="s">
        <v>644</v>
      </c>
      <c r="C306">
        <v>21590</v>
      </c>
      <c r="D306">
        <v>869850</v>
      </c>
      <c r="E306">
        <v>3939101</v>
      </c>
      <c r="F306" t="s">
        <v>35</v>
      </c>
      <c r="G306" t="s">
        <v>10</v>
      </c>
    </row>
    <row r="307" spans="1:7" x14ac:dyDescent="0.2">
      <c r="A307" t="s">
        <v>645</v>
      </c>
      <c r="B307" t="s">
        <v>646</v>
      </c>
      <c r="C307">
        <v>21352</v>
      </c>
      <c r="D307">
        <v>47825</v>
      </c>
      <c r="E307">
        <v>614068</v>
      </c>
      <c r="F307" t="s">
        <v>35</v>
      </c>
      <c r="G307" t="s">
        <v>10</v>
      </c>
    </row>
    <row r="308" spans="1:7" x14ac:dyDescent="0.2">
      <c r="A308" t="s">
        <v>647</v>
      </c>
      <c r="B308" t="s">
        <v>648</v>
      </c>
      <c r="C308">
        <v>21324</v>
      </c>
      <c r="D308">
        <v>36693</v>
      </c>
      <c r="E308">
        <v>576051</v>
      </c>
      <c r="F308" t="s">
        <v>35</v>
      </c>
      <c r="G308" t="s">
        <v>10</v>
      </c>
    </row>
    <row r="309" spans="1:7" x14ac:dyDescent="0.2">
      <c r="A309" t="s">
        <v>649</v>
      </c>
      <c r="B309" t="s">
        <v>650</v>
      </c>
      <c r="C309">
        <v>21288</v>
      </c>
      <c r="D309">
        <v>156978</v>
      </c>
      <c r="E309">
        <v>1075601</v>
      </c>
      <c r="F309" t="s">
        <v>35</v>
      </c>
      <c r="G309" t="s">
        <v>10</v>
      </c>
    </row>
    <row r="310" spans="1:7" x14ac:dyDescent="0.2">
      <c r="A310" t="s">
        <v>651</v>
      </c>
      <c r="B310" t="s">
        <v>652</v>
      </c>
      <c r="C310">
        <v>20405</v>
      </c>
      <c r="D310">
        <v>126431</v>
      </c>
      <c r="E310">
        <v>843838</v>
      </c>
      <c r="F310" t="s">
        <v>35</v>
      </c>
      <c r="G310" t="s">
        <v>10</v>
      </c>
    </row>
    <row r="311" spans="1:7" x14ac:dyDescent="0.2">
      <c r="A311" t="s">
        <v>653</v>
      </c>
      <c r="B311" t="s">
        <v>654</v>
      </c>
      <c r="C311">
        <v>20312</v>
      </c>
      <c r="D311">
        <v>91132</v>
      </c>
      <c r="E311">
        <v>790714</v>
      </c>
      <c r="F311" t="s">
        <v>35</v>
      </c>
      <c r="G311" t="s">
        <v>10</v>
      </c>
    </row>
    <row r="312" spans="1:7" x14ac:dyDescent="0.2">
      <c r="A312" t="s">
        <v>655</v>
      </c>
      <c r="B312" t="s">
        <v>656</v>
      </c>
      <c r="C312">
        <v>20208</v>
      </c>
      <c r="D312">
        <v>89591</v>
      </c>
      <c r="E312">
        <v>764000</v>
      </c>
      <c r="F312" t="s">
        <v>35</v>
      </c>
      <c r="G312" t="s">
        <v>10</v>
      </c>
    </row>
    <row r="313" spans="1:7" x14ac:dyDescent="0.2">
      <c r="A313" t="s">
        <v>657</v>
      </c>
      <c r="B313" t="s">
        <v>658</v>
      </c>
      <c r="C313">
        <v>19895</v>
      </c>
      <c r="D313">
        <v>52279</v>
      </c>
      <c r="E313">
        <v>356881</v>
      </c>
      <c r="F313" t="s">
        <v>35</v>
      </c>
      <c r="G313" t="s">
        <v>10</v>
      </c>
    </row>
    <row r="314" spans="1:7" x14ac:dyDescent="0.2">
      <c r="A314" t="s">
        <v>659</v>
      </c>
      <c r="B314" t="s">
        <v>660</v>
      </c>
      <c r="C314">
        <v>19335</v>
      </c>
      <c r="D314">
        <v>186677</v>
      </c>
      <c r="E314">
        <v>2898211</v>
      </c>
      <c r="F314" t="s">
        <v>35</v>
      </c>
      <c r="G314" t="s">
        <v>10</v>
      </c>
    </row>
    <row r="315" spans="1:7" x14ac:dyDescent="0.2">
      <c r="A315" t="s">
        <v>661</v>
      </c>
      <c r="B315" t="s">
        <v>662</v>
      </c>
      <c r="C315">
        <v>19232</v>
      </c>
      <c r="D315">
        <v>42808</v>
      </c>
      <c r="E315">
        <v>617980</v>
      </c>
      <c r="F315" t="s">
        <v>35</v>
      </c>
      <c r="G315" t="s">
        <v>10</v>
      </c>
    </row>
    <row r="316" spans="1:7" x14ac:dyDescent="0.2">
      <c r="A316" t="s">
        <v>663</v>
      </c>
      <c r="B316" t="s">
        <v>664</v>
      </c>
      <c r="C316">
        <v>19022</v>
      </c>
      <c r="D316">
        <v>897970</v>
      </c>
      <c r="E316">
        <v>4463682</v>
      </c>
      <c r="F316" t="s">
        <v>35</v>
      </c>
      <c r="G316" t="s">
        <v>10</v>
      </c>
    </row>
    <row r="317" spans="1:7" x14ac:dyDescent="0.2">
      <c r="A317" t="s">
        <v>665</v>
      </c>
      <c r="B317" t="s">
        <v>666</v>
      </c>
      <c r="C317">
        <v>17485</v>
      </c>
      <c r="D317">
        <v>40771</v>
      </c>
      <c r="E317">
        <v>596371</v>
      </c>
      <c r="F317" t="s">
        <v>35</v>
      </c>
      <c r="G317" t="s">
        <v>10</v>
      </c>
    </row>
    <row r="318" spans="1:7" x14ac:dyDescent="0.2">
      <c r="A318" t="s">
        <v>667</v>
      </c>
      <c r="B318" t="s">
        <v>668</v>
      </c>
      <c r="C318">
        <v>17441</v>
      </c>
      <c r="D318">
        <v>124916</v>
      </c>
      <c r="E318">
        <v>841899</v>
      </c>
      <c r="F318" t="s">
        <v>35</v>
      </c>
      <c r="G318" t="s">
        <v>10</v>
      </c>
    </row>
    <row r="319" spans="1:7" x14ac:dyDescent="0.2">
      <c r="A319" t="s">
        <v>669</v>
      </c>
      <c r="B319" t="s">
        <v>670</v>
      </c>
      <c r="C319">
        <v>16889</v>
      </c>
      <c r="D319">
        <v>584089</v>
      </c>
      <c r="E319">
        <v>2994644</v>
      </c>
      <c r="F319" t="s">
        <v>35</v>
      </c>
      <c r="G319" t="s">
        <v>10</v>
      </c>
    </row>
    <row r="320" spans="1:7" x14ac:dyDescent="0.2">
      <c r="A320" t="s">
        <v>671</v>
      </c>
      <c r="B320" t="s">
        <v>672</v>
      </c>
      <c r="C320">
        <v>16415</v>
      </c>
      <c r="D320">
        <v>59051</v>
      </c>
      <c r="E320">
        <v>502809</v>
      </c>
      <c r="F320" t="s">
        <v>35</v>
      </c>
      <c r="G320" t="s">
        <v>10</v>
      </c>
    </row>
    <row r="321" spans="1:7" x14ac:dyDescent="0.2">
      <c r="A321" t="s">
        <v>673</v>
      </c>
      <c r="B321" t="s">
        <v>674</v>
      </c>
      <c r="C321">
        <v>16246</v>
      </c>
      <c r="D321">
        <v>180386</v>
      </c>
      <c r="E321">
        <v>1212409</v>
      </c>
      <c r="F321" t="s">
        <v>35</v>
      </c>
      <c r="G321" t="s">
        <v>10</v>
      </c>
    </row>
    <row r="322" spans="1:7" x14ac:dyDescent="0.2">
      <c r="A322" t="s">
        <v>675</v>
      </c>
      <c r="B322" t="s">
        <v>676</v>
      </c>
      <c r="C322">
        <v>16220</v>
      </c>
      <c r="D322">
        <v>77265</v>
      </c>
      <c r="E322">
        <v>641082</v>
      </c>
      <c r="F322" t="s">
        <v>35</v>
      </c>
      <c r="G322" t="s">
        <v>10</v>
      </c>
    </row>
    <row r="323" spans="1:7" x14ac:dyDescent="0.2">
      <c r="A323" t="s">
        <v>677</v>
      </c>
      <c r="B323" t="s">
        <v>678</v>
      </c>
      <c r="C323">
        <v>15722</v>
      </c>
      <c r="D323">
        <v>98759</v>
      </c>
      <c r="E323">
        <v>737997</v>
      </c>
      <c r="F323" t="s">
        <v>35</v>
      </c>
      <c r="G323" t="s">
        <v>10</v>
      </c>
    </row>
    <row r="324" spans="1:7" x14ac:dyDescent="0.2">
      <c r="A324" t="s">
        <v>679</v>
      </c>
      <c r="B324" t="s">
        <v>680</v>
      </c>
      <c r="C324">
        <v>15474</v>
      </c>
      <c r="D324">
        <v>129546</v>
      </c>
      <c r="E324">
        <v>968530</v>
      </c>
      <c r="F324" t="s">
        <v>35</v>
      </c>
      <c r="G324" t="s">
        <v>10</v>
      </c>
    </row>
    <row r="325" spans="1:7" x14ac:dyDescent="0.2">
      <c r="A325" t="s">
        <v>681</v>
      </c>
      <c r="B325" t="s">
        <v>682</v>
      </c>
      <c r="C325">
        <v>15446</v>
      </c>
      <c r="D325">
        <v>54383</v>
      </c>
      <c r="E325">
        <v>435600</v>
      </c>
      <c r="F325" t="s">
        <v>35</v>
      </c>
      <c r="G325" t="s">
        <v>10</v>
      </c>
    </row>
    <row r="326" spans="1:7" x14ac:dyDescent="0.2">
      <c r="A326" t="s">
        <v>683</v>
      </c>
      <c r="B326" t="s">
        <v>684</v>
      </c>
      <c r="C326">
        <v>15216</v>
      </c>
      <c r="D326">
        <v>44182</v>
      </c>
      <c r="E326">
        <v>479151</v>
      </c>
      <c r="F326" t="s">
        <v>35</v>
      </c>
      <c r="G326" t="s">
        <v>10</v>
      </c>
    </row>
    <row r="327" spans="1:7" x14ac:dyDescent="0.2">
      <c r="A327" t="s">
        <v>685</v>
      </c>
      <c r="B327" t="s">
        <v>686</v>
      </c>
      <c r="C327">
        <v>15143</v>
      </c>
      <c r="D327">
        <v>54935</v>
      </c>
      <c r="E327">
        <v>580272</v>
      </c>
      <c r="F327" t="s">
        <v>35</v>
      </c>
      <c r="G327" t="s">
        <v>10</v>
      </c>
    </row>
    <row r="328" spans="1:7" x14ac:dyDescent="0.2">
      <c r="A328" t="s">
        <v>687</v>
      </c>
      <c r="B328" t="s">
        <v>688</v>
      </c>
      <c r="C328">
        <v>14935</v>
      </c>
      <c r="D328">
        <v>103883</v>
      </c>
      <c r="E328">
        <v>854005</v>
      </c>
      <c r="F328" t="s">
        <v>35</v>
      </c>
      <c r="G328" t="s">
        <v>10</v>
      </c>
    </row>
    <row r="329" spans="1:7" x14ac:dyDescent="0.2">
      <c r="A329" t="s">
        <v>689</v>
      </c>
      <c r="B329" t="s">
        <v>690</v>
      </c>
      <c r="C329">
        <v>14711</v>
      </c>
      <c r="D329">
        <v>48241</v>
      </c>
      <c r="E329">
        <v>558223</v>
      </c>
      <c r="F329" t="s">
        <v>35</v>
      </c>
      <c r="G329" t="s">
        <v>10</v>
      </c>
    </row>
    <row r="330" spans="1:7" x14ac:dyDescent="0.2">
      <c r="A330" t="s">
        <v>691</v>
      </c>
      <c r="B330" t="s">
        <v>692</v>
      </c>
      <c r="C330">
        <v>14624</v>
      </c>
      <c r="D330">
        <v>56078</v>
      </c>
      <c r="E330">
        <v>507548</v>
      </c>
      <c r="F330" t="s">
        <v>35</v>
      </c>
      <c r="G330" t="s">
        <v>10</v>
      </c>
    </row>
    <row r="331" spans="1:7" x14ac:dyDescent="0.2">
      <c r="A331" t="s">
        <v>693</v>
      </c>
      <c r="B331" t="s">
        <v>694</v>
      </c>
      <c r="C331">
        <v>14399</v>
      </c>
      <c r="D331">
        <v>43655</v>
      </c>
      <c r="E331">
        <v>421507</v>
      </c>
      <c r="F331" t="s">
        <v>35</v>
      </c>
      <c r="G331" t="s">
        <v>10</v>
      </c>
    </row>
    <row r="332" spans="1:7" x14ac:dyDescent="0.2">
      <c r="A332" t="s">
        <v>695</v>
      </c>
      <c r="B332" t="s">
        <v>696</v>
      </c>
      <c r="C332">
        <v>14162</v>
      </c>
      <c r="D332">
        <v>76878</v>
      </c>
      <c r="E332">
        <v>675538</v>
      </c>
      <c r="F332" t="s">
        <v>35</v>
      </c>
      <c r="G332" t="s">
        <v>10</v>
      </c>
    </row>
    <row r="333" spans="1:7" x14ac:dyDescent="0.2">
      <c r="A333" t="s">
        <v>697</v>
      </c>
      <c r="B333" t="s">
        <v>698</v>
      </c>
      <c r="C333">
        <v>14014</v>
      </c>
      <c r="D333">
        <v>121929</v>
      </c>
      <c r="E333">
        <v>840705</v>
      </c>
      <c r="F333" t="s">
        <v>35</v>
      </c>
      <c r="G333" t="s">
        <v>10</v>
      </c>
    </row>
    <row r="334" spans="1:7" x14ac:dyDescent="0.2">
      <c r="A334" t="s">
        <v>699</v>
      </c>
      <c r="B334" t="s">
        <v>700</v>
      </c>
      <c r="C334">
        <v>13197</v>
      </c>
      <c r="D334">
        <v>40751</v>
      </c>
      <c r="E334">
        <v>280891</v>
      </c>
      <c r="F334" t="s">
        <v>35</v>
      </c>
      <c r="G334" t="s">
        <v>10</v>
      </c>
    </row>
    <row r="335" spans="1:7" x14ac:dyDescent="0.2">
      <c r="A335" t="s">
        <v>701</v>
      </c>
      <c r="B335" t="s">
        <v>702</v>
      </c>
      <c r="C335">
        <v>13190</v>
      </c>
      <c r="D335">
        <v>54387</v>
      </c>
      <c r="E335">
        <v>435430</v>
      </c>
      <c r="F335" t="s">
        <v>35</v>
      </c>
      <c r="G335" t="s">
        <v>10</v>
      </c>
    </row>
    <row r="336" spans="1:7" x14ac:dyDescent="0.2">
      <c r="A336" t="s">
        <v>703</v>
      </c>
      <c r="B336" t="s">
        <v>704</v>
      </c>
      <c r="C336">
        <v>12659</v>
      </c>
      <c r="D336">
        <v>48443</v>
      </c>
      <c r="E336">
        <v>586652</v>
      </c>
      <c r="F336" t="s">
        <v>35</v>
      </c>
      <c r="G336" t="s">
        <v>10</v>
      </c>
    </row>
    <row r="337" spans="1:7" x14ac:dyDescent="0.2">
      <c r="A337" t="s">
        <v>705</v>
      </c>
      <c r="B337" t="s">
        <v>706</v>
      </c>
      <c r="C337">
        <v>12560</v>
      </c>
      <c r="D337">
        <v>87411</v>
      </c>
      <c r="E337">
        <v>615337</v>
      </c>
      <c r="F337" t="s">
        <v>35</v>
      </c>
      <c r="G337" t="s">
        <v>10</v>
      </c>
    </row>
    <row r="338" spans="1:7" x14ac:dyDescent="0.2">
      <c r="A338" t="s">
        <v>707</v>
      </c>
      <c r="B338" t="s">
        <v>708</v>
      </c>
      <c r="C338">
        <v>12035</v>
      </c>
      <c r="D338">
        <v>186447</v>
      </c>
      <c r="E338">
        <v>1094218</v>
      </c>
      <c r="F338" t="s">
        <v>35</v>
      </c>
      <c r="G338" t="s">
        <v>10</v>
      </c>
    </row>
    <row r="339" spans="1:7" x14ac:dyDescent="0.2">
      <c r="A339" t="s">
        <v>709</v>
      </c>
      <c r="B339" t="s">
        <v>710</v>
      </c>
      <c r="C339">
        <v>11714</v>
      </c>
      <c r="D339">
        <v>66965</v>
      </c>
      <c r="E339">
        <v>510216</v>
      </c>
      <c r="F339" t="s">
        <v>35</v>
      </c>
      <c r="G339" t="s">
        <v>10</v>
      </c>
    </row>
    <row r="340" spans="1:7" x14ac:dyDescent="0.2">
      <c r="A340" t="s">
        <v>711</v>
      </c>
      <c r="B340" t="s">
        <v>712</v>
      </c>
      <c r="C340">
        <v>11520</v>
      </c>
      <c r="D340">
        <v>180161</v>
      </c>
      <c r="E340">
        <v>1142282</v>
      </c>
      <c r="F340" t="s">
        <v>35</v>
      </c>
      <c r="G340" t="s">
        <v>10</v>
      </c>
    </row>
    <row r="341" spans="1:7" x14ac:dyDescent="0.2">
      <c r="A341" t="s">
        <v>713</v>
      </c>
      <c r="B341" t="s">
        <v>714</v>
      </c>
      <c r="C341">
        <v>11271</v>
      </c>
      <c r="D341">
        <v>89506</v>
      </c>
      <c r="E341">
        <v>701310</v>
      </c>
      <c r="F341" t="s">
        <v>35</v>
      </c>
      <c r="G341" t="s">
        <v>10</v>
      </c>
    </row>
    <row r="342" spans="1:7" x14ac:dyDescent="0.2">
      <c r="A342" t="s">
        <v>715</v>
      </c>
      <c r="B342" t="s">
        <v>716</v>
      </c>
      <c r="C342">
        <v>10947</v>
      </c>
      <c r="D342">
        <v>66871</v>
      </c>
      <c r="E342">
        <v>573144</v>
      </c>
      <c r="F342" t="s">
        <v>35</v>
      </c>
      <c r="G342" t="s">
        <v>10</v>
      </c>
    </row>
    <row r="343" spans="1:7" x14ac:dyDescent="0.2">
      <c r="A343" t="s">
        <v>717</v>
      </c>
      <c r="B343" t="s">
        <v>718</v>
      </c>
      <c r="C343">
        <v>10827</v>
      </c>
      <c r="D343">
        <v>99414</v>
      </c>
      <c r="E343">
        <v>716067</v>
      </c>
      <c r="F343" t="s">
        <v>35</v>
      </c>
      <c r="G343" t="s">
        <v>10</v>
      </c>
    </row>
    <row r="344" spans="1:7" x14ac:dyDescent="0.2">
      <c r="A344" t="s">
        <v>719</v>
      </c>
      <c r="B344" t="s">
        <v>720</v>
      </c>
      <c r="C344">
        <v>10826</v>
      </c>
      <c r="D344">
        <v>656083</v>
      </c>
      <c r="E344">
        <v>3361037</v>
      </c>
      <c r="F344" t="s">
        <v>35</v>
      </c>
      <c r="G344" t="s">
        <v>10</v>
      </c>
    </row>
    <row r="345" spans="1:7" x14ac:dyDescent="0.2">
      <c r="A345" t="s">
        <v>721</v>
      </c>
      <c r="B345" t="s">
        <v>722</v>
      </c>
      <c r="C345">
        <v>10377</v>
      </c>
      <c r="D345">
        <v>54981</v>
      </c>
      <c r="E345">
        <v>452216</v>
      </c>
      <c r="F345" t="s">
        <v>35</v>
      </c>
      <c r="G345" t="s">
        <v>10</v>
      </c>
    </row>
    <row r="346" spans="1:7" x14ac:dyDescent="0.2">
      <c r="A346" t="s">
        <v>723</v>
      </c>
      <c r="B346" t="s">
        <v>724</v>
      </c>
      <c r="C346">
        <v>10369</v>
      </c>
      <c r="D346">
        <v>476680</v>
      </c>
      <c r="E346">
        <v>2485710</v>
      </c>
      <c r="F346" t="s">
        <v>35</v>
      </c>
      <c r="G346" t="s">
        <v>10</v>
      </c>
    </row>
    <row r="347" spans="1:7" x14ac:dyDescent="0.2">
      <c r="A347" t="s">
        <v>725</v>
      </c>
      <c r="B347" t="s">
        <v>726</v>
      </c>
      <c r="C347">
        <v>10358</v>
      </c>
      <c r="D347">
        <v>1251885</v>
      </c>
      <c r="E347">
        <v>6237414</v>
      </c>
      <c r="F347" t="s">
        <v>35</v>
      </c>
      <c r="G347" t="s">
        <v>10</v>
      </c>
    </row>
    <row r="348" spans="1:7" x14ac:dyDescent="0.2">
      <c r="A348" t="s">
        <v>727</v>
      </c>
      <c r="B348" t="s">
        <v>728</v>
      </c>
      <c r="C348">
        <v>10317</v>
      </c>
      <c r="D348">
        <v>40365</v>
      </c>
      <c r="E348">
        <v>350328</v>
      </c>
      <c r="F348" t="s">
        <v>35</v>
      </c>
      <c r="G348" t="s">
        <v>10</v>
      </c>
    </row>
    <row r="349" spans="1:7" x14ac:dyDescent="0.2">
      <c r="A349" t="s">
        <v>729</v>
      </c>
      <c r="B349" t="s">
        <v>730</v>
      </c>
      <c r="C349">
        <v>10093</v>
      </c>
      <c r="D349">
        <v>83809</v>
      </c>
      <c r="E349">
        <v>608345</v>
      </c>
      <c r="F349" t="s">
        <v>35</v>
      </c>
      <c r="G349" t="s">
        <v>10</v>
      </c>
    </row>
    <row r="350" spans="1:7" x14ac:dyDescent="0.2">
      <c r="A350" t="s">
        <v>731</v>
      </c>
      <c r="B350" t="s">
        <v>732</v>
      </c>
      <c r="C350">
        <v>9307</v>
      </c>
      <c r="D350">
        <v>65624</v>
      </c>
      <c r="E350">
        <v>471431</v>
      </c>
      <c r="F350" t="s">
        <v>35</v>
      </c>
      <c r="G350" t="s">
        <v>10</v>
      </c>
    </row>
    <row r="351" spans="1:7" x14ac:dyDescent="0.2">
      <c r="A351" t="s">
        <v>733</v>
      </c>
      <c r="B351" t="s">
        <v>734</v>
      </c>
      <c r="C351">
        <v>9246</v>
      </c>
      <c r="D351">
        <v>73863</v>
      </c>
      <c r="E351">
        <v>536474</v>
      </c>
      <c r="F351" t="s">
        <v>35</v>
      </c>
      <c r="G351" t="s">
        <v>10</v>
      </c>
    </row>
    <row r="352" spans="1:7" x14ac:dyDescent="0.2">
      <c r="A352" t="s">
        <v>735</v>
      </c>
      <c r="B352" t="s">
        <v>736</v>
      </c>
      <c r="C352">
        <v>9233</v>
      </c>
      <c r="D352">
        <v>44539</v>
      </c>
      <c r="E352">
        <v>341093</v>
      </c>
      <c r="F352" t="s">
        <v>35</v>
      </c>
      <c r="G352" t="s">
        <v>10</v>
      </c>
    </row>
    <row r="353" spans="1:7" x14ac:dyDescent="0.2">
      <c r="A353" t="s">
        <v>737</v>
      </c>
      <c r="B353" t="s">
        <v>738</v>
      </c>
      <c r="C353">
        <v>8945</v>
      </c>
      <c r="D353">
        <v>90681</v>
      </c>
      <c r="E353">
        <v>587125</v>
      </c>
      <c r="F353" t="s">
        <v>35</v>
      </c>
      <c r="G353" t="s">
        <v>10</v>
      </c>
    </row>
    <row r="354" spans="1:7" x14ac:dyDescent="0.2">
      <c r="A354" t="s">
        <v>739</v>
      </c>
      <c r="B354" t="s">
        <v>740</v>
      </c>
      <c r="C354">
        <v>8492</v>
      </c>
      <c r="D354">
        <v>50621</v>
      </c>
      <c r="E354">
        <v>435466</v>
      </c>
      <c r="F354" t="s">
        <v>35</v>
      </c>
      <c r="G354" t="s">
        <v>10</v>
      </c>
    </row>
    <row r="355" spans="1:7" x14ac:dyDescent="0.2">
      <c r="A355" t="s">
        <v>741</v>
      </c>
      <c r="B355" t="s">
        <v>742</v>
      </c>
      <c r="C355">
        <v>8169</v>
      </c>
      <c r="D355">
        <v>74280</v>
      </c>
      <c r="E355">
        <v>548311</v>
      </c>
      <c r="F355" t="s">
        <v>35</v>
      </c>
      <c r="G355" t="s">
        <v>10</v>
      </c>
    </row>
    <row r="356" spans="1:7" x14ac:dyDescent="0.2">
      <c r="A356" t="s">
        <v>743</v>
      </c>
      <c r="B356" t="s">
        <v>744</v>
      </c>
      <c r="C356">
        <v>7915</v>
      </c>
      <c r="D356">
        <v>51188</v>
      </c>
      <c r="E356">
        <v>386315</v>
      </c>
      <c r="F356" t="s">
        <v>35</v>
      </c>
      <c r="G356" t="s">
        <v>10</v>
      </c>
    </row>
    <row r="357" spans="1:7" x14ac:dyDescent="0.2">
      <c r="A357" t="s">
        <v>745</v>
      </c>
      <c r="B357" t="s">
        <v>746</v>
      </c>
      <c r="C357">
        <v>7768</v>
      </c>
      <c r="D357">
        <v>65326</v>
      </c>
      <c r="E357">
        <v>473773</v>
      </c>
      <c r="F357" t="s">
        <v>35</v>
      </c>
      <c r="G357" t="s">
        <v>10</v>
      </c>
    </row>
    <row r="358" spans="1:7" x14ac:dyDescent="0.2">
      <c r="A358" t="s">
        <v>747</v>
      </c>
      <c r="B358" t="s">
        <v>748</v>
      </c>
      <c r="C358">
        <v>7733</v>
      </c>
      <c r="D358">
        <v>104651</v>
      </c>
      <c r="E358">
        <v>850483</v>
      </c>
      <c r="F358" t="s">
        <v>35</v>
      </c>
      <c r="G358" t="s">
        <v>10</v>
      </c>
    </row>
    <row r="359" spans="1:7" x14ac:dyDescent="0.2">
      <c r="A359" t="s">
        <v>749</v>
      </c>
      <c r="B359" t="s">
        <v>750</v>
      </c>
      <c r="C359">
        <v>7723</v>
      </c>
      <c r="D359">
        <v>168564</v>
      </c>
      <c r="E359">
        <v>1419522</v>
      </c>
      <c r="F359" t="s">
        <v>35</v>
      </c>
      <c r="G359" t="s">
        <v>10</v>
      </c>
    </row>
    <row r="360" spans="1:7" x14ac:dyDescent="0.2">
      <c r="A360" t="s">
        <v>751</v>
      </c>
      <c r="B360" t="s">
        <v>752</v>
      </c>
      <c r="C360">
        <v>7611</v>
      </c>
      <c r="D360">
        <v>86273</v>
      </c>
      <c r="E360">
        <v>1886130</v>
      </c>
      <c r="F360" t="s">
        <v>35</v>
      </c>
      <c r="G360" t="s">
        <v>10</v>
      </c>
    </row>
    <row r="361" spans="1:7" x14ac:dyDescent="0.2">
      <c r="A361" t="s">
        <v>753</v>
      </c>
      <c r="B361" t="s">
        <v>754</v>
      </c>
      <c r="C361">
        <v>7086</v>
      </c>
      <c r="D361">
        <v>69233</v>
      </c>
      <c r="E361">
        <v>465963</v>
      </c>
      <c r="F361" t="s">
        <v>35</v>
      </c>
      <c r="G361" t="s">
        <v>10</v>
      </c>
    </row>
    <row r="362" spans="1:7" x14ac:dyDescent="0.2">
      <c r="A362" t="s">
        <v>755</v>
      </c>
      <c r="B362" t="s">
        <v>756</v>
      </c>
      <c r="C362">
        <v>6970</v>
      </c>
      <c r="D362">
        <v>129798</v>
      </c>
      <c r="E362">
        <v>1348230</v>
      </c>
      <c r="F362" t="s">
        <v>35</v>
      </c>
      <c r="G362" t="s">
        <v>10</v>
      </c>
    </row>
    <row r="363" spans="1:7" x14ac:dyDescent="0.2">
      <c r="A363" t="s">
        <v>757</v>
      </c>
      <c r="B363" t="s">
        <v>758</v>
      </c>
      <c r="C363">
        <v>6640</v>
      </c>
      <c r="D363">
        <v>79919</v>
      </c>
      <c r="E363">
        <v>508579</v>
      </c>
      <c r="F363" t="s">
        <v>35</v>
      </c>
      <c r="G363" t="s">
        <v>10</v>
      </c>
    </row>
    <row r="364" spans="1:7" x14ac:dyDescent="0.2">
      <c r="A364" t="s">
        <v>759</v>
      </c>
      <c r="B364" t="s">
        <v>760</v>
      </c>
      <c r="C364">
        <v>6397</v>
      </c>
      <c r="D364">
        <v>365545</v>
      </c>
      <c r="E364">
        <v>1644557</v>
      </c>
      <c r="F364" t="s">
        <v>35</v>
      </c>
      <c r="G364" t="s">
        <v>10</v>
      </c>
    </row>
    <row r="365" spans="1:7" x14ac:dyDescent="0.2">
      <c r="A365" t="s">
        <v>761</v>
      </c>
      <c r="B365" t="s">
        <v>762</v>
      </c>
      <c r="C365">
        <v>6230</v>
      </c>
      <c r="D365">
        <v>81564</v>
      </c>
      <c r="E365">
        <v>520366</v>
      </c>
      <c r="F365" t="s">
        <v>35</v>
      </c>
      <c r="G365" t="s">
        <v>10</v>
      </c>
    </row>
    <row r="366" spans="1:7" x14ac:dyDescent="0.2">
      <c r="A366" t="s">
        <v>763</v>
      </c>
      <c r="B366" t="s">
        <v>764</v>
      </c>
      <c r="C366">
        <v>6202</v>
      </c>
      <c r="D366">
        <v>76378</v>
      </c>
      <c r="E366">
        <v>498089</v>
      </c>
      <c r="F366" t="s">
        <v>35</v>
      </c>
      <c r="G366" t="s">
        <v>10</v>
      </c>
    </row>
    <row r="367" spans="1:7" x14ac:dyDescent="0.2">
      <c r="A367" t="s">
        <v>765</v>
      </c>
      <c r="B367" t="s">
        <v>766</v>
      </c>
      <c r="C367">
        <v>5985</v>
      </c>
      <c r="D367">
        <v>107368</v>
      </c>
      <c r="E367">
        <v>682359</v>
      </c>
      <c r="F367" t="s">
        <v>35</v>
      </c>
      <c r="G367" t="s">
        <v>10</v>
      </c>
    </row>
    <row r="368" spans="1:7" x14ac:dyDescent="0.2">
      <c r="A368" t="s">
        <v>767</v>
      </c>
      <c r="B368" t="s">
        <v>768</v>
      </c>
      <c r="C368">
        <v>5886</v>
      </c>
      <c r="D368">
        <v>57664</v>
      </c>
      <c r="E368">
        <v>379991</v>
      </c>
      <c r="F368" t="s">
        <v>35</v>
      </c>
      <c r="G368" t="s">
        <v>10</v>
      </c>
    </row>
    <row r="369" spans="1:7" x14ac:dyDescent="0.2">
      <c r="A369" t="s">
        <v>769</v>
      </c>
      <c r="B369" t="s">
        <v>770</v>
      </c>
      <c r="C369">
        <v>5788</v>
      </c>
      <c r="D369">
        <v>376531</v>
      </c>
      <c r="E369">
        <v>2634493</v>
      </c>
      <c r="F369" t="s">
        <v>35</v>
      </c>
      <c r="G369" t="s">
        <v>10</v>
      </c>
    </row>
    <row r="370" spans="1:7" x14ac:dyDescent="0.2">
      <c r="A370" t="s">
        <v>771</v>
      </c>
      <c r="B370" t="s">
        <v>772</v>
      </c>
      <c r="C370">
        <v>5625</v>
      </c>
      <c r="D370">
        <v>61422</v>
      </c>
      <c r="E370">
        <v>383079</v>
      </c>
      <c r="F370" t="s">
        <v>35</v>
      </c>
      <c r="G370" t="s">
        <v>10</v>
      </c>
    </row>
    <row r="371" spans="1:7" x14ac:dyDescent="0.2">
      <c r="A371" t="s">
        <v>773</v>
      </c>
      <c r="B371" t="s">
        <v>774</v>
      </c>
      <c r="C371">
        <v>5142</v>
      </c>
      <c r="D371">
        <v>57363</v>
      </c>
      <c r="E371">
        <v>368081</v>
      </c>
      <c r="F371" t="s">
        <v>35</v>
      </c>
      <c r="G371" t="s">
        <v>10</v>
      </c>
    </row>
    <row r="372" spans="1:7" x14ac:dyDescent="0.2">
      <c r="A372" t="s">
        <v>775</v>
      </c>
      <c r="B372" t="s">
        <v>776</v>
      </c>
      <c r="C372">
        <v>5088</v>
      </c>
      <c r="D372">
        <v>62332</v>
      </c>
      <c r="E372">
        <v>390607</v>
      </c>
      <c r="F372" t="s">
        <v>35</v>
      </c>
      <c r="G372" t="s">
        <v>10</v>
      </c>
    </row>
    <row r="373" spans="1:7" x14ac:dyDescent="0.2">
      <c r="A373" t="s">
        <v>777</v>
      </c>
      <c r="B373" t="s">
        <v>778</v>
      </c>
      <c r="C373">
        <v>4927</v>
      </c>
      <c r="D373">
        <v>182047</v>
      </c>
      <c r="E373">
        <v>956456</v>
      </c>
      <c r="F373" t="s">
        <v>35</v>
      </c>
      <c r="G373" t="s">
        <v>10</v>
      </c>
    </row>
    <row r="374" spans="1:7" x14ac:dyDescent="0.2">
      <c r="A374" t="s">
        <v>779</v>
      </c>
      <c r="B374" t="s">
        <v>780</v>
      </c>
      <c r="C374">
        <v>4610</v>
      </c>
      <c r="D374">
        <v>55744</v>
      </c>
      <c r="E374">
        <v>327609</v>
      </c>
      <c r="F374" t="s">
        <v>35</v>
      </c>
      <c r="G374" t="s">
        <v>10</v>
      </c>
    </row>
    <row r="375" spans="1:7" x14ac:dyDescent="0.2">
      <c r="A375" t="s">
        <v>781</v>
      </c>
      <c r="B375" t="s">
        <v>782</v>
      </c>
      <c r="C375">
        <v>4068</v>
      </c>
      <c r="D375">
        <v>63617</v>
      </c>
      <c r="E375">
        <v>349815</v>
      </c>
      <c r="F375" t="s">
        <v>35</v>
      </c>
      <c r="G375" t="s">
        <v>10</v>
      </c>
    </row>
    <row r="376" spans="1:7" x14ac:dyDescent="0.2">
      <c r="A376" t="s">
        <v>783</v>
      </c>
      <c r="B376" t="s">
        <v>784</v>
      </c>
      <c r="C376">
        <v>3812</v>
      </c>
      <c r="D376">
        <v>275387</v>
      </c>
      <c r="E376">
        <v>1487165</v>
      </c>
      <c r="F376" t="s">
        <v>35</v>
      </c>
      <c r="G376" t="s">
        <v>10</v>
      </c>
    </row>
    <row r="377" spans="1:7" x14ac:dyDescent="0.2">
      <c r="A377" t="s">
        <v>785</v>
      </c>
      <c r="B377" t="s">
        <v>786</v>
      </c>
      <c r="C377">
        <v>3324</v>
      </c>
      <c r="D377">
        <v>85171</v>
      </c>
      <c r="E377">
        <v>463852</v>
      </c>
      <c r="F377" t="s">
        <v>35</v>
      </c>
      <c r="G377" t="s">
        <v>10</v>
      </c>
    </row>
    <row r="378" spans="1:7" x14ac:dyDescent="0.2">
      <c r="A378" t="s">
        <v>787</v>
      </c>
      <c r="B378" t="s">
        <v>788</v>
      </c>
      <c r="C378">
        <v>2911</v>
      </c>
      <c r="D378">
        <v>95170</v>
      </c>
      <c r="E378">
        <v>509558</v>
      </c>
      <c r="F378" t="s">
        <v>35</v>
      </c>
      <c r="G378" t="s">
        <v>10</v>
      </c>
    </row>
    <row r="379" spans="1:7" x14ac:dyDescent="0.2">
      <c r="A379" t="s">
        <v>789</v>
      </c>
      <c r="B379" t="s">
        <v>790</v>
      </c>
      <c r="C379">
        <v>2733</v>
      </c>
      <c r="D379">
        <v>115967</v>
      </c>
      <c r="E379">
        <v>1674502</v>
      </c>
      <c r="F379" t="s">
        <v>35</v>
      </c>
      <c r="G379" t="s">
        <v>10</v>
      </c>
    </row>
    <row r="380" spans="1:7" x14ac:dyDescent="0.2">
      <c r="A380" t="s">
        <v>791</v>
      </c>
      <c r="B380" t="s">
        <v>792</v>
      </c>
      <c r="C380">
        <v>2619</v>
      </c>
      <c r="D380">
        <v>237775</v>
      </c>
      <c r="E380">
        <v>1297780</v>
      </c>
      <c r="F380" t="s">
        <v>35</v>
      </c>
      <c r="G380" t="s">
        <v>10</v>
      </c>
    </row>
    <row r="381" spans="1:7" x14ac:dyDescent="0.2">
      <c r="A381" t="s">
        <v>793</v>
      </c>
      <c r="B381" t="s">
        <v>794</v>
      </c>
      <c r="C381">
        <v>2471</v>
      </c>
      <c r="D381">
        <v>121906</v>
      </c>
      <c r="E381">
        <v>636514</v>
      </c>
      <c r="F381" t="s">
        <v>35</v>
      </c>
      <c r="G381" t="s">
        <v>10</v>
      </c>
    </row>
    <row r="382" spans="1:7" x14ac:dyDescent="0.2">
      <c r="A382" t="s">
        <v>795</v>
      </c>
      <c r="B382" t="s">
        <v>796</v>
      </c>
      <c r="C382">
        <v>2413</v>
      </c>
      <c r="D382">
        <v>50932</v>
      </c>
      <c r="E382">
        <v>253146</v>
      </c>
      <c r="F382" t="s">
        <v>35</v>
      </c>
      <c r="G382" t="s">
        <v>10</v>
      </c>
    </row>
    <row r="383" spans="1:7" x14ac:dyDescent="0.2">
      <c r="A383" t="s">
        <v>797</v>
      </c>
      <c r="B383" t="s">
        <v>798</v>
      </c>
      <c r="C383">
        <v>2352</v>
      </c>
      <c r="D383">
        <v>348562</v>
      </c>
      <c r="E383">
        <v>1643984</v>
      </c>
      <c r="F383" t="s">
        <v>35</v>
      </c>
      <c r="G383" t="s">
        <v>10</v>
      </c>
    </row>
    <row r="384" spans="1:7" x14ac:dyDescent="0.2">
      <c r="A384" t="s">
        <v>799</v>
      </c>
      <c r="B384" t="s">
        <v>800</v>
      </c>
      <c r="C384">
        <v>2191</v>
      </c>
      <c r="D384">
        <v>100995</v>
      </c>
      <c r="E384">
        <v>556775</v>
      </c>
      <c r="F384" t="s">
        <v>35</v>
      </c>
      <c r="G384" t="s">
        <v>10</v>
      </c>
    </row>
    <row r="385" spans="1:7" x14ac:dyDescent="0.2">
      <c r="A385" t="s">
        <v>801</v>
      </c>
      <c r="B385" t="s">
        <v>802</v>
      </c>
      <c r="C385">
        <v>1896</v>
      </c>
      <c r="D385">
        <v>155780</v>
      </c>
      <c r="E385">
        <v>844628</v>
      </c>
      <c r="F385" t="s">
        <v>35</v>
      </c>
      <c r="G385" t="s">
        <v>10</v>
      </c>
    </row>
    <row r="386" spans="1:7" x14ac:dyDescent="0.2">
      <c r="A386" t="s">
        <v>803</v>
      </c>
      <c r="B386" t="s">
        <v>804</v>
      </c>
      <c r="C386">
        <v>1860</v>
      </c>
      <c r="D386">
        <v>70625</v>
      </c>
      <c r="E386">
        <v>376901</v>
      </c>
      <c r="F386" t="s">
        <v>35</v>
      </c>
      <c r="G386" t="s">
        <v>10</v>
      </c>
    </row>
    <row r="387" spans="1:7" x14ac:dyDescent="0.2">
      <c r="A387" t="s">
        <v>805</v>
      </c>
      <c r="B387" t="s">
        <v>806</v>
      </c>
      <c r="C387">
        <v>1668</v>
      </c>
      <c r="D387">
        <v>68576</v>
      </c>
      <c r="E387">
        <v>349474</v>
      </c>
      <c r="F387" t="s">
        <v>35</v>
      </c>
      <c r="G387" t="s">
        <v>10</v>
      </c>
    </row>
    <row r="388" spans="1:7" x14ac:dyDescent="0.2">
      <c r="A388" t="s">
        <v>807</v>
      </c>
      <c r="B388" t="s">
        <v>808</v>
      </c>
      <c r="C388">
        <v>1537</v>
      </c>
      <c r="D388">
        <v>372997</v>
      </c>
      <c r="E388">
        <v>1937310</v>
      </c>
      <c r="F388" t="s">
        <v>35</v>
      </c>
      <c r="G388" t="s">
        <v>10</v>
      </c>
    </row>
    <row r="389" spans="1:7" x14ac:dyDescent="0.2">
      <c r="A389" t="s">
        <v>809</v>
      </c>
      <c r="B389" t="s">
        <v>810</v>
      </c>
      <c r="C389">
        <v>1302</v>
      </c>
      <c r="D389">
        <v>60800</v>
      </c>
      <c r="E389">
        <v>355448</v>
      </c>
      <c r="F389" t="s">
        <v>35</v>
      </c>
      <c r="G389" t="s">
        <v>10</v>
      </c>
    </row>
    <row r="390" spans="1:7" x14ac:dyDescent="0.2">
      <c r="A390" t="s">
        <v>811</v>
      </c>
      <c r="B390" t="s">
        <v>812</v>
      </c>
      <c r="C390">
        <v>1106</v>
      </c>
      <c r="D390">
        <v>286428</v>
      </c>
      <c r="E390">
        <v>1392552</v>
      </c>
      <c r="F390" t="s">
        <v>35</v>
      </c>
      <c r="G390" t="s">
        <v>10</v>
      </c>
    </row>
    <row r="391" spans="1:7" x14ac:dyDescent="0.2">
      <c r="A391" t="s">
        <v>813</v>
      </c>
      <c r="B391" t="s">
        <v>814</v>
      </c>
      <c r="C391">
        <v>1100</v>
      </c>
      <c r="D391">
        <v>51363</v>
      </c>
      <c r="E391">
        <v>278245</v>
      </c>
      <c r="F391" t="s">
        <v>35</v>
      </c>
      <c r="G391" t="s">
        <v>10</v>
      </c>
    </row>
    <row r="392" spans="1:7" x14ac:dyDescent="0.2">
      <c r="A392" t="s">
        <v>815</v>
      </c>
      <c r="B392" t="s">
        <v>816</v>
      </c>
      <c r="C392">
        <v>923</v>
      </c>
      <c r="D392">
        <v>348765</v>
      </c>
      <c r="E392">
        <v>1689015</v>
      </c>
      <c r="F392" t="s">
        <v>35</v>
      </c>
      <c r="G392" t="s">
        <v>10</v>
      </c>
    </row>
    <row r="393" spans="1:7" x14ac:dyDescent="0.2">
      <c r="A393" t="s">
        <v>817</v>
      </c>
      <c r="B393" t="s">
        <v>818</v>
      </c>
      <c r="C393">
        <v>739</v>
      </c>
      <c r="D393">
        <v>305732</v>
      </c>
      <c r="E393">
        <v>1507903</v>
      </c>
      <c r="F393" t="s">
        <v>35</v>
      </c>
      <c r="G393" t="s">
        <v>10</v>
      </c>
    </row>
    <row r="394" spans="1:7" x14ac:dyDescent="0.2">
      <c r="A394" t="s">
        <v>819</v>
      </c>
      <c r="B394" t="s">
        <v>820</v>
      </c>
      <c r="C394">
        <v>711</v>
      </c>
      <c r="D394">
        <v>49366</v>
      </c>
      <c r="E394">
        <v>254464</v>
      </c>
      <c r="F394" t="s">
        <v>35</v>
      </c>
      <c r="G394" t="s">
        <v>10</v>
      </c>
    </row>
    <row r="395" spans="1:7" x14ac:dyDescent="0.2">
      <c r="A395" t="s">
        <v>821</v>
      </c>
      <c r="B395" t="s">
        <v>822</v>
      </c>
      <c r="C395">
        <v>676</v>
      </c>
      <c r="D395">
        <v>107767</v>
      </c>
      <c r="E395">
        <v>525930</v>
      </c>
      <c r="F395" t="s">
        <v>35</v>
      </c>
      <c r="G395" t="s">
        <v>10</v>
      </c>
    </row>
    <row r="396" spans="1:7" x14ac:dyDescent="0.2">
      <c r="A396" t="s">
        <v>823</v>
      </c>
      <c r="B396" t="s">
        <v>824</v>
      </c>
      <c r="C396">
        <v>444</v>
      </c>
      <c r="D396">
        <v>88358</v>
      </c>
      <c r="E396">
        <v>442299</v>
      </c>
      <c r="F396" t="s">
        <v>35</v>
      </c>
      <c r="G396" t="s">
        <v>10</v>
      </c>
    </row>
    <row r="397" spans="1:7" x14ac:dyDescent="0.2">
      <c r="A397" t="s">
        <v>825</v>
      </c>
      <c r="B397" t="s">
        <v>826</v>
      </c>
      <c r="C397">
        <v>379</v>
      </c>
      <c r="D397">
        <v>56850</v>
      </c>
      <c r="E397">
        <v>307027</v>
      </c>
      <c r="F397" t="s">
        <v>35</v>
      </c>
      <c r="G397" t="s">
        <v>10</v>
      </c>
    </row>
    <row r="398" spans="1:7" x14ac:dyDescent="0.2">
      <c r="A398" t="s">
        <v>827</v>
      </c>
      <c r="B398" t="s">
        <v>828</v>
      </c>
      <c r="C398">
        <v>324</v>
      </c>
      <c r="D398">
        <v>49991</v>
      </c>
      <c r="E398">
        <v>252016</v>
      </c>
      <c r="F398" t="s">
        <v>35</v>
      </c>
      <c r="G398" t="s">
        <v>10</v>
      </c>
    </row>
    <row r="399" spans="1:7" x14ac:dyDescent="0.2">
      <c r="A399" t="s">
        <v>829</v>
      </c>
      <c r="B399" t="s">
        <v>830</v>
      </c>
      <c r="C399">
        <v>228</v>
      </c>
      <c r="D399">
        <v>65792</v>
      </c>
      <c r="E399">
        <v>341286</v>
      </c>
      <c r="F399" t="s">
        <v>35</v>
      </c>
      <c r="G399" t="s">
        <v>10</v>
      </c>
    </row>
    <row r="400" spans="1:7" x14ac:dyDescent="0.2">
      <c r="A400" t="s">
        <v>831</v>
      </c>
      <c r="B400" t="s">
        <v>832</v>
      </c>
      <c r="C400">
        <v>199</v>
      </c>
      <c r="D400">
        <v>212744</v>
      </c>
      <c r="E400">
        <v>1052002</v>
      </c>
      <c r="F400" t="s">
        <v>35</v>
      </c>
      <c r="G400" t="s">
        <v>10</v>
      </c>
    </row>
    <row r="401" spans="1:7" x14ac:dyDescent="0.2">
      <c r="A401" t="s">
        <v>833</v>
      </c>
      <c r="B401" t="s">
        <v>834</v>
      </c>
      <c r="C401">
        <v>184</v>
      </c>
      <c r="D401">
        <v>94827</v>
      </c>
      <c r="E401">
        <v>470265</v>
      </c>
      <c r="F401" t="s">
        <v>35</v>
      </c>
      <c r="G401" t="s">
        <v>10</v>
      </c>
    </row>
    <row r="402" spans="1:7" x14ac:dyDescent="0.2">
      <c r="A402" t="s">
        <v>835</v>
      </c>
      <c r="B402" t="s">
        <v>836</v>
      </c>
      <c r="C402">
        <v>142</v>
      </c>
      <c r="D402">
        <v>69801</v>
      </c>
      <c r="E402">
        <v>326648</v>
      </c>
      <c r="F402" t="s">
        <v>35</v>
      </c>
      <c r="G402" t="s">
        <v>10</v>
      </c>
    </row>
    <row r="403" spans="1:7" x14ac:dyDescent="0.2">
      <c r="A403" t="s">
        <v>837</v>
      </c>
      <c r="B403" t="s">
        <v>838</v>
      </c>
      <c r="C403">
        <v>0</v>
      </c>
      <c r="D403">
        <v>79337</v>
      </c>
      <c r="E403">
        <v>395238</v>
      </c>
      <c r="F403" t="s">
        <v>35</v>
      </c>
      <c r="G403" t="s">
        <v>10</v>
      </c>
    </row>
    <row r="404" spans="1:7" x14ac:dyDescent="0.2">
      <c r="G404" t="s">
        <v>10</v>
      </c>
    </row>
    <row r="405" spans="1:7" x14ac:dyDescent="0.2">
      <c r="G405" t="s">
        <v>10</v>
      </c>
    </row>
    <row r="406" spans="1:7" x14ac:dyDescent="0.2">
      <c r="G406" t="s">
        <v>10</v>
      </c>
    </row>
    <row r="407" spans="1:7" x14ac:dyDescent="0.2">
      <c r="G407" t="s">
        <v>10</v>
      </c>
    </row>
    <row r="408" spans="1:7" x14ac:dyDescent="0.2">
      <c r="G408" t="s">
        <v>10</v>
      </c>
    </row>
    <row r="409" spans="1:7" x14ac:dyDescent="0.2">
      <c r="G409" t="s">
        <v>10</v>
      </c>
    </row>
    <row r="410" spans="1:7" x14ac:dyDescent="0.2">
      <c r="G410" t="s">
        <v>10</v>
      </c>
    </row>
    <row r="411" spans="1:7" x14ac:dyDescent="0.2">
      <c r="G411" t="s">
        <v>10</v>
      </c>
    </row>
    <row r="412" spans="1:7" x14ac:dyDescent="0.2">
      <c r="G412" t="s">
        <v>10</v>
      </c>
    </row>
    <row r="413" spans="1:7" x14ac:dyDescent="0.2">
      <c r="G413" t="s">
        <v>10</v>
      </c>
    </row>
    <row r="414" spans="1:7" x14ac:dyDescent="0.2">
      <c r="G414" t="s">
        <v>10</v>
      </c>
    </row>
    <row r="415" spans="1:7" x14ac:dyDescent="0.2">
      <c r="G415" t="s">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8FB2-869A-8F48-96F6-2CEE8F7283D0}">
  <dimension ref="A1:D12"/>
  <sheetViews>
    <sheetView showGridLines="0" workbookViewId="0">
      <selection activeCell="K13" sqref="K13"/>
    </sheetView>
  </sheetViews>
  <sheetFormatPr baseColWidth="10" defaultRowHeight="16" x14ac:dyDescent="0.2"/>
  <cols>
    <col min="1" max="1" width="37.1640625" customWidth="1"/>
  </cols>
  <sheetData>
    <row r="1" spans="1:4" x14ac:dyDescent="0.2">
      <c r="A1" s="1" t="s">
        <v>979</v>
      </c>
      <c r="B1" s="1" t="s">
        <v>980</v>
      </c>
      <c r="C1" s="1" t="s">
        <v>981</v>
      </c>
      <c r="D1" s="1" t="s">
        <v>982</v>
      </c>
    </row>
    <row r="2" spans="1:4" x14ac:dyDescent="0.2">
      <c r="A2" s="2" t="s">
        <v>975</v>
      </c>
      <c r="B2" s="2">
        <f>COUNTIF(Combined_Corporate[Year],"2022-23")</f>
        <v>402</v>
      </c>
      <c r="C2" s="2">
        <v>402</v>
      </c>
      <c r="D2" s="1" t="str">
        <f>IF(ROUND(B2,0)=C2,"PASS","CHECK")</f>
        <v>PASS</v>
      </c>
    </row>
    <row r="3" spans="1:4" x14ac:dyDescent="0.2">
      <c r="A3" s="2" t="s">
        <v>976</v>
      </c>
      <c r="B3" s="2">
        <f>COUNTIF(Combined_Corporate[Year],"2023-24")</f>
        <v>392</v>
      </c>
      <c r="C3" s="2">
        <v>392</v>
      </c>
      <c r="D3" s="1" t="str">
        <f t="shared" ref="D3:D12" si="0">IF(ROUND(B3,0)=C3,"PASS","CHECK")</f>
        <v>PASS</v>
      </c>
    </row>
    <row r="4" spans="1:4" x14ac:dyDescent="0.2">
      <c r="A4" s="2" t="s">
        <v>977</v>
      </c>
      <c r="B4" s="2">
        <f>COUNTIF(Combined_Corporate[Year],"2024-25")</f>
        <v>398</v>
      </c>
      <c r="C4" s="2">
        <v>398</v>
      </c>
      <c r="D4" s="1" t="str">
        <f t="shared" si="0"/>
        <v>PASS</v>
      </c>
    </row>
    <row r="5" spans="1:4" x14ac:dyDescent="0.2">
      <c r="A5" s="2" t="s">
        <v>983</v>
      </c>
      <c r="B5" s="2">
        <f>ROWS(Combined_Corporate[Organisation name])</f>
        <v>1192</v>
      </c>
      <c r="C5" s="2">
        <v>1192</v>
      </c>
      <c r="D5" s="1" t="str">
        <f t="shared" si="0"/>
        <v>PASS</v>
      </c>
    </row>
    <row r="6" spans="1:4" x14ac:dyDescent="0.2">
      <c r="A6" s="2" t="s">
        <v>978</v>
      </c>
      <c r="B6" s="2">
        <f>COUNTBLANK(Combined_Corporate[Organisation name])</f>
        <v>0</v>
      </c>
      <c r="C6" s="2">
        <v>0</v>
      </c>
      <c r="D6" s="1" t="str">
        <f t="shared" si="0"/>
        <v>PASS</v>
      </c>
    </row>
    <row r="7" spans="1:4" x14ac:dyDescent="0.2">
      <c r="A7" s="2" t="s">
        <v>984</v>
      </c>
      <c r="B7" s="2" cm="1">
        <f t="array" ref="B7">ROWS(Combined_Corporate[Organisation name])-ROWS(_xlfn.UNIQUE(Combined_Corporate[Organisation name]&amp;"|"&amp;Combined_Corporate[Year]))</f>
        <v>0</v>
      </c>
      <c r="C7" s="2">
        <v>0</v>
      </c>
      <c r="D7" s="1" t="str">
        <f t="shared" si="0"/>
        <v>PASS</v>
      </c>
    </row>
    <row r="8" spans="1:4" x14ac:dyDescent="0.2">
      <c r="A8" s="2" t="s">
        <v>985</v>
      </c>
      <c r="B8" s="2" cm="1">
        <f t="array" ref="B8">SUMPRODUCT(--NOT(ISNUMBER(Combined_Corporate[Total scope 1 emissions (t CO2-e)])))</f>
        <v>0</v>
      </c>
      <c r="C8" s="2">
        <v>0</v>
      </c>
      <c r="D8" s="1" t="str">
        <f t="shared" si="0"/>
        <v>PASS</v>
      </c>
    </row>
    <row r="9" spans="1:4" x14ac:dyDescent="0.2">
      <c r="A9" s="2" t="s">
        <v>986</v>
      </c>
      <c r="B9" s="2">
        <f>COUNTIF(Combined_Corporate[Total scope 1 emissions (t CO2-e)],"&lt;0")+COUNTIF(Combined_Corporate[Total scope 2 emissions (t CO2-e)],"&lt;0")</f>
        <v>0</v>
      </c>
      <c r="C9" s="2">
        <v>0</v>
      </c>
      <c r="D9" s="1" t="str">
        <f t="shared" si="0"/>
        <v>PASS</v>
      </c>
    </row>
    <row r="10" spans="1:4" x14ac:dyDescent="0.2">
      <c r="A10" s="2" t="s">
        <v>987</v>
      </c>
      <c r="B10" s="2">
        <f>SUMIFS(Combined_Corporate[Total scope 1 emissions (t CO2-e)],Combined_Corporate[Year],"2024-25")</f>
        <v>294624538.82999998</v>
      </c>
      <c r="C10" s="2">
        <v>294624539</v>
      </c>
      <c r="D10" s="1" t="str">
        <f t="shared" si="0"/>
        <v>PASS</v>
      </c>
    </row>
    <row r="11" spans="1:4" x14ac:dyDescent="0.2">
      <c r="A11" s="2" t="s">
        <v>988</v>
      </c>
      <c r="B11" s="2">
        <f>SUMIFS(Combined_Corporate[Total scope 2 emissions (t CO2-e)],Combined_Corporate[Year],"2024-25")</f>
        <v>68831147.160000011</v>
      </c>
      <c r="C11" s="2">
        <v>68831147</v>
      </c>
      <c r="D11" s="1" t="str">
        <f t="shared" si="0"/>
        <v>PASS</v>
      </c>
    </row>
    <row r="12" spans="1:4" x14ac:dyDescent="0.2">
      <c r="A12" s="2" t="s">
        <v>989</v>
      </c>
      <c r="B12" s="2">
        <f>COUNTIF(Combined_Corporate[Important notes],"&lt;&gt;-")</f>
        <v>6</v>
      </c>
      <c r="C12" s="2">
        <v>6</v>
      </c>
      <c r="D12" s="1" t="str">
        <f t="shared" si="0"/>
        <v>PASS</v>
      </c>
    </row>
  </sheetData>
  <conditionalFormatting sqref="D2:D12">
    <cfRule type="containsText" dxfId="3" priority="1" operator="containsText" text="CHECK">
      <formula>NOT(ISERROR(SEARCH("CHECK",D2)))</formula>
    </cfRule>
    <cfRule type="containsText" dxfId="2" priority="2" operator="containsText" text="PASS">
      <formula>NOT(ISERROR(SEARCH("PASS",D2)))</formula>
    </cfRule>
  </conditionalFormatting>
  <conditionalFormatting sqref="F8">
    <cfRule type="containsText" dxfId="1" priority="3" operator="containsText" text="Check">
      <formula>NOT(ISERROR(SEARCH("Check",F8)))</formula>
    </cfRule>
    <cfRule type="containsText" dxfId="0" priority="4" operator="containsText" text="PASS">
      <formula>NOT(ISERROR(SEARCH("PASS",F8)))</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8CF01-3AC5-134A-845D-3C6508A2A9CC}">
  <dimension ref="A1:H7"/>
  <sheetViews>
    <sheetView showGridLines="0" zoomScale="115" zoomScaleNormal="100" workbookViewId="0">
      <selection activeCell="G21" sqref="G21"/>
    </sheetView>
  </sheetViews>
  <sheetFormatPr baseColWidth="10" defaultRowHeight="16" x14ac:dyDescent="0.2"/>
  <cols>
    <col min="1" max="1" width="5.83203125" customWidth="1"/>
    <col min="2" max="2" width="18.83203125" customWidth="1"/>
    <col min="3" max="3" width="20.83203125" customWidth="1"/>
    <col min="4" max="5" width="25.83203125" customWidth="1"/>
    <col min="6" max="6" width="18.83203125" customWidth="1"/>
    <col min="7" max="8" width="30.83203125" customWidth="1"/>
  </cols>
  <sheetData>
    <row r="1" spans="1:8" x14ac:dyDescent="0.2">
      <c r="A1" s="5" t="s">
        <v>990</v>
      </c>
      <c r="B1" s="5" t="s">
        <v>1</v>
      </c>
      <c r="C1" s="5" t="s">
        <v>991</v>
      </c>
      <c r="D1" s="5" t="s">
        <v>992</v>
      </c>
      <c r="E1" s="5" t="s">
        <v>993</v>
      </c>
      <c r="F1" s="5" t="s">
        <v>994</v>
      </c>
      <c r="G1" s="5" t="s">
        <v>995</v>
      </c>
      <c r="H1" s="5" t="s">
        <v>996</v>
      </c>
    </row>
    <row r="2" spans="1:8" x14ac:dyDescent="0.2">
      <c r="A2" s="6" t="s">
        <v>997</v>
      </c>
      <c r="B2" s="6" t="s">
        <v>998</v>
      </c>
      <c r="C2" s="6" t="s">
        <v>999</v>
      </c>
      <c r="D2" s="6" t="s">
        <v>1000</v>
      </c>
      <c r="E2" s="6" t="s">
        <v>1001</v>
      </c>
      <c r="F2" s="6" t="s">
        <v>1002</v>
      </c>
      <c r="G2" s="6" t="s">
        <v>1003</v>
      </c>
      <c r="H2" s="6" t="s">
        <v>1004</v>
      </c>
    </row>
    <row r="3" spans="1:8" x14ac:dyDescent="0.2">
      <c r="A3" s="6" t="s">
        <v>1005</v>
      </c>
      <c r="B3" s="6" t="s">
        <v>1006</v>
      </c>
      <c r="C3" s="6" t="s">
        <v>1007</v>
      </c>
      <c r="D3" s="6" t="s">
        <v>1008</v>
      </c>
      <c r="E3" s="6" t="s">
        <v>1009</v>
      </c>
      <c r="F3" s="6" t="s">
        <v>1010</v>
      </c>
      <c r="G3" s="6" t="s">
        <v>1011</v>
      </c>
      <c r="H3" s="6" t="s">
        <v>1012</v>
      </c>
    </row>
    <row r="4" spans="1:8" x14ac:dyDescent="0.2">
      <c r="A4" s="6" t="s">
        <v>1013</v>
      </c>
      <c r="B4" s="6" t="s">
        <v>1014</v>
      </c>
      <c r="C4" s="6" t="s">
        <v>1015</v>
      </c>
      <c r="D4" s="6" t="s">
        <v>1016</v>
      </c>
      <c r="E4" s="6" t="s">
        <v>1017</v>
      </c>
      <c r="F4" s="6" t="s">
        <v>1018</v>
      </c>
      <c r="G4" s="6" t="s">
        <v>1019</v>
      </c>
      <c r="H4" s="6" t="s">
        <v>1020</v>
      </c>
    </row>
    <row r="5" spans="1:8" x14ac:dyDescent="0.2">
      <c r="A5" s="6" t="s">
        <v>1021</v>
      </c>
      <c r="B5" s="6" t="s">
        <v>1022</v>
      </c>
      <c r="C5" s="6" t="s">
        <v>1023</v>
      </c>
      <c r="D5" s="6" t="s">
        <v>1024</v>
      </c>
      <c r="E5" s="6" t="s">
        <v>1025</v>
      </c>
      <c r="F5" s="6" t="s">
        <v>1026</v>
      </c>
      <c r="G5" s="6" t="s">
        <v>1027</v>
      </c>
      <c r="H5" s="6" t="s">
        <v>1028</v>
      </c>
    </row>
    <row r="6" spans="1:8" x14ac:dyDescent="0.2">
      <c r="A6" s="6" t="s">
        <v>1029</v>
      </c>
      <c r="B6" s="6" t="s">
        <v>1030</v>
      </c>
      <c r="C6" s="6" t="s">
        <v>1031</v>
      </c>
      <c r="D6" s="6" t="s">
        <v>1032</v>
      </c>
      <c r="E6" s="6" t="s">
        <v>1989</v>
      </c>
      <c r="F6" s="6" t="s">
        <v>1033</v>
      </c>
      <c r="G6" s="6" t="s">
        <v>1034</v>
      </c>
      <c r="H6" s="6" t="s">
        <v>1035</v>
      </c>
    </row>
    <row r="7" spans="1:8" x14ac:dyDescent="0.2">
      <c r="A7" s="6" t="s">
        <v>1036</v>
      </c>
      <c r="B7" s="6" t="s">
        <v>1037</v>
      </c>
      <c r="C7" s="6" t="s">
        <v>1038</v>
      </c>
      <c r="D7" s="6" t="s">
        <v>1039</v>
      </c>
      <c r="E7" s="6" t="s">
        <v>1040</v>
      </c>
      <c r="F7" s="6" t="s">
        <v>1041</v>
      </c>
      <c r="G7" s="6" t="s">
        <v>1042</v>
      </c>
      <c r="H7" s="6" t="s">
        <v>1043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CB449-0C7A-C74E-A6BC-0CCC5E7BF6A0}">
  <dimension ref="A1:M13"/>
  <sheetViews>
    <sheetView workbookViewId="0">
      <selection activeCell="E1" sqref="E1:G2"/>
    </sheetView>
  </sheetViews>
  <sheetFormatPr baseColWidth="10" defaultRowHeight="16" x14ac:dyDescent="0.2"/>
  <cols>
    <col min="1" max="1" width="16.1640625" customWidth="1"/>
    <col min="3" max="3" width="28.6640625" customWidth="1"/>
    <col min="11" max="12" width="37.1640625" customWidth="1"/>
    <col min="13" max="13" width="36.6640625" customWidth="1"/>
  </cols>
  <sheetData>
    <row r="1" spans="1:13" ht="34" x14ac:dyDescent="0.2">
      <c r="A1" s="8" t="s">
        <v>1044</v>
      </c>
      <c r="B1" s="8" t="s">
        <v>1045</v>
      </c>
      <c r="C1" s="8" t="s">
        <v>1046</v>
      </c>
      <c r="D1" s="8" t="s">
        <v>1047</v>
      </c>
      <c r="E1" s="8" t="s">
        <v>10</v>
      </c>
      <c r="F1" s="8" t="s">
        <v>15</v>
      </c>
      <c r="G1" s="8" t="s">
        <v>18</v>
      </c>
      <c r="H1" s="8" t="s">
        <v>1048</v>
      </c>
      <c r="I1" s="8" t="s">
        <v>1049</v>
      </c>
      <c r="J1" s="8" t="s">
        <v>1050</v>
      </c>
      <c r="K1" s="8" t="s">
        <v>1066</v>
      </c>
      <c r="L1" s="13" t="s">
        <v>1067</v>
      </c>
      <c r="M1" s="14" t="s">
        <v>1068</v>
      </c>
    </row>
    <row r="2" spans="1:13" ht="68" x14ac:dyDescent="0.2">
      <c r="A2" s="9" t="s">
        <v>1051</v>
      </c>
      <c r="B2" s="9" t="s">
        <v>1052</v>
      </c>
      <c r="C2" s="9" t="s">
        <v>1053</v>
      </c>
      <c r="D2" s="9" t="s">
        <v>1054</v>
      </c>
      <c r="E2" s="10">
        <f>IF($D2="Scope 1",SUMIFS(Combined_Corporate[Total scope 1 emissions (t CO2-e)],Combined_Corporate[Organisation name],$C2,Combined_Corporate[Year],E$1),IF($D2="Scope 2",SUMIFS(Combined_Corporate[Total scope 2 emissions (t CO2-e)],Combined_Corporate[Organisation name],$C2,Combined_Corporate[Year],E$1),SUMIFS(Combined_Corporate[Total scope 1 emissions (t CO2-e)],Combined_Corporate[Organisation name],$C2,Combined_Corporate[Year],E$1)+SUMIFS(Combined_Corporate[Total scope 2 emissions (t CO2-e)],Combined_Corporate[Organisation name],$C2,Combined_Corporate[Year],E$1)))</f>
        <v>2733</v>
      </c>
      <c r="F2" s="10">
        <f>IF($D2="Scope 1",SUMIFS(Combined_Corporate[Total scope 1 emissions (t CO2-e)],Combined_Corporate[Organisation name],$C2,Combined_Corporate[Year],F$1),IF($D2="Scope 2",SUMIFS(Combined_Corporate[Total scope 2 emissions (t CO2-e)],Combined_Corporate[Organisation name],$C2,Combined_Corporate[Year],F$1),SUMIFS(Combined_Corporate[Total scope 1 emissions (t CO2-e)],Combined_Corporate[Organisation name],$C2,Combined_Corporate[Year],F$1)+SUMIFS(Combined_Corporate[Total scope 2 emissions (t CO2-e)],Combined_Corporate[Organisation name],$C2,Combined_Corporate[Year],F$1)))</f>
        <v>3478</v>
      </c>
      <c r="G2" s="10">
        <f>IF($D2="Scope 1",SUMIFS(Combined_Corporate[Total scope 1 emissions (t CO2-e)],Combined_Corporate[Organisation name],$C2,Combined_Corporate[Year],G$1),IF($D2="Scope 2",SUMIFS(Combined_Corporate[Total scope 2 emissions (t CO2-e)],Combined_Corporate[Organisation name],$C2,Combined_Corporate[Year],G$1),SUMIFS(Combined_Corporate[Total scope 1 emissions (t CO2-e)],Combined_Corporate[Organisation name],$C2,Combined_Corporate[Year],G$1)+SUMIFS(Combined_Corporate[Total scope 2 emissions (t CO2-e)],Combined_Corporate[Organisation name],$C2,Combined_Corporate[Year],G$1)))</f>
        <v>4644</v>
      </c>
      <c r="H2" s="11">
        <f>F2/E2-1</f>
        <v>0.2725942188071715</v>
      </c>
      <c r="I2" s="11">
        <f>G2/F2-1</f>
        <v>0.33525014376078199</v>
      </c>
      <c r="J2" s="11">
        <f>G2/E2-1</f>
        <v>0.69923161361141606</v>
      </c>
      <c r="K2" s="7" t="s">
        <v>1069</v>
      </c>
      <c r="L2" s="7" t="s">
        <v>1070</v>
      </c>
      <c r="M2" s="7" t="s">
        <v>1071</v>
      </c>
    </row>
    <row r="3" spans="1:13" ht="85" x14ac:dyDescent="0.2">
      <c r="A3" s="9" t="s">
        <v>1051</v>
      </c>
      <c r="B3" s="9" t="s">
        <v>1052</v>
      </c>
      <c r="C3" s="9" t="s">
        <v>1053</v>
      </c>
      <c r="D3" s="9" t="s">
        <v>1055</v>
      </c>
      <c r="E3" s="10">
        <f>IF($D3="Scope 1",SUMIFS(Combined_Corporate[Total scope 1 emissions (t CO2-e)],Combined_Corporate[Organisation name],$C3,Combined_Corporate[Year],E$1),IF($D3="Scope 2",SUMIFS(Combined_Corporate[Total scope 2 emissions (t CO2-e)],Combined_Corporate[Organisation name],$C3,Combined_Corporate[Year],E$1),SUMIFS(Combined_Corporate[Total scope 1 emissions (t CO2-e)],Combined_Corporate[Organisation name],$C3,Combined_Corporate[Year],E$1)+SUMIFS(Combined_Corporate[Total scope 2 emissions (t CO2-e)],Combined_Corporate[Organisation name],$C3,Combined_Corporate[Year],E$1)))</f>
        <v>115967</v>
      </c>
      <c r="F3" s="10">
        <f>IF($D3="Scope 1",SUMIFS(Combined_Corporate[Total scope 1 emissions (t CO2-e)],Combined_Corporate[Organisation name],$C3,Combined_Corporate[Year],F$1),IF($D3="Scope 2",SUMIFS(Combined_Corporate[Total scope 2 emissions (t CO2-e)],Combined_Corporate[Organisation name],$C3,Combined_Corporate[Year],F$1),SUMIFS(Combined_Corporate[Total scope 1 emissions (t CO2-e)],Combined_Corporate[Organisation name],$C3,Combined_Corporate[Year],F$1)+SUMIFS(Combined_Corporate[Total scope 2 emissions (t CO2-e)],Combined_Corporate[Organisation name],$C3,Combined_Corporate[Year],F$1)))</f>
        <v>106344</v>
      </c>
      <c r="G3" s="10">
        <f>IF($D3="Scope 1",SUMIFS(Combined_Corporate[Total scope 1 emissions (t CO2-e)],Combined_Corporate[Organisation name],$C3,Combined_Corporate[Year],G$1),IF($D3="Scope 2",SUMIFS(Combined_Corporate[Total scope 2 emissions (t CO2-e)],Combined_Corporate[Organisation name],$C3,Combined_Corporate[Year],G$1),SUMIFS(Combined_Corporate[Total scope 1 emissions (t CO2-e)],Combined_Corporate[Organisation name],$C3,Combined_Corporate[Year],G$1)+SUMIFS(Combined_Corporate[Total scope 2 emissions (t CO2-e)],Combined_Corporate[Organisation name],$C3,Combined_Corporate[Year],G$1)))</f>
        <v>103279</v>
      </c>
      <c r="H3" s="11">
        <f t="shared" ref="H3:H13" si="0">F3/E3-1</f>
        <v>-8.2980503074150391E-2</v>
      </c>
      <c r="I3" s="11">
        <f t="shared" ref="I3:I13" si="1">G3/F3-1</f>
        <v>-2.8821560219664533E-2</v>
      </c>
      <c r="J3" s="11">
        <f t="shared" ref="J3:J13" si="2">G3/E3-1</f>
        <v>-0.10941043572740516</v>
      </c>
      <c r="K3" s="7" t="s">
        <v>1072</v>
      </c>
      <c r="L3" s="7" t="s">
        <v>1073</v>
      </c>
      <c r="M3" s="7" t="s">
        <v>1074</v>
      </c>
    </row>
    <row r="4" spans="1:13" ht="119" x14ac:dyDescent="0.2">
      <c r="A4" s="9" t="s">
        <v>1051</v>
      </c>
      <c r="B4" s="9" t="s">
        <v>1052</v>
      </c>
      <c r="C4" s="9" t="s">
        <v>1053</v>
      </c>
      <c r="D4" s="9" t="s">
        <v>1056</v>
      </c>
      <c r="E4" s="10">
        <f>IF($D4="Scope 1",SUMIFS(Combined_Corporate[Total scope 1 emissions (t CO2-e)],Combined_Corporate[Organisation name],$C4,Combined_Corporate[Year],E$1),IF($D4="Scope 2",SUMIFS(Combined_Corporate[Total scope 2 emissions (t CO2-e)],Combined_Corporate[Organisation name],$C4,Combined_Corporate[Year],E$1),SUMIFS(Combined_Corporate[Total scope 1 emissions (t CO2-e)],Combined_Corporate[Organisation name],$C4,Combined_Corporate[Year],E$1)+SUMIFS(Combined_Corporate[Total scope 2 emissions (t CO2-e)],Combined_Corporate[Organisation name],$C4,Combined_Corporate[Year],E$1)))</f>
        <v>118700</v>
      </c>
      <c r="F4" s="10">
        <f>IF($D4="Scope 1",SUMIFS(Combined_Corporate[Total scope 1 emissions (t CO2-e)],Combined_Corporate[Organisation name],$C4,Combined_Corporate[Year],F$1),IF($D4="Scope 2",SUMIFS(Combined_Corporate[Total scope 2 emissions (t CO2-e)],Combined_Corporate[Organisation name],$C4,Combined_Corporate[Year],F$1),SUMIFS(Combined_Corporate[Total scope 1 emissions (t CO2-e)],Combined_Corporate[Organisation name],$C4,Combined_Corporate[Year],F$1)+SUMIFS(Combined_Corporate[Total scope 2 emissions (t CO2-e)],Combined_Corporate[Organisation name],$C4,Combined_Corporate[Year],F$1)))</f>
        <v>109822</v>
      </c>
      <c r="G4" s="10">
        <f>IF($D4="Scope 1",SUMIFS(Combined_Corporate[Total scope 1 emissions (t CO2-e)],Combined_Corporate[Organisation name],$C4,Combined_Corporate[Year],G$1),IF($D4="Scope 2",SUMIFS(Combined_Corporate[Total scope 2 emissions (t CO2-e)],Combined_Corporate[Organisation name],$C4,Combined_Corporate[Year],G$1),SUMIFS(Combined_Corporate[Total scope 1 emissions (t CO2-e)],Combined_Corporate[Organisation name],$C4,Combined_Corporate[Year],G$1)+SUMIFS(Combined_Corporate[Total scope 2 emissions (t CO2-e)],Combined_Corporate[Organisation name],$C4,Combined_Corporate[Year],G$1)))</f>
        <v>107923</v>
      </c>
      <c r="H4" s="11">
        <f t="shared" si="0"/>
        <v>-7.4793597304128046E-2</v>
      </c>
      <c r="I4" s="11">
        <f t="shared" si="1"/>
        <v>-1.7291617344430077E-2</v>
      </c>
      <c r="J4" s="11">
        <f t="shared" si="2"/>
        <v>-9.0791912384161733E-2</v>
      </c>
      <c r="K4" s="7" t="s">
        <v>1075</v>
      </c>
      <c r="L4" s="7" t="s">
        <v>1076</v>
      </c>
      <c r="M4" s="7" t="s">
        <v>1077</v>
      </c>
    </row>
    <row r="5" spans="1:13" ht="17" x14ac:dyDescent="0.2">
      <c r="A5" s="9" t="s">
        <v>1057</v>
      </c>
      <c r="B5" s="9" t="s">
        <v>1058</v>
      </c>
      <c r="C5" s="9" t="s">
        <v>1059</v>
      </c>
      <c r="D5" s="9" t="s">
        <v>1054</v>
      </c>
      <c r="E5" s="10">
        <f>IF($D5="Scope 1",SUMIFS(Combined_Corporate[Total scope 1 emissions (t CO2-e)],Combined_Corporate[Organisation name],$C5,Combined_Corporate[Year],E$1),IF($D5="Scope 2",SUMIFS(Combined_Corporate[Total scope 2 emissions (t CO2-e)],Combined_Corporate[Organisation name],$C5,Combined_Corporate[Year],E$1),SUMIFS(Combined_Corporate[Total scope 1 emissions (t CO2-e)],Combined_Corporate[Organisation name],$C5,Combined_Corporate[Year],E$1)+SUMIFS(Combined_Corporate[Total scope 2 emissions (t CO2-e)],Combined_Corporate[Organisation name],$C5,Combined_Corporate[Year],E$1)))</f>
        <v>10358</v>
      </c>
      <c r="F5" s="10">
        <f>IF($D5="Scope 1",SUMIFS(Combined_Corporate[Total scope 1 emissions (t CO2-e)],Combined_Corporate[Organisation name],$C5,Combined_Corporate[Year],F$1),IF($D5="Scope 2",SUMIFS(Combined_Corporate[Total scope 2 emissions (t CO2-e)],Combined_Corporate[Organisation name],$C5,Combined_Corporate[Year],F$1),SUMIFS(Combined_Corporate[Total scope 1 emissions (t CO2-e)],Combined_Corporate[Organisation name],$C5,Combined_Corporate[Year],F$1)+SUMIFS(Combined_Corporate[Total scope 2 emissions (t CO2-e)],Combined_Corporate[Organisation name],$C5,Combined_Corporate[Year],F$1)))</f>
        <v>5680</v>
      </c>
      <c r="G5" s="10">
        <f>IF($D5="Scope 1",SUMIFS(Combined_Corporate[Total scope 1 emissions (t CO2-e)],Combined_Corporate[Organisation name],$C5,Combined_Corporate[Year],G$1),IF($D5="Scope 2",SUMIFS(Combined_Corporate[Total scope 2 emissions (t CO2-e)],Combined_Corporate[Organisation name],$C5,Combined_Corporate[Year],G$1),SUMIFS(Combined_Corporate[Total scope 1 emissions (t CO2-e)],Combined_Corporate[Organisation name],$C5,Combined_Corporate[Year],G$1)+SUMIFS(Combined_Corporate[Total scope 2 emissions (t CO2-e)],Combined_Corporate[Organisation name],$C5,Combined_Corporate[Year],G$1)))</f>
        <v>21126</v>
      </c>
      <c r="H5" s="11">
        <f t="shared" si="0"/>
        <v>-0.45163158910986678</v>
      </c>
      <c r="I5" s="11">
        <f t="shared" si="1"/>
        <v>2.7193661971830987</v>
      </c>
      <c r="J5" s="11">
        <f t="shared" si="2"/>
        <v>1.0395829310677738</v>
      </c>
      <c r="K5" s="7"/>
      <c r="L5" s="7"/>
      <c r="M5" s="7"/>
    </row>
    <row r="6" spans="1:13" ht="17" x14ac:dyDescent="0.2">
      <c r="A6" s="9" t="s">
        <v>1057</v>
      </c>
      <c r="B6" s="9" t="s">
        <v>1058</v>
      </c>
      <c r="C6" s="9" t="s">
        <v>1059</v>
      </c>
      <c r="D6" s="9" t="s">
        <v>1055</v>
      </c>
      <c r="E6" s="10">
        <f>IF($D6="Scope 1",SUMIFS(Combined_Corporate[Total scope 1 emissions (t CO2-e)],Combined_Corporate[Organisation name],$C6,Combined_Corporate[Year],E$1),IF($D6="Scope 2",SUMIFS(Combined_Corporate[Total scope 2 emissions (t CO2-e)],Combined_Corporate[Organisation name],$C6,Combined_Corporate[Year],E$1),SUMIFS(Combined_Corporate[Total scope 1 emissions (t CO2-e)],Combined_Corporate[Organisation name],$C6,Combined_Corporate[Year],E$1)+SUMIFS(Combined_Corporate[Total scope 2 emissions (t CO2-e)],Combined_Corporate[Organisation name],$C6,Combined_Corporate[Year],E$1)))</f>
        <v>1251885</v>
      </c>
      <c r="F6" s="10">
        <f>IF($D6="Scope 1",SUMIFS(Combined_Corporate[Total scope 1 emissions (t CO2-e)],Combined_Corporate[Organisation name],$C6,Combined_Corporate[Year],F$1),IF($D6="Scope 2",SUMIFS(Combined_Corporate[Total scope 2 emissions (t CO2-e)],Combined_Corporate[Organisation name],$C6,Combined_Corporate[Year],F$1),SUMIFS(Combined_Corporate[Total scope 1 emissions (t CO2-e)],Combined_Corporate[Organisation name],$C6,Combined_Corporate[Year],F$1)+SUMIFS(Combined_Corporate[Total scope 2 emissions (t CO2-e)],Combined_Corporate[Organisation name],$C6,Combined_Corporate[Year],F$1)))</f>
        <v>1668140</v>
      </c>
      <c r="G6" s="10">
        <f>IF($D6="Scope 1",SUMIFS(Combined_Corporate[Total scope 1 emissions (t CO2-e)],Combined_Corporate[Organisation name],$C6,Combined_Corporate[Year],G$1),IF($D6="Scope 2",SUMIFS(Combined_Corporate[Total scope 2 emissions (t CO2-e)],Combined_Corporate[Organisation name],$C6,Combined_Corporate[Year],G$1),SUMIFS(Combined_Corporate[Total scope 1 emissions (t CO2-e)],Combined_Corporate[Organisation name],$C6,Combined_Corporate[Year],G$1)+SUMIFS(Combined_Corporate[Total scope 2 emissions (t CO2-e)],Combined_Corporate[Organisation name],$C6,Combined_Corporate[Year],G$1)))</f>
        <v>1364556</v>
      </c>
      <c r="H6" s="11">
        <f t="shared" si="0"/>
        <v>0.33250258610016092</v>
      </c>
      <c r="I6" s="11">
        <f t="shared" si="1"/>
        <v>-0.18198952126320334</v>
      </c>
      <c r="J6" s="11">
        <f t="shared" si="2"/>
        <v>9.0001078373812327E-2</v>
      </c>
      <c r="K6" s="7"/>
      <c r="L6" s="7"/>
      <c r="M6" s="7"/>
    </row>
    <row r="7" spans="1:13" ht="136" x14ac:dyDescent="0.2">
      <c r="A7" s="9" t="s">
        <v>1057</v>
      </c>
      <c r="B7" s="9" t="s">
        <v>1058</v>
      </c>
      <c r="C7" s="9" t="s">
        <v>1059</v>
      </c>
      <c r="D7" s="9" t="s">
        <v>1056</v>
      </c>
      <c r="E7" s="10">
        <f>IF($D7="Scope 1",SUMIFS(Combined_Corporate[Total scope 1 emissions (t CO2-e)],Combined_Corporate[Organisation name],$C7,Combined_Corporate[Year],E$1),IF($D7="Scope 2",SUMIFS(Combined_Corporate[Total scope 2 emissions (t CO2-e)],Combined_Corporate[Organisation name],$C7,Combined_Corporate[Year],E$1),SUMIFS(Combined_Corporate[Total scope 1 emissions (t CO2-e)],Combined_Corporate[Organisation name],$C7,Combined_Corporate[Year],E$1)+SUMIFS(Combined_Corporate[Total scope 2 emissions (t CO2-e)],Combined_Corporate[Organisation name],$C7,Combined_Corporate[Year],E$1)))</f>
        <v>1262243</v>
      </c>
      <c r="F7" s="10">
        <f>IF($D7="Scope 1",SUMIFS(Combined_Corporate[Total scope 1 emissions (t CO2-e)],Combined_Corporate[Organisation name],$C7,Combined_Corporate[Year],F$1),IF($D7="Scope 2",SUMIFS(Combined_Corporate[Total scope 2 emissions (t CO2-e)],Combined_Corporate[Organisation name],$C7,Combined_Corporate[Year],F$1),SUMIFS(Combined_Corporate[Total scope 1 emissions (t CO2-e)],Combined_Corporate[Organisation name],$C7,Combined_Corporate[Year],F$1)+SUMIFS(Combined_Corporate[Total scope 2 emissions (t CO2-e)],Combined_Corporate[Organisation name],$C7,Combined_Corporate[Year],F$1)))</f>
        <v>1673820</v>
      </c>
      <c r="G7" s="10">
        <f>IF($D7="Scope 1",SUMIFS(Combined_Corporate[Total scope 1 emissions (t CO2-e)],Combined_Corporate[Organisation name],$C7,Combined_Corporate[Year],G$1),IF($D7="Scope 2",SUMIFS(Combined_Corporate[Total scope 2 emissions (t CO2-e)],Combined_Corporate[Organisation name],$C7,Combined_Corporate[Year],G$1),SUMIFS(Combined_Corporate[Total scope 1 emissions (t CO2-e)],Combined_Corporate[Organisation name],$C7,Combined_Corporate[Year],G$1)+SUMIFS(Combined_Corporate[Total scope 2 emissions (t CO2-e)],Combined_Corporate[Organisation name],$C7,Combined_Corporate[Year],G$1)))</f>
        <v>1385682</v>
      </c>
      <c r="H7" s="11">
        <f t="shared" si="0"/>
        <v>0.32606795997284199</v>
      </c>
      <c r="I7" s="11">
        <f t="shared" si="1"/>
        <v>-0.1721439581316988</v>
      </c>
      <c r="J7" s="11">
        <f t="shared" si="2"/>
        <v>9.7793372591489902E-2</v>
      </c>
      <c r="K7" s="7" t="s">
        <v>1078</v>
      </c>
      <c r="L7" s="7" t="s">
        <v>1079</v>
      </c>
      <c r="M7" s="7" t="s">
        <v>1080</v>
      </c>
    </row>
    <row r="8" spans="1:13" ht="17" x14ac:dyDescent="0.2">
      <c r="A8" s="9" t="s">
        <v>1060</v>
      </c>
      <c r="B8" s="9" t="s">
        <v>1061</v>
      </c>
      <c r="C8" s="9" t="s">
        <v>1062</v>
      </c>
      <c r="D8" s="9" t="s">
        <v>1054</v>
      </c>
      <c r="E8" s="10">
        <f>IF($D8="Scope 1",SUMIFS(Combined_Corporate[Total scope 1 emissions (t CO2-e)],Combined_Corporate[Organisation name],$C8,Combined_Corporate[Year],E$1),IF($D8="Scope 2",SUMIFS(Combined_Corporate[Total scope 2 emissions (t CO2-e)],Combined_Corporate[Organisation name],$C8,Combined_Corporate[Year],E$1),SUMIFS(Combined_Corporate[Total scope 1 emissions (t CO2-e)],Combined_Corporate[Organisation name],$C8,Combined_Corporate[Year],E$1)+SUMIFS(Combined_Corporate[Total scope 2 emissions (t CO2-e)],Combined_Corporate[Organisation name],$C8,Combined_Corporate[Year],E$1)))</f>
        <v>19022</v>
      </c>
      <c r="F8" s="10">
        <f>IF($D8="Scope 1",SUMIFS(Combined_Corporate[Total scope 1 emissions (t CO2-e)],Combined_Corporate[Organisation name],$C8,Combined_Corporate[Year],F$1),IF($D8="Scope 2",SUMIFS(Combined_Corporate[Total scope 2 emissions (t CO2-e)],Combined_Corporate[Organisation name],$C8,Combined_Corporate[Year],F$1),SUMIFS(Combined_Corporate[Total scope 1 emissions (t CO2-e)],Combined_Corporate[Organisation name],$C8,Combined_Corporate[Year],F$1)+SUMIFS(Combined_Corporate[Total scope 2 emissions (t CO2-e)],Combined_Corporate[Organisation name],$C8,Combined_Corporate[Year],F$1)))</f>
        <v>22399</v>
      </c>
      <c r="G8" s="10">
        <f>IF($D8="Scope 1",SUMIFS(Combined_Corporate[Total scope 1 emissions (t CO2-e)],Combined_Corporate[Organisation name],$C8,Combined_Corporate[Year],G$1),IF($D8="Scope 2",SUMIFS(Combined_Corporate[Total scope 2 emissions (t CO2-e)],Combined_Corporate[Organisation name],$C8,Combined_Corporate[Year],G$1),SUMIFS(Combined_Corporate[Total scope 1 emissions (t CO2-e)],Combined_Corporate[Organisation name],$C8,Combined_Corporate[Year],G$1)+SUMIFS(Combined_Corporate[Total scope 2 emissions (t CO2-e)],Combined_Corporate[Organisation name],$C8,Combined_Corporate[Year],G$1)))</f>
        <v>26291</v>
      </c>
      <c r="H8" s="11">
        <f t="shared" si="0"/>
        <v>0.1775312795710231</v>
      </c>
      <c r="I8" s="11">
        <f t="shared" si="1"/>
        <v>0.17375775704272511</v>
      </c>
      <c r="J8" s="11">
        <f t="shared" si="2"/>
        <v>0.38213647355693414</v>
      </c>
      <c r="K8" s="7"/>
      <c r="L8" s="7"/>
      <c r="M8" s="7"/>
    </row>
    <row r="9" spans="1:13" ht="17" x14ac:dyDescent="0.2">
      <c r="A9" s="9" t="s">
        <v>1060</v>
      </c>
      <c r="B9" s="9" t="s">
        <v>1061</v>
      </c>
      <c r="C9" s="9" t="s">
        <v>1062</v>
      </c>
      <c r="D9" s="9" t="s">
        <v>1055</v>
      </c>
      <c r="E9" s="10">
        <f>IF($D9="Scope 1",SUMIFS(Combined_Corporate[Total scope 1 emissions (t CO2-e)],Combined_Corporate[Organisation name],$C9,Combined_Corporate[Year],E$1),IF($D9="Scope 2",SUMIFS(Combined_Corporate[Total scope 2 emissions (t CO2-e)],Combined_Corporate[Organisation name],$C9,Combined_Corporate[Year],E$1),SUMIFS(Combined_Corporate[Total scope 1 emissions (t CO2-e)],Combined_Corporate[Organisation name],$C9,Combined_Corporate[Year],E$1)+SUMIFS(Combined_Corporate[Total scope 2 emissions (t CO2-e)],Combined_Corporate[Organisation name],$C9,Combined_Corporate[Year],E$1)))</f>
        <v>897970</v>
      </c>
      <c r="F9" s="10">
        <f>IF($D9="Scope 1",SUMIFS(Combined_Corporate[Total scope 1 emissions (t CO2-e)],Combined_Corporate[Organisation name],$C9,Combined_Corporate[Year],F$1),IF($D9="Scope 2",SUMIFS(Combined_Corporate[Total scope 2 emissions (t CO2-e)],Combined_Corporate[Organisation name],$C9,Combined_Corporate[Year],F$1),SUMIFS(Combined_Corporate[Total scope 1 emissions (t CO2-e)],Combined_Corporate[Organisation name],$C9,Combined_Corporate[Year],F$1)+SUMIFS(Combined_Corporate[Total scope 2 emissions (t CO2-e)],Combined_Corporate[Organisation name],$C9,Combined_Corporate[Year],F$1)))</f>
        <v>885734</v>
      </c>
      <c r="G9" s="10">
        <f>IF($D9="Scope 1",SUMIFS(Combined_Corporate[Total scope 1 emissions (t CO2-e)],Combined_Corporate[Organisation name],$C9,Combined_Corporate[Year],G$1),IF($D9="Scope 2",SUMIFS(Combined_Corporate[Total scope 2 emissions (t CO2-e)],Combined_Corporate[Organisation name],$C9,Combined_Corporate[Year],G$1),SUMIFS(Combined_Corporate[Total scope 1 emissions (t CO2-e)],Combined_Corporate[Organisation name],$C9,Combined_Corporate[Year],G$1)+SUMIFS(Combined_Corporate[Total scope 2 emissions (t CO2-e)],Combined_Corporate[Organisation name],$C9,Combined_Corporate[Year],G$1)))</f>
        <v>888240</v>
      </c>
      <c r="H9" s="11">
        <f t="shared" si="0"/>
        <v>-1.3626290410592823E-2</v>
      </c>
      <c r="I9" s="11">
        <f t="shared" si="1"/>
        <v>2.8292918641488196E-3</v>
      </c>
      <c r="J9" s="11">
        <f t="shared" si="2"/>
        <v>-1.0835551299041124E-2</v>
      </c>
      <c r="K9" s="7"/>
      <c r="L9" s="7"/>
      <c r="M9" s="7"/>
    </row>
    <row r="10" spans="1:13" ht="34" x14ac:dyDescent="0.2">
      <c r="A10" s="9" t="s">
        <v>1060</v>
      </c>
      <c r="B10" s="9" t="s">
        <v>1061</v>
      </c>
      <c r="C10" s="9" t="s">
        <v>1062</v>
      </c>
      <c r="D10" s="9" t="s">
        <v>1056</v>
      </c>
      <c r="E10" s="10">
        <f>IF($D10="Scope 1",SUMIFS(Combined_Corporate[Total scope 1 emissions (t CO2-e)],Combined_Corporate[Organisation name],$C10,Combined_Corporate[Year],E$1),IF($D10="Scope 2",SUMIFS(Combined_Corporate[Total scope 2 emissions (t CO2-e)],Combined_Corporate[Organisation name],$C10,Combined_Corporate[Year],E$1),SUMIFS(Combined_Corporate[Total scope 1 emissions (t CO2-e)],Combined_Corporate[Organisation name],$C10,Combined_Corporate[Year],E$1)+SUMIFS(Combined_Corporate[Total scope 2 emissions (t CO2-e)],Combined_Corporate[Organisation name],$C10,Combined_Corporate[Year],E$1)))</f>
        <v>916992</v>
      </c>
      <c r="F10" s="10">
        <f>IF($D10="Scope 1",SUMIFS(Combined_Corporate[Total scope 1 emissions (t CO2-e)],Combined_Corporate[Organisation name],$C10,Combined_Corporate[Year],F$1),IF($D10="Scope 2",SUMIFS(Combined_Corporate[Total scope 2 emissions (t CO2-e)],Combined_Corporate[Organisation name],$C10,Combined_Corporate[Year],F$1),SUMIFS(Combined_Corporate[Total scope 1 emissions (t CO2-e)],Combined_Corporate[Organisation name],$C10,Combined_Corporate[Year],F$1)+SUMIFS(Combined_Corporate[Total scope 2 emissions (t CO2-e)],Combined_Corporate[Organisation name],$C10,Combined_Corporate[Year],F$1)))</f>
        <v>908133</v>
      </c>
      <c r="G10" s="10">
        <f>IF($D10="Scope 1",SUMIFS(Combined_Corporate[Total scope 1 emissions (t CO2-e)],Combined_Corporate[Organisation name],$C10,Combined_Corporate[Year],G$1),IF($D10="Scope 2",SUMIFS(Combined_Corporate[Total scope 2 emissions (t CO2-e)],Combined_Corporate[Organisation name],$C10,Combined_Corporate[Year],G$1),SUMIFS(Combined_Corporate[Total scope 1 emissions (t CO2-e)],Combined_Corporate[Organisation name],$C10,Combined_Corporate[Year],G$1)+SUMIFS(Combined_Corporate[Total scope 2 emissions (t CO2-e)],Combined_Corporate[Organisation name],$C10,Combined_Corporate[Year],G$1)))</f>
        <v>914531</v>
      </c>
      <c r="H10" s="11">
        <f t="shared" si="0"/>
        <v>-9.6609348827471075E-3</v>
      </c>
      <c r="I10" s="11">
        <f t="shared" si="1"/>
        <v>7.045223552056834E-3</v>
      </c>
      <c r="J10" s="11">
        <f t="shared" si="2"/>
        <v>-2.6837747766610409E-3</v>
      </c>
      <c r="K10" s="7" t="s">
        <v>1081</v>
      </c>
      <c r="L10" s="7" t="s">
        <v>1082</v>
      </c>
      <c r="M10" s="7"/>
    </row>
    <row r="11" spans="1:13" ht="17" x14ac:dyDescent="0.2">
      <c r="A11" s="9" t="s">
        <v>1063</v>
      </c>
      <c r="B11" s="9" t="s">
        <v>1064</v>
      </c>
      <c r="C11" s="9" t="s">
        <v>1065</v>
      </c>
      <c r="D11" s="9" t="s">
        <v>1054</v>
      </c>
      <c r="E11" s="10">
        <f>IF($D11="Scope 1",SUMIFS(Combined_Corporate[Total scope 1 emissions (t CO2-e)],Combined_Corporate[Organisation name],$C11,Combined_Corporate[Year],E$1),IF($D11="Scope 2",SUMIFS(Combined_Corporate[Total scope 2 emissions (t CO2-e)],Combined_Corporate[Organisation name],$C11,Combined_Corporate[Year],E$1),SUMIFS(Combined_Corporate[Total scope 1 emissions (t CO2-e)],Combined_Corporate[Organisation name],$C11,Combined_Corporate[Year],E$1)+SUMIFS(Combined_Corporate[Total scope 2 emissions (t CO2-e)],Combined_Corporate[Organisation name],$C11,Combined_Corporate[Year],E$1)))</f>
        <v>7611</v>
      </c>
      <c r="F11" s="10">
        <f>IF($D11="Scope 1",SUMIFS(Combined_Corporate[Total scope 1 emissions (t CO2-e)],Combined_Corporate[Organisation name],$C11,Combined_Corporate[Year],F$1),IF($D11="Scope 2",SUMIFS(Combined_Corporate[Total scope 2 emissions (t CO2-e)],Combined_Corporate[Organisation name],$C11,Combined_Corporate[Year],F$1),SUMIFS(Combined_Corporate[Total scope 1 emissions (t CO2-e)],Combined_Corporate[Organisation name],$C11,Combined_Corporate[Year],F$1)+SUMIFS(Combined_Corporate[Total scope 2 emissions (t CO2-e)],Combined_Corporate[Organisation name],$C11,Combined_Corporate[Year],F$1)))</f>
        <v>7769</v>
      </c>
      <c r="G11" s="10">
        <f>IF($D11="Scope 1",SUMIFS(Combined_Corporate[Total scope 1 emissions (t CO2-e)],Combined_Corporate[Organisation name],$C11,Combined_Corporate[Year],G$1),IF($D11="Scope 2",SUMIFS(Combined_Corporate[Total scope 2 emissions (t CO2-e)],Combined_Corporate[Organisation name],$C11,Combined_Corporate[Year],G$1),SUMIFS(Combined_Corporate[Total scope 1 emissions (t CO2-e)],Combined_Corporate[Organisation name],$C11,Combined_Corporate[Year],G$1)+SUMIFS(Combined_Corporate[Total scope 2 emissions (t CO2-e)],Combined_Corporate[Organisation name],$C11,Combined_Corporate[Year],G$1)))</f>
        <v>7617</v>
      </c>
      <c r="H11" s="11">
        <f t="shared" si="0"/>
        <v>2.0759427144921849E-2</v>
      </c>
      <c r="I11" s="11">
        <f t="shared" si="1"/>
        <v>-1.9564937572403185E-2</v>
      </c>
      <c r="J11" s="11">
        <f t="shared" si="2"/>
        <v>7.8833267638933613E-4</v>
      </c>
      <c r="K11" s="7"/>
      <c r="L11" s="7"/>
      <c r="M11" s="7"/>
    </row>
    <row r="12" spans="1:13" ht="17" x14ac:dyDescent="0.2">
      <c r="A12" s="9" t="s">
        <v>1063</v>
      </c>
      <c r="B12" s="9" t="s">
        <v>1064</v>
      </c>
      <c r="C12" s="9" t="s">
        <v>1065</v>
      </c>
      <c r="D12" s="9" t="s">
        <v>1055</v>
      </c>
      <c r="E12" s="10">
        <f>IF($D12="Scope 1",SUMIFS(Combined_Corporate[Total scope 1 emissions (t CO2-e)],Combined_Corporate[Organisation name],$C12,Combined_Corporate[Year],E$1),IF($D12="Scope 2",SUMIFS(Combined_Corporate[Total scope 2 emissions (t CO2-e)],Combined_Corporate[Organisation name],$C12,Combined_Corporate[Year],E$1),SUMIFS(Combined_Corporate[Total scope 1 emissions (t CO2-e)],Combined_Corporate[Organisation name],$C12,Combined_Corporate[Year],E$1)+SUMIFS(Combined_Corporate[Total scope 2 emissions (t CO2-e)],Combined_Corporate[Organisation name],$C12,Combined_Corporate[Year],E$1)))</f>
        <v>86273</v>
      </c>
      <c r="F12" s="10">
        <f>IF($D12="Scope 1",SUMIFS(Combined_Corporate[Total scope 1 emissions (t CO2-e)],Combined_Corporate[Organisation name],$C12,Combined_Corporate[Year],F$1),IF($D12="Scope 2",SUMIFS(Combined_Corporate[Total scope 2 emissions (t CO2-e)],Combined_Corporate[Organisation name],$C12,Combined_Corporate[Year],F$1),SUMIFS(Combined_Corporate[Total scope 1 emissions (t CO2-e)],Combined_Corporate[Organisation name],$C12,Combined_Corporate[Year],F$1)+SUMIFS(Combined_Corporate[Total scope 2 emissions (t CO2-e)],Combined_Corporate[Organisation name],$C12,Combined_Corporate[Year],F$1)))</f>
        <v>52876</v>
      </c>
      <c r="G12" s="10">
        <f>IF($D12="Scope 1",SUMIFS(Combined_Corporate[Total scope 1 emissions (t CO2-e)],Combined_Corporate[Organisation name],$C12,Combined_Corporate[Year],G$1),IF($D12="Scope 2",SUMIFS(Combined_Corporate[Total scope 2 emissions (t CO2-e)],Combined_Corporate[Organisation name],$C12,Combined_Corporate[Year],G$1),SUMIFS(Combined_Corporate[Total scope 1 emissions (t CO2-e)],Combined_Corporate[Organisation name],$C12,Combined_Corporate[Year],G$1)+SUMIFS(Combined_Corporate[Total scope 2 emissions (t CO2-e)],Combined_Corporate[Organisation name],$C12,Combined_Corporate[Year],G$1)))</f>
        <v>62765</v>
      </c>
      <c r="H12" s="11">
        <f t="shared" si="0"/>
        <v>-0.38710836530548376</v>
      </c>
      <c r="I12" s="11">
        <f t="shared" si="1"/>
        <v>0.18702246766018615</v>
      </c>
      <c r="J12" s="11">
        <f t="shared" si="2"/>
        <v>-0.27248385937663</v>
      </c>
      <c r="K12" s="7"/>
      <c r="L12" s="7"/>
      <c r="M12" s="7"/>
    </row>
    <row r="13" spans="1:13" ht="85" x14ac:dyDescent="0.2">
      <c r="A13" s="9" t="s">
        <v>1063</v>
      </c>
      <c r="B13" s="9" t="s">
        <v>1064</v>
      </c>
      <c r="C13" s="9" t="s">
        <v>1065</v>
      </c>
      <c r="D13" s="9" t="s">
        <v>1056</v>
      </c>
      <c r="E13" s="10">
        <f>IF($D13="Scope 1",SUMIFS(Combined_Corporate[Total scope 1 emissions (t CO2-e)],Combined_Corporate[Organisation name],$C13,Combined_Corporate[Year],E$1),IF($D13="Scope 2",SUMIFS(Combined_Corporate[Total scope 2 emissions (t CO2-e)],Combined_Corporate[Organisation name],$C13,Combined_Corporate[Year],E$1),SUMIFS(Combined_Corporate[Total scope 1 emissions (t CO2-e)],Combined_Corporate[Organisation name],$C13,Combined_Corporate[Year],E$1)+SUMIFS(Combined_Corporate[Total scope 2 emissions (t CO2-e)],Combined_Corporate[Organisation name],$C13,Combined_Corporate[Year],E$1)))</f>
        <v>93884</v>
      </c>
      <c r="F13" s="10">
        <f>IF($D13="Scope 1",SUMIFS(Combined_Corporate[Total scope 1 emissions (t CO2-e)],Combined_Corporate[Organisation name],$C13,Combined_Corporate[Year],F$1),IF($D13="Scope 2",SUMIFS(Combined_Corporate[Total scope 2 emissions (t CO2-e)],Combined_Corporate[Organisation name],$C13,Combined_Corporate[Year],F$1),SUMIFS(Combined_Corporate[Total scope 1 emissions (t CO2-e)],Combined_Corporate[Organisation name],$C13,Combined_Corporate[Year],F$1)+SUMIFS(Combined_Corporate[Total scope 2 emissions (t CO2-e)],Combined_Corporate[Organisation name],$C13,Combined_Corporate[Year],F$1)))</f>
        <v>60645</v>
      </c>
      <c r="G13" s="10">
        <f>IF($D13="Scope 1",SUMIFS(Combined_Corporate[Total scope 1 emissions (t CO2-e)],Combined_Corporate[Organisation name],$C13,Combined_Corporate[Year],G$1),IF($D13="Scope 2",SUMIFS(Combined_Corporate[Total scope 2 emissions (t CO2-e)],Combined_Corporate[Organisation name],$C13,Combined_Corporate[Year],G$1),SUMIFS(Combined_Corporate[Total scope 1 emissions (t CO2-e)],Combined_Corporate[Organisation name],$C13,Combined_Corporate[Year],G$1)+SUMIFS(Combined_Corporate[Total scope 2 emissions (t CO2-e)],Combined_Corporate[Organisation name],$C13,Combined_Corporate[Year],G$1)))</f>
        <v>70382</v>
      </c>
      <c r="H13" s="11">
        <f t="shared" si="0"/>
        <v>-0.35404328746112224</v>
      </c>
      <c r="I13" s="11">
        <f t="shared" si="1"/>
        <v>0.16055734190782411</v>
      </c>
      <c r="J13" s="11">
        <f t="shared" si="2"/>
        <v>-0.25033019470836348</v>
      </c>
      <c r="K13" s="7" t="s">
        <v>1083</v>
      </c>
      <c r="L13" s="7" t="s">
        <v>1084</v>
      </c>
      <c r="M13" s="7" t="s">
        <v>1085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82558-A375-4743-A39F-5AA93DCABF79}">
  <dimension ref="A1:H1587"/>
  <sheetViews>
    <sheetView workbookViewId="0"/>
  </sheetViews>
  <sheetFormatPr baseColWidth="10" defaultRowHeight="16" x14ac:dyDescent="0.2"/>
  <cols>
    <col min="1" max="1" width="56.1640625" bestFit="1" customWidth="1"/>
    <col min="2" max="2" width="66.6640625" bestFit="1" customWidth="1"/>
    <col min="3" max="3" width="7.33203125" bestFit="1" customWidth="1"/>
    <col min="4" max="4" width="8" bestFit="1" customWidth="1"/>
    <col min="5" max="5" width="27.33203125" bestFit="1" customWidth="1"/>
    <col min="6" max="6" width="31.83203125" bestFit="1" customWidth="1"/>
    <col min="7" max="7" width="18.5" bestFit="1" customWidth="1"/>
    <col min="8" max="8" width="7.83203125" bestFit="1" customWidth="1"/>
  </cols>
  <sheetData>
    <row r="1" spans="1:8" x14ac:dyDescent="0.2">
      <c r="A1" t="s">
        <v>1086</v>
      </c>
      <c r="B1" t="s">
        <v>1087</v>
      </c>
      <c r="C1" t="s">
        <v>1088</v>
      </c>
      <c r="D1" t="s">
        <v>1045</v>
      </c>
      <c r="E1" t="s">
        <v>1089</v>
      </c>
      <c r="F1" t="s">
        <v>28</v>
      </c>
      <c r="G1" t="s">
        <v>1090</v>
      </c>
      <c r="H1" t="s">
        <v>32</v>
      </c>
    </row>
    <row r="2" spans="1:8" x14ac:dyDescent="0.2">
      <c r="A2" t="s">
        <v>545</v>
      </c>
      <c r="B2" t="s">
        <v>1091</v>
      </c>
      <c r="C2" t="s">
        <v>1092</v>
      </c>
      <c r="D2" t="s">
        <v>1052</v>
      </c>
      <c r="E2">
        <v>133874.492</v>
      </c>
      <c r="F2">
        <v>57</v>
      </c>
      <c r="G2" t="s">
        <v>1093</v>
      </c>
      <c r="H2" t="s">
        <v>15</v>
      </c>
    </row>
    <row r="3" spans="1:8" x14ac:dyDescent="0.2">
      <c r="A3" t="s">
        <v>545</v>
      </c>
      <c r="B3" t="s">
        <v>1094</v>
      </c>
      <c r="C3" t="s">
        <v>1092</v>
      </c>
      <c r="D3" t="s">
        <v>1058</v>
      </c>
      <c r="E3">
        <v>136502.399</v>
      </c>
      <c r="F3">
        <v>50</v>
      </c>
      <c r="G3" t="s">
        <v>1093</v>
      </c>
      <c r="H3" t="s">
        <v>15</v>
      </c>
    </row>
    <row r="4" spans="1:8" x14ac:dyDescent="0.2">
      <c r="A4" t="s">
        <v>545</v>
      </c>
      <c r="B4" t="s">
        <v>1095</v>
      </c>
      <c r="C4" t="s">
        <v>1092</v>
      </c>
      <c r="D4" t="s">
        <v>1096</v>
      </c>
      <c r="E4">
        <v>283153.40098999999</v>
      </c>
      <c r="F4">
        <v>202</v>
      </c>
      <c r="G4" t="s">
        <v>1093</v>
      </c>
      <c r="H4" t="s">
        <v>15</v>
      </c>
    </row>
    <row r="5" spans="1:8" x14ac:dyDescent="0.2">
      <c r="A5" t="s">
        <v>545</v>
      </c>
      <c r="B5" t="s">
        <v>1097</v>
      </c>
      <c r="C5" t="s">
        <v>1092</v>
      </c>
      <c r="D5" t="s">
        <v>1096</v>
      </c>
      <c r="E5">
        <v>284847.36599999998</v>
      </c>
      <c r="F5">
        <v>99</v>
      </c>
      <c r="G5" t="s">
        <v>1093</v>
      </c>
      <c r="H5" t="s">
        <v>15</v>
      </c>
    </row>
    <row r="6" spans="1:8" x14ac:dyDescent="0.2">
      <c r="A6" t="s">
        <v>545</v>
      </c>
      <c r="B6" t="s">
        <v>1098</v>
      </c>
      <c r="C6" t="s">
        <v>1092</v>
      </c>
      <c r="D6" t="s">
        <v>1096</v>
      </c>
      <c r="E6">
        <v>543045.71699999995</v>
      </c>
      <c r="F6">
        <v>186</v>
      </c>
      <c r="G6" t="s">
        <v>1093</v>
      </c>
      <c r="H6" t="s">
        <v>15</v>
      </c>
    </row>
    <row r="7" spans="1:8" x14ac:dyDescent="0.2">
      <c r="A7" t="s">
        <v>545</v>
      </c>
      <c r="B7" t="s">
        <v>1099</v>
      </c>
      <c r="C7" t="s">
        <v>1100</v>
      </c>
      <c r="D7" t="s">
        <v>35</v>
      </c>
      <c r="E7">
        <v>1381423.3749899999</v>
      </c>
      <c r="F7">
        <v>594</v>
      </c>
      <c r="G7" t="s">
        <v>35</v>
      </c>
      <c r="H7" t="s">
        <v>15</v>
      </c>
    </row>
    <row r="8" spans="1:8" x14ac:dyDescent="0.2">
      <c r="A8" t="s">
        <v>1101</v>
      </c>
      <c r="B8" t="s">
        <v>1102</v>
      </c>
      <c r="C8" t="s">
        <v>1092</v>
      </c>
      <c r="D8" t="s">
        <v>1058</v>
      </c>
      <c r="E8">
        <v>822340.00514999998</v>
      </c>
      <c r="F8">
        <v>53</v>
      </c>
      <c r="G8" t="s">
        <v>1103</v>
      </c>
      <c r="H8" t="s">
        <v>15</v>
      </c>
    </row>
    <row r="9" spans="1:8" x14ac:dyDescent="0.2">
      <c r="A9" t="s">
        <v>1101</v>
      </c>
      <c r="B9" t="s">
        <v>1099</v>
      </c>
      <c r="C9" t="s">
        <v>1100</v>
      </c>
      <c r="D9" t="s">
        <v>35</v>
      </c>
      <c r="E9">
        <v>822340.00514999998</v>
      </c>
      <c r="F9">
        <v>53</v>
      </c>
      <c r="G9" t="s">
        <v>35</v>
      </c>
      <c r="H9" t="s">
        <v>15</v>
      </c>
    </row>
    <row r="10" spans="1:8" x14ac:dyDescent="0.2">
      <c r="A10" t="s">
        <v>1104</v>
      </c>
      <c r="B10" t="s">
        <v>1105</v>
      </c>
      <c r="C10" t="s">
        <v>1092</v>
      </c>
      <c r="D10" t="s">
        <v>1061</v>
      </c>
      <c r="E10">
        <v>158386.9</v>
      </c>
      <c r="F10">
        <v>0</v>
      </c>
      <c r="G10" t="s">
        <v>1103</v>
      </c>
      <c r="H10" t="s">
        <v>15</v>
      </c>
    </row>
    <row r="11" spans="1:8" x14ac:dyDescent="0.2">
      <c r="A11" t="s">
        <v>1104</v>
      </c>
      <c r="B11" t="s">
        <v>1099</v>
      </c>
      <c r="C11" t="s">
        <v>1100</v>
      </c>
      <c r="D11" t="s">
        <v>35</v>
      </c>
      <c r="E11">
        <v>158386.9</v>
      </c>
      <c r="F11">
        <v>0</v>
      </c>
      <c r="G11" t="s">
        <v>35</v>
      </c>
      <c r="H11" t="s">
        <v>15</v>
      </c>
    </row>
    <row r="12" spans="1:8" x14ac:dyDescent="0.2">
      <c r="A12" t="s">
        <v>33</v>
      </c>
      <c r="B12" t="s">
        <v>1106</v>
      </c>
      <c r="C12" t="s">
        <v>1092</v>
      </c>
      <c r="D12" t="s">
        <v>1096</v>
      </c>
      <c r="E12">
        <v>25489.690931000001</v>
      </c>
      <c r="F12">
        <v>0</v>
      </c>
      <c r="G12" t="s">
        <v>1107</v>
      </c>
      <c r="H12" t="s">
        <v>15</v>
      </c>
    </row>
    <row r="13" spans="1:8" x14ac:dyDescent="0.2">
      <c r="A13" t="s">
        <v>33</v>
      </c>
      <c r="B13" t="s">
        <v>1108</v>
      </c>
      <c r="C13" t="s">
        <v>1092</v>
      </c>
      <c r="D13" t="s">
        <v>1052</v>
      </c>
      <c r="E13">
        <v>284768.708675</v>
      </c>
      <c r="F13">
        <v>163814</v>
      </c>
      <c r="G13" t="s">
        <v>1109</v>
      </c>
      <c r="H13" t="s">
        <v>15</v>
      </c>
    </row>
    <row r="14" spans="1:8" x14ac:dyDescent="0.2">
      <c r="A14" t="s">
        <v>33</v>
      </c>
      <c r="B14" t="s">
        <v>1110</v>
      </c>
      <c r="C14" t="s">
        <v>1092</v>
      </c>
      <c r="D14" t="s">
        <v>1058</v>
      </c>
      <c r="E14">
        <v>15546296</v>
      </c>
      <c r="F14">
        <v>13678909</v>
      </c>
      <c r="G14" t="s">
        <v>1111</v>
      </c>
      <c r="H14" t="s">
        <v>15</v>
      </c>
    </row>
    <row r="15" spans="1:8" x14ac:dyDescent="0.2">
      <c r="A15" t="s">
        <v>33</v>
      </c>
      <c r="B15" t="s">
        <v>1112</v>
      </c>
      <c r="C15" t="s">
        <v>1092</v>
      </c>
      <c r="D15" t="s">
        <v>1096</v>
      </c>
      <c r="E15">
        <v>53818.821367999997</v>
      </c>
      <c r="F15">
        <v>0</v>
      </c>
      <c r="G15" t="s">
        <v>1107</v>
      </c>
      <c r="H15" t="s">
        <v>15</v>
      </c>
    </row>
    <row r="16" spans="1:8" x14ac:dyDescent="0.2">
      <c r="A16" t="s">
        <v>33</v>
      </c>
      <c r="B16" t="s">
        <v>1113</v>
      </c>
      <c r="C16" t="s">
        <v>1092</v>
      </c>
      <c r="D16" t="s">
        <v>1058</v>
      </c>
      <c r="E16">
        <v>107411.8</v>
      </c>
      <c r="F16">
        <v>83</v>
      </c>
      <c r="G16" t="s">
        <v>1103</v>
      </c>
      <c r="H16" t="s">
        <v>15</v>
      </c>
    </row>
    <row r="17" spans="1:8" x14ac:dyDescent="0.2">
      <c r="A17" t="s">
        <v>33</v>
      </c>
      <c r="B17" t="s">
        <v>1114</v>
      </c>
      <c r="C17" t="s">
        <v>1092</v>
      </c>
      <c r="D17" t="s">
        <v>1058</v>
      </c>
      <c r="E17">
        <v>44754.061512</v>
      </c>
      <c r="F17">
        <v>0</v>
      </c>
      <c r="G17" t="s">
        <v>1107</v>
      </c>
      <c r="H17" t="s">
        <v>15</v>
      </c>
    </row>
    <row r="18" spans="1:8" x14ac:dyDescent="0.2">
      <c r="A18" t="s">
        <v>33</v>
      </c>
      <c r="B18" t="s">
        <v>1115</v>
      </c>
      <c r="C18" t="s">
        <v>1092</v>
      </c>
      <c r="D18" t="s">
        <v>1096</v>
      </c>
      <c r="E18">
        <v>43316.920828000002</v>
      </c>
      <c r="F18">
        <v>0</v>
      </c>
      <c r="G18" t="s">
        <v>1107</v>
      </c>
      <c r="H18" t="s">
        <v>15</v>
      </c>
    </row>
    <row r="19" spans="1:8" x14ac:dyDescent="0.2">
      <c r="A19" t="s">
        <v>33</v>
      </c>
      <c r="B19" t="s">
        <v>1116</v>
      </c>
      <c r="C19" t="s">
        <v>1092</v>
      </c>
      <c r="D19" t="s">
        <v>1061</v>
      </c>
      <c r="E19">
        <v>1285780.9776000001</v>
      </c>
      <c r="F19">
        <v>152</v>
      </c>
      <c r="G19" t="s">
        <v>1093</v>
      </c>
      <c r="H19" t="s">
        <v>15</v>
      </c>
    </row>
    <row r="20" spans="1:8" x14ac:dyDescent="0.2">
      <c r="A20" t="s">
        <v>33</v>
      </c>
      <c r="B20" t="s">
        <v>1117</v>
      </c>
      <c r="C20" t="s">
        <v>1092</v>
      </c>
      <c r="D20" t="s">
        <v>1058</v>
      </c>
      <c r="E20">
        <v>50532.924248000003</v>
      </c>
      <c r="F20">
        <v>0</v>
      </c>
      <c r="G20" t="s">
        <v>1107</v>
      </c>
      <c r="H20" t="s">
        <v>15</v>
      </c>
    </row>
    <row r="21" spans="1:8" x14ac:dyDescent="0.2">
      <c r="A21" t="s">
        <v>33</v>
      </c>
      <c r="B21" t="s">
        <v>1118</v>
      </c>
      <c r="C21" t="s">
        <v>1092</v>
      </c>
      <c r="D21" t="s">
        <v>1096</v>
      </c>
      <c r="E21">
        <v>275461.62520200002</v>
      </c>
      <c r="F21">
        <v>0</v>
      </c>
      <c r="G21" t="s">
        <v>1107</v>
      </c>
      <c r="H21" t="s">
        <v>15</v>
      </c>
    </row>
    <row r="22" spans="1:8" x14ac:dyDescent="0.2">
      <c r="A22" t="s">
        <v>33</v>
      </c>
      <c r="B22" t="s">
        <v>1119</v>
      </c>
      <c r="C22" t="s">
        <v>1092</v>
      </c>
      <c r="D22" t="s">
        <v>1096</v>
      </c>
      <c r="E22">
        <v>228690.553281</v>
      </c>
      <c r="F22">
        <v>0</v>
      </c>
      <c r="G22" t="s">
        <v>1107</v>
      </c>
      <c r="H22" t="s">
        <v>15</v>
      </c>
    </row>
    <row r="23" spans="1:8" x14ac:dyDescent="0.2">
      <c r="A23" t="s">
        <v>33</v>
      </c>
      <c r="B23" t="s">
        <v>1120</v>
      </c>
      <c r="C23" t="s">
        <v>1092</v>
      </c>
      <c r="D23" t="s">
        <v>1058</v>
      </c>
      <c r="E23">
        <v>0</v>
      </c>
      <c r="F23">
        <v>0</v>
      </c>
      <c r="G23" t="s">
        <v>1107</v>
      </c>
      <c r="H23" t="s">
        <v>15</v>
      </c>
    </row>
    <row r="24" spans="1:8" x14ac:dyDescent="0.2">
      <c r="A24" t="s">
        <v>33</v>
      </c>
      <c r="B24" t="s">
        <v>1121</v>
      </c>
      <c r="C24" t="s">
        <v>1092</v>
      </c>
      <c r="D24" t="s">
        <v>1052</v>
      </c>
      <c r="E24">
        <v>205312.82889999999</v>
      </c>
      <c r="F24">
        <v>56</v>
      </c>
      <c r="G24" t="s">
        <v>1093</v>
      </c>
      <c r="H24" t="s">
        <v>15</v>
      </c>
    </row>
    <row r="25" spans="1:8" x14ac:dyDescent="0.2">
      <c r="A25" t="s">
        <v>33</v>
      </c>
      <c r="B25" t="s">
        <v>1122</v>
      </c>
      <c r="C25" t="s">
        <v>1092</v>
      </c>
      <c r="D25" t="s">
        <v>1052</v>
      </c>
      <c r="E25">
        <v>176306</v>
      </c>
      <c r="F25">
        <v>96</v>
      </c>
      <c r="G25" t="s">
        <v>1093</v>
      </c>
      <c r="H25" t="s">
        <v>15</v>
      </c>
    </row>
    <row r="26" spans="1:8" x14ac:dyDescent="0.2">
      <c r="A26" t="s">
        <v>33</v>
      </c>
      <c r="B26" t="s">
        <v>1123</v>
      </c>
      <c r="C26" t="s">
        <v>1092</v>
      </c>
      <c r="D26" t="s">
        <v>1052</v>
      </c>
      <c r="E26">
        <v>342845</v>
      </c>
      <c r="F26">
        <v>163</v>
      </c>
      <c r="G26" t="s">
        <v>1093</v>
      </c>
      <c r="H26" t="s">
        <v>15</v>
      </c>
    </row>
    <row r="27" spans="1:8" x14ac:dyDescent="0.2">
      <c r="A27" t="s">
        <v>33</v>
      </c>
      <c r="B27" t="s">
        <v>1124</v>
      </c>
      <c r="C27" t="s">
        <v>1092</v>
      </c>
      <c r="D27" t="s">
        <v>1052</v>
      </c>
      <c r="E27">
        <v>98273</v>
      </c>
      <c r="F27">
        <v>42</v>
      </c>
      <c r="G27" t="s">
        <v>1093</v>
      </c>
      <c r="H27" t="s">
        <v>15</v>
      </c>
    </row>
    <row r="28" spans="1:8" x14ac:dyDescent="0.2">
      <c r="A28" t="s">
        <v>33</v>
      </c>
      <c r="B28" t="s">
        <v>1125</v>
      </c>
      <c r="C28" t="s">
        <v>1092</v>
      </c>
      <c r="D28" t="s">
        <v>1126</v>
      </c>
      <c r="E28">
        <v>111225.47094</v>
      </c>
      <c r="F28">
        <v>64886</v>
      </c>
      <c r="G28" t="s">
        <v>1109</v>
      </c>
      <c r="H28" t="s">
        <v>15</v>
      </c>
    </row>
    <row r="29" spans="1:8" x14ac:dyDescent="0.2">
      <c r="A29" t="s">
        <v>33</v>
      </c>
      <c r="B29" t="s">
        <v>1127</v>
      </c>
      <c r="C29" t="s">
        <v>1092</v>
      </c>
      <c r="D29" t="s">
        <v>1096</v>
      </c>
      <c r="E29">
        <v>15689642.0528</v>
      </c>
      <c r="F29">
        <v>18531075</v>
      </c>
      <c r="G29" t="s">
        <v>1128</v>
      </c>
      <c r="H29" t="s">
        <v>15</v>
      </c>
    </row>
    <row r="30" spans="1:8" x14ac:dyDescent="0.2">
      <c r="A30" t="s">
        <v>33</v>
      </c>
      <c r="B30" t="s">
        <v>1129</v>
      </c>
      <c r="C30" t="s">
        <v>1092</v>
      </c>
      <c r="D30" t="s">
        <v>1096</v>
      </c>
      <c r="E30">
        <v>654584.45074</v>
      </c>
      <c r="F30">
        <v>4369</v>
      </c>
      <c r="G30" t="s">
        <v>1093</v>
      </c>
      <c r="H30" t="s">
        <v>15</v>
      </c>
    </row>
    <row r="31" spans="1:8" x14ac:dyDescent="0.2">
      <c r="A31" t="s">
        <v>33</v>
      </c>
      <c r="B31" t="s">
        <v>1130</v>
      </c>
      <c r="C31" t="s">
        <v>1092</v>
      </c>
      <c r="D31" t="s">
        <v>1096</v>
      </c>
      <c r="E31">
        <v>81943.850797999999</v>
      </c>
      <c r="F31">
        <v>0</v>
      </c>
      <c r="G31" t="s">
        <v>1107</v>
      </c>
      <c r="H31" t="s">
        <v>15</v>
      </c>
    </row>
    <row r="32" spans="1:8" x14ac:dyDescent="0.2">
      <c r="A32" t="s">
        <v>33</v>
      </c>
      <c r="B32" t="s">
        <v>1131</v>
      </c>
      <c r="C32" t="s">
        <v>1092</v>
      </c>
      <c r="D32" t="s">
        <v>1058</v>
      </c>
      <c r="E32">
        <v>227900.00000999999</v>
      </c>
      <c r="F32">
        <v>156</v>
      </c>
      <c r="G32" t="s">
        <v>1103</v>
      </c>
      <c r="H32" t="s">
        <v>15</v>
      </c>
    </row>
    <row r="33" spans="1:8" x14ac:dyDescent="0.2">
      <c r="A33" t="s">
        <v>33</v>
      </c>
      <c r="B33" t="s">
        <v>1132</v>
      </c>
      <c r="C33" t="s">
        <v>1092</v>
      </c>
      <c r="D33" t="s">
        <v>1096</v>
      </c>
      <c r="E33">
        <v>123932.56636</v>
      </c>
      <c r="F33">
        <v>73</v>
      </c>
      <c r="G33" t="s">
        <v>1093</v>
      </c>
      <c r="H33" t="s">
        <v>15</v>
      </c>
    </row>
    <row r="34" spans="1:8" x14ac:dyDescent="0.2">
      <c r="A34" t="s">
        <v>33</v>
      </c>
      <c r="B34" t="s">
        <v>1133</v>
      </c>
      <c r="C34" t="s">
        <v>1092</v>
      </c>
      <c r="D34" t="s">
        <v>1058</v>
      </c>
      <c r="E34">
        <v>7775.2119679999996</v>
      </c>
      <c r="F34">
        <v>0</v>
      </c>
      <c r="G34" t="s">
        <v>1107</v>
      </c>
      <c r="H34" t="s">
        <v>15</v>
      </c>
    </row>
    <row r="35" spans="1:8" x14ac:dyDescent="0.2">
      <c r="A35" t="s">
        <v>33</v>
      </c>
      <c r="B35" t="s">
        <v>1134</v>
      </c>
      <c r="C35" t="s">
        <v>1092</v>
      </c>
      <c r="D35" t="s">
        <v>1096</v>
      </c>
      <c r="E35">
        <v>2654.9332960000002</v>
      </c>
      <c r="F35">
        <v>0</v>
      </c>
      <c r="G35" t="s">
        <v>1107</v>
      </c>
      <c r="H35" t="s">
        <v>15</v>
      </c>
    </row>
    <row r="36" spans="1:8" x14ac:dyDescent="0.2">
      <c r="A36" t="s">
        <v>33</v>
      </c>
      <c r="B36" t="s">
        <v>1135</v>
      </c>
      <c r="C36" t="s">
        <v>1092</v>
      </c>
      <c r="D36" t="s">
        <v>1058</v>
      </c>
      <c r="E36">
        <v>597643.41202000005</v>
      </c>
      <c r="F36">
        <v>80</v>
      </c>
      <c r="G36" t="s">
        <v>1093</v>
      </c>
      <c r="H36" t="s">
        <v>15</v>
      </c>
    </row>
    <row r="37" spans="1:8" x14ac:dyDescent="0.2">
      <c r="A37" t="s">
        <v>33</v>
      </c>
      <c r="B37" t="s">
        <v>1136</v>
      </c>
      <c r="C37" t="s">
        <v>1092</v>
      </c>
      <c r="D37" t="s">
        <v>1096</v>
      </c>
      <c r="E37">
        <v>34463.024479</v>
      </c>
      <c r="F37">
        <v>26395</v>
      </c>
      <c r="G37" t="s">
        <v>1109</v>
      </c>
      <c r="H37" t="s">
        <v>15</v>
      </c>
    </row>
    <row r="38" spans="1:8" x14ac:dyDescent="0.2">
      <c r="A38" t="s">
        <v>33</v>
      </c>
      <c r="B38" t="s">
        <v>1137</v>
      </c>
      <c r="C38" t="s">
        <v>1092</v>
      </c>
      <c r="D38" t="s">
        <v>1052</v>
      </c>
      <c r="E38">
        <v>626191.62358400004</v>
      </c>
      <c r="F38">
        <v>370328</v>
      </c>
      <c r="G38" t="s">
        <v>1109</v>
      </c>
      <c r="H38" t="s">
        <v>15</v>
      </c>
    </row>
    <row r="39" spans="1:8" x14ac:dyDescent="0.2">
      <c r="A39" t="s">
        <v>33</v>
      </c>
      <c r="B39" t="s">
        <v>1138</v>
      </c>
      <c r="C39" t="s">
        <v>1092</v>
      </c>
      <c r="D39" t="s">
        <v>1052</v>
      </c>
      <c r="E39">
        <v>226774</v>
      </c>
      <c r="F39">
        <v>61</v>
      </c>
      <c r="G39" t="s">
        <v>1093</v>
      </c>
      <c r="H39" t="s">
        <v>15</v>
      </c>
    </row>
    <row r="40" spans="1:8" x14ac:dyDescent="0.2">
      <c r="A40" t="s">
        <v>33</v>
      </c>
      <c r="B40" t="s">
        <v>1139</v>
      </c>
      <c r="C40" t="s">
        <v>1092</v>
      </c>
      <c r="D40" t="s">
        <v>1096</v>
      </c>
      <c r="E40">
        <v>173372.653983</v>
      </c>
      <c r="F40">
        <v>0</v>
      </c>
      <c r="G40" t="s">
        <v>1107</v>
      </c>
      <c r="H40" t="s">
        <v>15</v>
      </c>
    </row>
    <row r="41" spans="1:8" x14ac:dyDescent="0.2">
      <c r="A41" t="s">
        <v>33</v>
      </c>
      <c r="B41" t="s">
        <v>1140</v>
      </c>
      <c r="C41" t="s">
        <v>1092</v>
      </c>
      <c r="D41" t="s">
        <v>1096</v>
      </c>
      <c r="E41">
        <v>45107.138815999999</v>
      </c>
      <c r="F41">
        <v>0</v>
      </c>
      <c r="G41" t="s">
        <v>1107</v>
      </c>
      <c r="H41" t="s">
        <v>15</v>
      </c>
    </row>
    <row r="42" spans="1:8" x14ac:dyDescent="0.2">
      <c r="A42" t="s">
        <v>33</v>
      </c>
      <c r="B42" t="s">
        <v>1099</v>
      </c>
      <c r="C42" t="s">
        <v>1100</v>
      </c>
      <c r="D42" t="s">
        <v>35</v>
      </c>
      <c r="E42">
        <v>37372269.302339002</v>
      </c>
      <c r="F42">
        <v>32840738</v>
      </c>
      <c r="G42" t="s">
        <v>35</v>
      </c>
      <c r="H42" t="s">
        <v>15</v>
      </c>
    </row>
    <row r="43" spans="1:8" x14ac:dyDescent="0.2">
      <c r="A43" t="s">
        <v>65</v>
      </c>
      <c r="B43" t="s">
        <v>1141</v>
      </c>
      <c r="C43" t="s">
        <v>1092</v>
      </c>
      <c r="D43" t="s">
        <v>1126</v>
      </c>
      <c r="E43">
        <v>1519509</v>
      </c>
      <c r="F43">
        <v>1191948</v>
      </c>
      <c r="G43" t="s">
        <v>1109</v>
      </c>
      <c r="H43" t="s">
        <v>15</v>
      </c>
    </row>
    <row r="44" spans="1:8" x14ac:dyDescent="0.2">
      <c r="A44" t="s">
        <v>65</v>
      </c>
      <c r="B44" t="s">
        <v>1099</v>
      </c>
      <c r="C44" t="s">
        <v>1100</v>
      </c>
      <c r="D44" t="s">
        <v>35</v>
      </c>
      <c r="E44">
        <v>1519509</v>
      </c>
      <c r="F44">
        <v>1191948</v>
      </c>
      <c r="G44" t="s">
        <v>35</v>
      </c>
      <c r="H44" t="s">
        <v>15</v>
      </c>
    </row>
    <row r="45" spans="1:8" x14ac:dyDescent="0.2">
      <c r="A45" t="s">
        <v>44</v>
      </c>
      <c r="B45" t="s">
        <v>1142</v>
      </c>
      <c r="C45" t="s">
        <v>1092</v>
      </c>
      <c r="D45" t="s">
        <v>1096</v>
      </c>
      <c r="E45">
        <v>62804.475321999998</v>
      </c>
      <c r="F45">
        <v>33601</v>
      </c>
      <c r="G45" t="s">
        <v>1109</v>
      </c>
      <c r="H45" t="s">
        <v>15</v>
      </c>
    </row>
    <row r="46" spans="1:8" x14ac:dyDescent="0.2">
      <c r="A46" t="s">
        <v>44</v>
      </c>
      <c r="B46" t="s">
        <v>1143</v>
      </c>
      <c r="C46" t="s">
        <v>1092</v>
      </c>
      <c r="D46" t="s">
        <v>1061</v>
      </c>
      <c r="E46">
        <v>294334.15799799998</v>
      </c>
      <c r="F46">
        <v>171732</v>
      </c>
      <c r="G46" t="s">
        <v>1144</v>
      </c>
      <c r="H46" t="s">
        <v>15</v>
      </c>
    </row>
    <row r="47" spans="1:8" x14ac:dyDescent="0.2">
      <c r="A47" t="s">
        <v>44</v>
      </c>
      <c r="B47" t="s">
        <v>1145</v>
      </c>
      <c r="C47" t="s">
        <v>1092</v>
      </c>
      <c r="D47" t="s">
        <v>1096</v>
      </c>
      <c r="E47">
        <v>8477005.2824799996</v>
      </c>
      <c r="F47">
        <v>9642473</v>
      </c>
      <c r="G47" t="s">
        <v>1128</v>
      </c>
      <c r="H47" t="s">
        <v>15</v>
      </c>
    </row>
    <row r="48" spans="1:8" x14ac:dyDescent="0.2">
      <c r="A48" t="s">
        <v>44</v>
      </c>
      <c r="B48" t="s">
        <v>1146</v>
      </c>
      <c r="C48" t="s">
        <v>1092</v>
      </c>
      <c r="D48" t="s">
        <v>1126</v>
      </c>
      <c r="E48">
        <v>812326.34858400002</v>
      </c>
      <c r="F48">
        <v>483711</v>
      </c>
      <c r="G48" t="s">
        <v>1109</v>
      </c>
      <c r="H48" t="s">
        <v>15</v>
      </c>
    </row>
    <row r="49" spans="1:8" x14ac:dyDescent="0.2">
      <c r="A49" t="s">
        <v>44</v>
      </c>
      <c r="B49" t="s">
        <v>1147</v>
      </c>
      <c r="C49" t="s">
        <v>1092</v>
      </c>
      <c r="D49" t="s">
        <v>1126</v>
      </c>
      <c r="E49">
        <v>834081.50992900005</v>
      </c>
      <c r="F49">
        <v>153</v>
      </c>
      <c r="G49" t="s">
        <v>1093</v>
      </c>
      <c r="H49" t="s">
        <v>15</v>
      </c>
    </row>
    <row r="50" spans="1:8" x14ac:dyDescent="0.2">
      <c r="A50" t="s">
        <v>44</v>
      </c>
      <c r="B50" t="s">
        <v>1099</v>
      </c>
      <c r="C50" t="s">
        <v>1100</v>
      </c>
      <c r="D50" t="s">
        <v>35</v>
      </c>
      <c r="E50">
        <v>10480551.774312999</v>
      </c>
      <c r="F50">
        <v>10331670</v>
      </c>
      <c r="G50" t="s">
        <v>35</v>
      </c>
      <c r="H50" t="s">
        <v>15</v>
      </c>
    </row>
    <row r="51" spans="1:8" x14ac:dyDescent="0.2">
      <c r="A51" t="s">
        <v>1148</v>
      </c>
      <c r="B51" t="s">
        <v>1149</v>
      </c>
      <c r="C51" t="s">
        <v>1092</v>
      </c>
      <c r="D51" t="s">
        <v>1058</v>
      </c>
      <c r="E51">
        <v>192986.08</v>
      </c>
      <c r="F51">
        <v>75</v>
      </c>
      <c r="G51" t="s">
        <v>1103</v>
      </c>
      <c r="H51" t="s">
        <v>15</v>
      </c>
    </row>
    <row r="52" spans="1:8" x14ac:dyDescent="0.2">
      <c r="A52" t="s">
        <v>1148</v>
      </c>
      <c r="B52" t="s">
        <v>1099</v>
      </c>
      <c r="C52" t="s">
        <v>1100</v>
      </c>
      <c r="D52" t="s">
        <v>35</v>
      </c>
      <c r="E52">
        <v>192986.08</v>
      </c>
      <c r="F52">
        <v>75</v>
      </c>
      <c r="G52" t="s">
        <v>35</v>
      </c>
      <c r="H52" t="s">
        <v>15</v>
      </c>
    </row>
    <row r="53" spans="1:8" x14ac:dyDescent="0.2">
      <c r="A53" t="s">
        <v>1150</v>
      </c>
      <c r="B53" t="s">
        <v>1151</v>
      </c>
      <c r="C53" t="s">
        <v>1092</v>
      </c>
      <c r="D53" t="s">
        <v>1058</v>
      </c>
      <c r="E53">
        <v>31963.456119999999</v>
      </c>
      <c r="F53">
        <v>37</v>
      </c>
      <c r="G53" t="s">
        <v>1103</v>
      </c>
      <c r="H53" t="s">
        <v>15</v>
      </c>
    </row>
    <row r="54" spans="1:8" x14ac:dyDescent="0.2">
      <c r="A54" t="s">
        <v>1150</v>
      </c>
      <c r="B54" t="s">
        <v>1099</v>
      </c>
      <c r="C54" t="s">
        <v>1100</v>
      </c>
      <c r="D54" t="s">
        <v>35</v>
      </c>
      <c r="E54">
        <v>31963.456119999999</v>
      </c>
      <c r="F54">
        <v>37</v>
      </c>
      <c r="G54" t="s">
        <v>35</v>
      </c>
      <c r="H54" t="s">
        <v>15</v>
      </c>
    </row>
    <row r="55" spans="1:8" x14ac:dyDescent="0.2">
      <c r="A55" t="s">
        <v>113</v>
      </c>
      <c r="B55" t="s">
        <v>1152</v>
      </c>
      <c r="C55" t="s">
        <v>1092</v>
      </c>
      <c r="D55" t="s">
        <v>1126</v>
      </c>
      <c r="E55">
        <v>40736.356800000001</v>
      </c>
      <c r="F55">
        <v>2</v>
      </c>
      <c r="G55" t="s">
        <v>1103</v>
      </c>
      <c r="H55" t="s">
        <v>15</v>
      </c>
    </row>
    <row r="56" spans="1:8" x14ac:dyDescent="0.2">
      <c r="A56" t="s">
        <v>113</v>
      </c>
      <c r="B56" t="s">
        <v>1153</v>
      </c>
      <c r="C56" t="s">
        <v>1092</v>
      </c>
      <c r="D56" t="s">
        <v>1126</v>
      </c>
      <c r="E56">
        <v>489172.87396</v>
      </c>
      <c r="F56">
        <v>25</v>
      </c>
      <c r="G56" t="s">
        <v>1093</v>
      </c>
      <c r="H56" t="s">
        <v>15</v>
      </c>
    </row>
    <row r="57" spans="1:8" x14ac:dyDescent="0.2">
      <c r="A57" t="s">
        <v>113</v>
      </c>
      <c r="B57" t="s">
        <v>1154</v>
      </c>
      <c r="C57" t="s">
        <v>1092</v>
      </c>
      <c r="D57" t="s">
        <v>1061</v>
      </c>
      <c r="E57">
        <v>210436.95248000001</v>
      </c>
      <c r="F57">
        <v>12</v>
      </c>
      <c r="G57" t="s">
        <v>1103</v>
      </c>
      <c r="H57" t="s">
        <v>15</v>
      </c>
    </row>
    <row r="58" spans="1:8" x14ac:dyDescent="0.2">
      <c r="A58" t="s">
        <v>113</v>
      </c>
      <c r="B58" t="s">
        <v>1155</v>
      </c>
      <c r="C58" t="s">
        <v>1092</v>
      </c>
      <c r="D58" t="s">
        <v>1061</v>
      </c>
      <c r="E58">
        <v>1507037.1025</v>
      </c>
      <c r="F58">
        <v>644543</v>
      </c>
      <c r="G58" t="s">
        <v>1109</v>
      </c>
      <c r="H58" t="s">
        <v>15</v>
      </c>
    </row>
    <row r="59" spans="1:8" x14ac:dyDescent="0.2">
      <c r="A59" t="s">
        <v>113</v>
      </c>
      <c r="B59" t="s">
        <v>1156</v>
      </c>
      <c r="C59" t="s">
        <v>1092</v>
      </c>
      <c r="D59" t="s">
        <v>1061</v>
      </c>
      <c r="E59">
        <v>141825.33645</v>
      </c>
      <c r="F59">
        <v>0</v>
      </c>
      <c r="G59" t="s">
        <v>1103</v>
      </c>
      <c r="H59" t="s">
        <v>15</v>
      </c>
    </row>
    <row r="60" spans="1:8" x14ac:dyDescent="0.2">
      <c r="A60" t="s">
        <v>113</v>
      </c>
      <c r="B60" t="s">
        <v>1157</v>
      </c>
      <c r="C60" t="s">
        <v>1092</v>
      </c>
      <c r="D60" t="s">
        <v>1126</v>
      </c>
      <c r="E60">
        <v>47385.03</v>
      </c>
      <c r="F60">
        <v>6</v>
      </c>
      <c r="G60" t="s">
        <v>1103</v>
      </c>
      <c r="H60" t="s">
        <v>15</v>
      </c>
    </row>
    <row r="61" spans="1:8" x14ac:dyDescent="0.2">
      <c r="A61" t="s">
        <v>113</v>
      </c>
      <c r="B61" t="s">
        <v>1158</v>
      </c>
      <c r="C61" t="s">
        <v>1092</v>
      </c>
      <c r="D61" t="s">
        <v>1126</v>
      </c>
      <c r="E61">
        <v>249646.85728</v>
      </c>
      <c r="F61">
        <v>47</v>
      </c>
      <c r="G61" t="s">
        <v>1093</v>
      </c>
      <c r="H61" t="s">
        <v>15</v>
      </c>
    </row>
    <row r="62" spans="1:8" x14ac:dyDescent="0.2">
      <c r="A62" t="s">
        <v>113</v>
      </c>
      <c r="B62" t="s">
        <v>1159</v>
      </c>
      <c r="C62" t="s">
        <v>1092</v>
      </c>
      <c r="D62" t="s">
        <v>1126</v>
      </c>
      <c r="E62">
        <v>860703.37156999996</v>
      </c>
      <c r="F62">
        <v>376230</v>
      </c>
      <c r="G62" t="s">
        <v>1109</v>
      </c>
      <c r="H62" t="s">
        <v>15</v>
      </c>
    </row>
    <row r="63" spans="1:8" x14ac:dyDescent="0.2">
      <c r="A63" t="s">
        <v>113</v>
      </c>
      <c r="B63" t="s">
        <v>1160</v>
      </c>
      <c r="C63" t="s">
        <v>1092</v>
      </c>
      <c r="D63" t="s">
        <v>1126</v>
      </c>
      <c r="E63">
        <v>449612.30080000003</v>
      </c>
      <c r="F63">
        <v>340466</v>
      </c>
      <c r="G63" t="s">
        <v>1109</v>
      </c>
      <c r="H63" t="s">
        <v>15</v>
      </c>
    </row>
    <row r="64" spans="1:8" x14ac:dyDescent="0.2">
      <c r="A64" t="s">
        <v>113</v>
      </c>
      <c r="B64" t="s">
        <v>1099</v>
      </c>
      <c r="C64" t="s">
        <v>1100</v>
      </c>
      <c r="D64" t="s">
        <v>35</v>
      </c>
      <c r="E64">
        <v>3996556.1818400002</v>
      </c>
      <c r="F64">
        <v>1361331</v>
      </c>
      <c r="G64" t="s">
        <v>35</v>
      </c>
      <c r="H64" t="s">
        <v>15</v>
      </c>
    </row>
    <row r="65" spans="1:8" x14ac:dyDescent="0.2">
      <c r="A65" t="s">
        <v>179</v>
      </c>
      <c r="B65" t="s">
        <v>1161</v>
      </c>
      <c r="C65" t="s">
        <v>1092</v>
      </c>
      <c r="D65" t="s">
        <v>1061</v>
      </c>
      <c r="E65">
        <v>360155.81099999999</v>
      </c>
      <c r="F65">
        <v>209697</v>
      </c>
      <c r="G65" t="s">
        <v>1144</v>
      </c>
      <c r="H65" t="s">
        <v>15</v>
      </c>
    </row>
    <row r="66" spans="1:8" x14ac:dyDescent="0.2">
      <c r="A66" t="s">
        <v>179</v>
      </c>
      <c r="B66" t="s">
        <v>1099</v>
      </c>
      <c r="C66" t="s">
        <v>1100</v>
      </c>
      <c r="D66" t="s">
        <v>35</v>
      </c>
      <c r="E66">
        <v>360155.81099999999</v>
      </c>
      <c r="F66">
        <v>209697</v>
      </c>
      <c r="G66" t="s">
        <v>35</v>
      </c>
      <c r="H66" t="s">
        <v>15</v>
      </c>
    </row>
    <row r="67" spans="1:8" x14ac:dyDescent="0.2">
      <c r="A67" t="s">
        <v>243</v>
      </c>
      <c r="B67" t="s">
        <v>1162</v>
      </c>
      <c r="C67" t="s">
        <v>1092</v>
      </c>
      <c r="D67" t="s">
        <v>1126</v>
      </c>
      <c r="E67">
        <v>75861.526859999998</v>
      </c>
      <c r="F67">
        <v>53106</v>
      </c>
      <c r="G67" t="s">
        <v>1109</v>
      </c>
      <c r="H67" t="s">
        <v>15</v>
      </c>
    </row>
    <row r="68" spans="1:8" x14ac:dyDescent="0.2">
      <c r="A68" t="s">
        <v>243</v>
      </c>
      <c r="B68" t="s">
        <v>1163</v>
      </c>
      <c r="C68" t="s">
        <v>1092</v>
      </c>
      <c r="D68" t="s">
        <v>1052</v>
      </c>
      <c r="E68">
        <v>376203.88221000001</v>
      </c>
      <c r="F68">
        <v>156932</v>
      </c>
      <c r="G68" t="s">
        <v>1109</v>
      </c>
      <c r="H68" t="s">
        <v>15</v>
      </c>
    </row>
    <row r="69" spans="1:8" x14ac:dyDescent="0.2">
      <c r="A69" t="s">
        <v>243</v>
      </c>
      <c r="B69" t="s">
        <v>1099</v>
      </c>
      <c r="C69" t="s">
        <v>1100</v>
      </c>
      <c r="D69" t="s">
        <v>35</v>
      </c>
      <c r="E69">
        <v>452065.40906999999</v>
      </c>
      <c r="F69">
        <v>210038</v>
      </c>
      <c r="G69" t="s">
        <v>35</v>
      </c>
      <c r="H69" t="s">
        <v>15</v>
      </c>
    </row>
    <row r="70" spans="1:8" x14ac:dyDescent="0.2">
      <c r="A70" t="s">
        <v>1164</v>
      </c>
      <c r="B70" t="s">
        <v>1165</v>
      </c>
      <c r="C70" t="s">
        <v>1092</v>
      </c>
      <c r="D70" t="s">
        <v>1061</v>
      </c>
      <c r="E70">
        <v>97246.455000000002</v>
      </c>
      <c r="F70">
        <v>14</v>
      </c>
      <c r="G70" t="s">
        <v>1103</v>
      </c>
      <c r="H70" t="s">
        <v>15</v>
      </c>
    </row>
    <row r="71" spans="1:8" x14ac:dyDescent="0.2">
      <c r="A71" t="s">
        <v>1164</v>
      </c>
      <c r="B71" t="s">
        <v>1166</v>
      </c>
      <c r="C71" t="s">
        <v>1092</v>
      </c>
      <c r="D71" t="s">
        <v>1061</v>
      </c>
      <c r="E71">
        <v>133682.639</v>
      </c>
      <c r="F71">
        <v>20</v>
      </c>
      <c r="G71" t="s">
        <v>1103</v>
      </c>
      <c r="H71" t="s">
        <v>15</v>
      </c>
    </row>
    <row r="72" spans="1:8" x14ac:dyDescent="0.2">
      <c r="A72" t="s">
        <v>1164</v>
      </c>
      <c r="B72" t="s">
        <v>1167</v>
      </c>
      <c r="C72" t="s">
        <v>1092</v>
      </c>
      <c r="D72" t="s">
        <v>1061</v>
      </c>
      <c r="E72">
        <v>331828.44900000002</v>
      </c>
      <c r="F72">
        <v>184</v>
      </c>
      <c r="G72" t="s">
        <v>1103</v>
      </c>
      <c r="H72" t="s">
        <v>15</v>
      </c>
    </row>
    <row r="73" spans="1:8" x14ac:dyDescent="0.2">
      <c r="A73" t="s">
        <v>1164</v>
      </c>
      <c r="B73" t="s">
        <v>1168</v>
      </c>
      <c r="C73" t="s">
        <v>1092</v>
      </c>
      <c r="D73" t="s">
        <v>1061</v>
      </c>
      <c r="E73">
        <v>96991.466</v>
      </c>
      <c r="F73">
        <v>19</v>
      </c>
      <c r="G73" t="s">
        <v>1103</v>
      </c>
      <c r="H73" t="s">
        <v>15</v>
      </c>
    </row>
    <row r="74" spans="1:8" x14ac:dyDescent="0.2">
      <c r="A74" t="s">
        <v>1164</v>
      </c>
      <c r="B74" t="s">
        <v>1099</v>
      </c>
      <c r="C74" t="s">
        <v>1100</v>
      </c>
      <c r="D74" t="s">
        <v>35</v>
      </c>
      <c r="E74">
        <v>659749.00899999996</v>
      </c>
      <c r="F74">
        <v>237</v>
      </c>
      <c r="G74" t="s">
        <v>35</v>
      </c>
      <c r="H74" t="s">
        <v>15</v>
      </c>
    </row>
    <row r="75" spans="1:8" x14ac:dyDescent="0.2">
      <c r="A75" t="s">
        <v>1169</v>
      </c>
      <c r="B75" t="s">
        <v>1170</v>
      </c>
      <c r="C75" t="s">
        <v>1092</v>
      </c>
      <c r="D75" t="s">
        <v>1096</v>
      </c>
      <c r="E75">
        <v>127782.344</v>
      </c>
      <c r="F75">
        <v>67</v>
      </c>
      <c r="G75" t="s">
        <v>1103</v>
      </c>
      <c r="H75" t="s">
        <v>15</v>
      </c>
    </row>
    <row r="76" spans="1:8" x14ac:dyDescent="0.2">
      <c r="A76" t="s">
        <v>1169</v>
      </c>
      <c r="B76" t="s">
        <v>1171</v>
      </c>
      <c r="C76" t="s">
        <v>1092</v>
      </c>
      <c r="D76" t="s">
        <v>1096</v>
      </c>
      <c r="E76">
        <v>101050.22</v>
      </c>
      <c r="F76">
        <v>21</v>
      </c>
      <c r="G76" t="s">
        <v>1093</v>
      </c>
      <c r="H76" t="s">
        <v>15</v>
      </c>
    </row>
    <row r="77" spans="1:8" x14ac:dyDescent="0.2">
      <c r="A77" t="s">
        <v>1169</v>
      </c>
      <c r="B77" t="s">
        <v>1172</v>
      </c>
      <c r="C77" t="s">
        <v>1092</v>
      </c>
      <c r="D77" t="s">
        <v>1058</v>
      </c>
      <c r="E77">
        <v>244085.79199999999</v>
      </c>
      <c r="F77">
        <v>15</v>
      </c>
      <c r="G77" t="s">
        <v>1103</v>
      </c>
      <c r="H77" t="s">
        <v>15</v>
      </c>
    </row>
    <row r="78" spans="1:8" x14ac:dyDescent="0.2">
      <c r="A78" t="s">
        <v>1169</v>
      </c>
      <c r="B78" t="s">
        <v>1099</v>
      </c>
      <c r="C78" t="s">
        <v>1100</v>
      </c>
      <c r="D78" t="s">
        <v>35</v>
      </c>
      <c r="E78">
        <v>472918.35600000003</v>
      </c>
      <c r="F78">
        <v>103</v>
      </c>
      <c r="G78" t="s">
        <v>35</v>
      </c>
      <c r="H78" t="s">
        <v>15</v>
      </c>
    </row>
    <row r="79" spans="1:8" x14ac:dyDescent="0.2">
      <c r="A79" t="s">
        <v>1173</v>
      </c>
      <c r="B79" t="s">
        <v>1174</v>
      </c>
      <c r="C79" t="s">
        <v>1092</v>
      </c>
      <c r="D79" t="s">
        <v>1096</v>
      </c>
      <c r="E79">
        <v>468929.69799999997</v>
      </c>
      <c r="F79">
        <v>101</v>
      </c>
      <c r="G79" t="s">
        <v>1093</v>
      </c>
      <c r="H79" t="s">
        <v>15</v>
      </c>
    </row>
    <row r="80" spans="1:8" x14ac:dyDescent="0.2">
      <c r="A80" t="s">
        <v>1173</v>
      </c>
      <c r="B80" t="s">
        <v>1099</v>
      </c>
      <c r="C80" t="s">
        <v>1100</v>
      </c>
      <c r="D80" t="s">
        <v>35</v>
      </c>
      <c r="E80">
        <v>468929.69799999997</v>
      </c>
      <c r="F80">
        <v>101</v>
      </c>
      <c r="G80" t="s">
        <v>35</v>
      </c>
      <c r="H80" t="s">
        <v>15</v>
      </c>
    </row>
    <row r="81" spans="1:8" x14ac:dyDescent="0.2">
      <c r="A81" t="s">
        <v>1175</v>
      </c>
      <c r="B81" t="s">
        <v>1176</v>
      </c>
      <c r="C81" t="s">
        <v>1092</v>
      </c>
      <c r="D81" t="s">
        <v>1096</v>
      </c>
      <c r="E81">
        <v>320783.39500000002</v>
      </c>
      <c r="F81">
        <v>40</v>
      </c>
      <c r="G81" t="s">
        <v>1093</v>
      </c>
      <c r="H81" t="s">
        <v>15</v>
      </c>
    </row>
    <row r="82" spans="1:8" x14ac:dyDescent="0.2">
      <c r="A82" t="s">
        <v>1175</v>
      </c>
      <c r="B82" t="s">
        <v>1099</v>
      </c>
      <c r="C82" t="s">
        <v>1100</v>
      </c>
      <c r="D82" t="s">
        <v>35</v>
      </c>
      <c r="E82">
        <v>320783.39500000002</v>
      </c>
      <c r="F82">
        <v>40</v>
      </c>
      <c r="G82" t="s">
        <v>35</v>
      </c>
      <c r="H82" t="s">
        <v>15</v>
      </c>
    </row>
    <row r="83" spans="1:8" x14ac:dyDescent="0.2">
      <c r="A83" t="s">
        <v>115</v>
      </c>
      <c r="B83" t="s">
        <v>1177</v>
      </c>
      <c r="C83" t="s">
        <v>1092</v>
      </c>
      <c r="D83" t="s">
        <v>1058</v>
      </c>
      <c r="E83">
        <v>192827.95699999999</v>
      </c>
      <c r="F83">
        <v>52</v>
      </c>
      <c r="G83" t="s">
        <v>1103</v>
      </c>
      <c r="H83" t="s">
        <v>15</v>
      </c>
    </row>
    <row r="84" spans="1:8" x14ac:dyDescent="0.2">
      <c r="A84" t="s">
        <v>115</v>
      </c>
      <c r="B84" t="s">
        <v>1178</v>
      </c>
      <c r="C84" t="s">
        <v>1092</v>
      </c>
      <c r="D84" t="s">
        <v>1058</v>
      </c>
      <c r="E84">
        <v>47546.12</v>
      </c>
      <c r="F84">
        <v>21</v>
      </c>
      <c r="G84" t="s">
        <v>1103</v>
      </c>
      <c r="H84" t="s">
        <v>15</v>
      </c>
    </row>
    <row r="85" spans="1:8" x14ac:dyDescent="0.2">
      <c r="A85" t="s">
        <v>115</v>
      </c>
      <c r="B85" t="s">
        <v>1099</v>
      </c>
      <c r="C85" t="s">
        <v>1100</v>
      </c>
      <c r="D85" t="s">
        <v>35</v>
      </c>
      <c r="E85">
        <v>240374.07699999999</v>
      </c>
      <c r="F85">
        <v>73</v>
      </c>
      <c r="G85" t="s">
        <v>35</v>
      </c>
      <c r="H85" t="s">
        <v>15</v>
      </c>
    </row>
    <row r="86" spans="1:8" x14ac:dyDescent="0.2">
      <c r="A86" t="s">
        <v>1179</v>
      </c>
      <c r="B86" t="s">
        <v>1180</v>
      </c>
      <c r="C86" t="s">
        <v>1092</v>
      </c>
      <c r="D86" t="s">
        <v>1126</v>
      </c>
      <c r="E86">
        <v>629934.26300000004</v>
      </c>
      <c r="F86">
        <v>178</v>
      </c>
      <c r="G86" t="s">
        <v>1093</v>
      </c>
      <c r="H86" t="s">
        <v>15</v>
      </c>
    </row>
    <row r="87" spans="1:8" x14ac:dyDescent="0.2">
      <c r="A87" t="s">
        <v>1179</v>
      </c>
      <c r="B87" t="s">
        <v>1099</v>
      </c>
      <c r="C87" t="s">
        <v>1100</v>
      </c>
      <c r="D87" t="s">
        <v>35</v>
      </c>
      <c r="E87">
        <v>629934.26300000004</v>
      </c>
      <c r="F87">
        <v>178</v>
      </c>
      <c r="G87" t="s">
        <v>35</v>
      </c>
      <c r="H87" t="s">
        <v>15</v>
      </c>
    </row>
    <row r="88" spans="1:8" x14ac:dyDescent="0.2">
      <c r="A88" t="s">
        <v>1181</v>
      </c>
      <c r="B88" t="s">
        <v>1182</v>
      </c>
      <c r="C88" t="s">
        <v>1092</v>
      </c>
      <c r="D88" t="s">
        <v>1058</v>
      </c>
      <c r="E88">
        <v>19818.214899999999</v>
      </c>
      <c r="F88">
        <v>3</v>
      </c>
      <c r="G88" t="s">
        <v>1103</v>
      </c>
      <c r="H88" t="s">
        <v>15</v>
      </c>
    </row>
    <row r="89" spans="1:8" x14ac:dyDescent="0.2">
      <c r="A89" t="s">
        <v>1181</v>
      </c>
      <c r="B89" t="s">
        <v>1183</v>
      </c>
      <c r="C89" t="s">
        <v>1092</v>
      </c>
      <c r="D89" t="s">
        <v>1058</v>
      </c>
      <c r="E89">
        <v>400938.33532000001</v>
      </c>
      <c r="F89">
        <v>56</v>
      </c>
      <c r="G89" t="s">
        <v>1093</v>
      </c>
      <c r="H89" t="s">
        <v>15</v>
      </c>
    </row>
    <row r="90" spans="1:8" x14ac:dyDescent="0.2">
      <c r="A90" t="s">
        <v>1181</v>
      </c>
      <c r="B90" t="s">
        <v>1184</v>
      </c>
      <c r="C90" t="s">
        <v>1092</v>
      </c>
      <c r="D90" t="s">
        <v>1058</v>
      </c>
      <c r="E90">
        <v>325152.99280000001</v>
      </c>
      <c r="F90">
        <v>24</v>
      </c>
      <c r="G90" t="s">
        <v>1093</v>
      </c>
      <c r="H90" t="s">
        <v>15</v>
      </c>
    </row>
    <row r="91" spans="1:8" x14ac:dyDescent="0.2">
      <c r="A91" t="s">
        <v>1181</v>
      </c>
      <c r="B91" t="s">
        <v>1099</v>
      </c>
      <c r="C91" t="s">
        <v>1100</v>
      </c>
      <c r="D91" t="s">
        <v>35</v>
      </c>
      <c r="E91">
        <v>745909.54301999998</v>
      </c>
      <c r="F91">
        <v>83</v>
      </c>
      <c r="G91" t="s">
        <v>35</v>
      </c>
      <c r="H91" t="s">
        <v>15</v>
      </c>
    </row>
    <row r="92" spans="1:8" x14ac:dyDescent="0.2">
      <c r="A92" t="s">
        <v>77</v>
      </c>
      <c r="B92" t="s">
        <v>1185</v>
      </c>
      <c r="C92" t="s">
        <v>1092</v>
      </c>
      <c r="D92" t="s">
        <v>1126</v>
      </c>
      <c r="E92">
        <v>805805.14535999997</v>
      </c>
      <c r="F92">
        <v>347643</v>
      </c>
      <c r="G92" t="s">
        <v>1109</v>
      </c>
      <c r="H92" t="s">
        <v>15</v>
      </c>
    </row>
    <row r="93" spans="1:8" x14ac:dyDescent="0.2">
      <c r="A93" t="s">
        <v>77</v>
      </c>
      <c r="B93" t="s">
        <v>1099</v>
      </c>
      <c r="C93" t="s">
        <v>1100</v>
      </c>
      <c r="D93" t="s">
        <v>35</v>
      </c>
      <c r="E93">
        <v>805805.14535999997</v>
      </c>
      <c r="F93">
        <v>347643</v>
      </c>
      <c r="G93" t="s">
        <v>35</v>
      </c>
      <c r="H93" t="s">
        <v>15</v>
      </c>
    </row>
    <row r="94" spans="1:8" x14ac:dyDescent="0.2">
      <c r="A94" t="s">
        <v>159</v>
      </c>
      <c r="B94" t="s">
        <v>1186</v>
      </c>
      <c r="C94" t="s">
        <v>1092</v>
      </c>
      <c r="D94" t="s">
        <v>1126</v>
      </c>
      <c r="E94">
        <v>1517622.9439999999</v>
      </c>
      <c r="F94">
        <v>1352311</v>
      </c>
      <c r="G94" t="s">
        <v>1111</v>
      </c>
      <c r="H94" t="s">
        <v>15</v>
      </c>
    </row>
    <row r="95" spans="1:8" x14ac:dyDescent="0.2">
      <c r="A95" t="s">
        <v>159</v>
      </c>
      <c r="B95" t="s">
        <v>1099</v>
      </c>
      <c r="C95" t="s">
        <v>1100</v>
      </c>
      <c r="D95" t="s">
        <v>35</v>
      </c>
      <c r="E95">
        <v>1517622.9439999999</v>
      </c>
      <c r="F95">
        <v>1352311</v>
      </c>
      <c r="G95" t="s">
        <v>35</v>
      </c>
      <c r="H95" t="s">
        <v>15</v>
      </c>
    </row>
    <row r="96" spans="1:8" x14ac:dyDescent="0.2">
      <c r="A96" t="s">
        <v>135</v>
      </c>
      <c r="B96" t="s">
        <v>1187</v>
      </c>
      <c r="C96" t="s">
        <v>1092</v>
      </c>
      <c r="D96" t="s">
        <v>1126</v>
      </c>
      <c r="E96">
        <v>1370374.92</v>
      </c>
      <c r="F96">
        <v>1238252</v>
      </c>
      <c r="G96" t="s">
        <v>1111</v>
      </c>
      <c r="H96" t="s">
        <v>15</v>
      </c>
    </row>
    <row r="97" spans="1:8" x14ac:dyDescent="0.2">
      <c r="A97" t="s">
        <v>135</v>
      </c>
      <c r="B97" t="s">
        <v>1099</v>
      </c>
      <c r="C97" t="s">
        <v>1100</v>
      </c>
      <c r="D97" t="s">
        <v>35</v>
      </c>
      <c r="E97">
        <v>1370374.92</v>
      </c>
      <c r="F97">
        <v>1238252</v>
      </c>
      <c r="G97" t="s">
        <v>35</v>
      </c>
      <c r="H97" t="s">
        <v>15</v>
      </c>
    </row>
    <row r="98" spans="1:8" x14ac:dyDescent="0.2">
      <c r="A98" t="s">
        <v>48</v>
      </c>
      <c r="B98" t="s">
        <v>1188</v>
      </c>
      <c r="C98" t="s">
        <v>1092</v>
      </c>
      <c r="D98" t="s">
        <v>1061</v>
      </c>
      <c r="E98">
        <v>4273452.2520000003</v>
      </c>
      <c r="F98">
        <v>4004358</v>
      </c>
      <c r="G98" t="s">
        <v>1111</v>
      </c>
      <c r="H98" t="s">
        <v>15</v>
      </c>
    </row>
    <row r="99" spans="1:8" x14ac:dyDescent="0.2">
      <c r="A99" t="s">
        <v>48</v>
      </c>
      <c r="B99" t="s">
        <v>1189</v>
      </c>
      <c r="C99" t="s">
        <v>1092</v>
      </c>
      <c r="D99" t="s">
        <v>1061</v>
      </c>
      <c r="E99">
        <v>782678.04</v>
      </c>
      <c r="F99">
        <v>675798</v>
      </c>
      <c r="G99" t="s">
        <v>1111</v>
      </c>
      <c r="H99" t="s">
        <v>15</v>
      </c>
    </row>
    <row r="100" spans="1:8" x14ac:dyDescent="0.2">
      <c r="A100" t="s">
        <v>48</v>
      </c>
      <c r="B100" t="s">
        <v>1190</v>
      </c>
      <c r="C100" t="s">
        <v>1092</v>
      </c>
      <c r="D100" t="s">
        <v>1061</v>
      </c>
      <c r="E100">
        <v>0</v>
      </c>
      <c r="F100">
        <v>0</v>
      </c>
      <c r="G100" t="s">
        <v>1191</v>
      </c>
      <c r="H100" t="s">
        <v>15</v>
      </c>
    </row>
    <row r="101" spans="1:8" x14ac:dyDescent="0.2">
      <c r="A101" t="s">
        <v>48</v>
      </c>
      <c r="B101" t="s">
        <v>1192</v>
      </c>
      <c r="C101" t="s">
        <v>1092</v>
      </c>
      <c r="D101" t="s">
        <v>1061</v>
      </c>
      <c r="E101">
        <v>5478078.04</v>
      </c>
      <c r="F101">
        <v>4520575</v>
      </c>
      <c r="G101" t="s">
        <v>1111</v>
      </c>
      <c r="H101" t="s">
        <v>15</v>
      </c>
    </row>
    <row r="102" spans="1:8" x14ac:dyDescent="0.2">
      <c r="A102" t="s">
        <v>48</v>
      </c>
      <c r="B102" t="s">
        <v>1099</v>
      </c>
      <c r="C102" t="s">
        <v>1100</v>
      </c>
      <c r="D102" t="s">
        <v>35</v>
      </c>
      <c r="E102">
        <v>10534208.332</v>
      </c>
      <c r="F102">
        <v>9200731</v>
      </c>
      <c r="G102" t="s">
        <v>35</v>
      </c>
      <c r="H102" t="s">
        <v>15</v>
      </c>
    </row>
    <row r="103" spans="1:8" x14ac:dyDescent="0.2">
      <c r="A103" t="s">
        <v>151</v>
      </c>
      <c r="B103" t="s">
        <v>1193</v>
      </c>
      <c r="C103" t="s">
        <v>1092</v>
      </c>
      <c r="D103" t="s">
        <v>1052</v>
      </c>
      <c r="E103">
        <v>97426.523000000001</v>
      </c>
      <c r="F103">
        <v>17</v>
      </c>
      <c r="G103" t="s">
        <v>1093</v>
      </c>
      <c r="H103" t="s">
        <v>15</v>
      </c>
    </row>
    <row r="104" spans="1:8" x14ac:dyDescent="0.2">
      <c r="A104" t="s">
        <v>151</v>
      </c>
      <c r="B104" t="s">
        <v>1099</v>
      </c>
      <c r="C104" t="s">
        <v>1100</v>
      </c>
      <c r="D104" t="s">
        <v>35</v>
      </c>
      <c r="E104">
        <v>97426.523000000001</v>
      </c>
      <c r="F104">
        <v>17</v>
      </c>
      <c r="G104" t="s">
        <v>35</v>
      </c>
      <c r="H104" t="s">
        <v>15</v>
      </c>
    </row>
    <row r="105" spans="1:8" x14ac:dyDescent="0.2">
      <c r="A105" t="s">
        <v>1194</v>
      </c>
      <c r="B105" t="s">
        <v>1195</v>
      </c>
      <c r="C105" t="s">
        <v>1092</v>
      </c>
      <c r="D105" t="s">
        <v>1058</v>
      </c>
      <c r="E105">
        <v>154431.41</v>
      </c>
      <c r="F105">
        <v>4722</v>
      </c>
      <c r="G105" t="s">
        <v>1196</v>
      </c>
      <c r="H105" t="s">
        <v>15</v>
      </c>
    </row>
    <row r="106" spans="1:8" x14ac:dyDescent="0.2">
      <c r="A106" t="s">
        <v>1194</v>
      </c>
      <c r="B106" t="s">
        <v>1197</v>
      </c>
      <c r="C106" t="s">
        <v>1092</v>
      </c>
      <c r="D106" t="s">
        <v>1058</v>
      </c>
      <c r="E106">
        <v>145472.1</v>
      </c>
      <c r="F106">
        <v>3943</v>
      </c>
      <c r="G106" t="s">
        <v>1196</v>
      </c>
      <c r="H106" t="s">
        <v>15</v>
      </c>
    </row>
    <row r="107" spans="1:8" x14ac:dyDescent="0.2">
      <c r="A107" t="s">
        <v>1194</v>
      </c>
      <c r="B107" t="s">
        <v>1099</v>
      </c>
      <c r="C107" t="s">
        <v>1100</v>
      </c>
      <c r="D107" t="s">
        <v>35</v>
      </c>
      <c r="E107">
        <v>299903.51</v>
      </c>
      <c r="F107">
        <v>8665</v>
      </c>
      <c r="G107" t="s">
        <v>35</v>
      </c>
      <c r="H107" t="s">
        <v>15</v>
      </c>
    </row>
    <row r="108" spans="1:8" x14ac:dyDescent="0.2">
      <c r="A108" t="s">
        <v>1198</v>
      </c>
      <c r="B108" t="s">
        <v>1174</v>
      </c>
      <c r="C108" t="s">
        <v>1092</v>
      </c>
      <c r="D108" t="s">
        <v>1096</v>
      </c>
      <c r="E108">
        <v>73823.108999999997</v>
      </c>
      <c r="F108">
        <v>27</v>
      </c>
      <c r="G108" t="s">
        <v>1093</v>
      </c>
      <c r="H108" t="s">
        <v>15</v>
      </c>
    </row>
    <row r="109" spans="1:8" x14ac:dyDescent="0.2">
      <c r="A109" t="s">
        <v>1198</v>
      </c>
      <c r="B109" t="s">
        <v>1099</v>
      </c>
      <c r="C109" t="s">
        <v>1100</v>
      </c>
      <c r="D109" t="s">
        <v>35</v>
      </c>
      <c r="E109">
        <v>73823.108999999997</v>
      </c>
      <c r="F109">
        <v>27</v>
      </c>
      <c r="G109" t="s">
        <v>35</v>
      </c>
      <c r="H109" t="s">
        <v>15</v>
      </c>
    </row>
    <row r="110" spans="1:8" x14ac:dyDescent="0.2">
      <c r="A110" t="s">
        <v>1199</v>
      </c>
      <c r="B110" t="s">
        <v>1200</v>
      </c>
      <c r="C110" t="s">
        <v>1092</v>
      </c>
      <c r="D110" t="s">
        <v>1058</v>
      </c>
      <c r="E110">
        <v>433264.00099999999</v>
      </c>
      <c r="F110">
        <v>58</v>
      </c>
      <c r="G110" t="s">
        <v>1093</v>
      </c>
      <c r="H110" t="s">
        <v>15</v>
      </c>
    </row>
    <row r="111" spans="1:8" x14ac:dyDescent="0.2">
      <c r="A111" t="s">
        <v>1199</v>
      </c>
      <c r="B111" t="s">
        <v>1099</v>
      </c>
      <c r="C111" t="s">
        <v>1100</v>
      </c>
      <c r="D111" t="s">
        <v>35</v>
      </c>
      <c r="E111">
        <v>433264.00099999999</v>
      </c>
      <c r="F111">
        <v>58</v>
      </c>
      <c r="G111" t="s">
        <v>35</v>
      </c>
      <c r="H111" t="s">
        <v>15</v>
      </c>
    </row>
    <row r="112" spans="1:8" x14ac:dyDescent="0.2">
      <c r="A112" t="s">
        <v>1201</v>
      </c>
      <c r="B112" t="s">
        <v>1202</v>
      </c>
      <c r="C112" t="s">
        <v>1092</v>
      </c>
      <c r="D112" t="s">
        <v>1096</v>
      </c>
      <c r="E112">
        <v>176338.33100000001</v>
      </c>
      <c r="F112">
        <v>20</v>
      </c>
      <c r="G112" t="s">
        <v>1093</v>
      </c>
      <c r="H112" t="s">
        <v>15</v>
      </c>
    </row>
    <row r="113" spans="1:8" x14ac:dyDescent="0.2">
      <c r="A113" t="s">
        <v>1201</v>
      </c>
      <c r="B113" t="s">
        <v>1099</v>
      </c>
      <c r="C113" t="s">
        <v>1100</v>
      </c>
      <c r="D113" t="s">
        <v>35</v>
      </c>
      <c r="E113">
        <v>176338.33100000001</v>
      </c>
      <c r="F113">
        <v>20</v>
      </c>
      <c r="G113" t="s">
        <v>35</v>
      </c>
      <c r="H113" t="s">
        <v>15</v>
      </c>
    </row>
    <row r="114" spans="1:8" x14ac:dyDescent="0.2">
      <c r="A114" t="s">
        <v>369</v>
      </c>
      <c r="B114" t="s">
        <v>1203</v>
      </c>
      <c r="C114" t="s">
        <v>1092</v>
      </c>
      <c r="D114" t="s">
        <v>1096</v>
      </c>
      <c r="E114">
        <v>86504.885999999999</v>
      </c>
      <c r="F114">
        <v>5</v>
      </c>
      <c r="G114" t="s">
        <v>1103</v>
      </c>
      <c r="H114" t="s">
        <v>15</v>
      </c>
    </row>
    <row r="115" spans="1:8" x14ac:dyDescent="0.2">
      <c r="A115" t="s">
        <v>369</v>
      </c>
      <c r="B115" t="s">
        <v>1099</v>
      </c>
      <c r="C115" t="s">
        <v>1100</v>
      </c>
      <c r="D115" t="s">
        <v>35</v>
      </c>
      <c r="E115">
        <v>86504.885999999999</v>
      </c>
      <c r="F115">
        <v>5</v>
      </c>
      <c r="G115" t="s">
        <v>35</v>
      </c>
      <c r="H115" t="s">
        <v>15</v>
      </c>
    </row>
    <row r="116" spans="1:8" x14ac:dyDescent="0.2">
      <c r="A116" t="s">
        <v>1204</v>
      </c>
      <c r="B116" t="s">
        <v>1205</v>
      </c>
      <c r="C116" t="s">
        <v>1092</v>
      </c>
      <c r="D116" t="s">
        <v>1061</v>
      </c>
      <c r="E116">
        <v>151780.50810000001</v>
      </c>
      <c r="F116">
        <v>65</v>
      </c>
      <c r="G116" t="s">
        <v>1103</v>
      </c>
      <c r="H116" t="s">
        <v>15</v>
      </c>
    </row>
    <row r="117" spans="1:8" x14ac:dyDescent="0.2">
      <c r="A117" t="s">
        <v>1204</v>
      </c>
      <c r="B117" t="s">
        <v>1099</v>
      </c>
      <c r="C117" t="s">
        <v>1100</v>
      </c>
      <c r="D117" t="s">
        <v>35</v>
      </c>
      <c r="E117">
        <v>151780.50810000001</v>
      </c>
      <c r="F117">
        <v>65</v>
      </c>
      <c r="G117" t="s">
        <v>35</v>
      </c>
      <c r="H117" t="s">
        <v>15</v>
      </c>
    </row>
    <row r="118" spans="1:8" x14ac:dyDescent="0.2">
      <c r="A118" t="s">
        <v>215</v>
      </c>
      <c r="B118" t="s">
        <v>1206</v>
      </c>
      <c r="C118" t="s">
        <v>1092</v>
      </c>
      <c r="D118" t="s">
        <v>1061</v>
      </c>
      <c r="E118">
        <v>93871</v>
      </c>
      <c r="F118">
        <v>239</v>
      </c>
      <c r="G118" t="s">
        <v>1107</v>
      </c>
      <c r="H118" t="s">
        <v>15</v>
      </c>
    </row>
    <row r="119" spans="1:8" x14ac:dyDescent="0.2">
      <c r="A119" t="s">
        <v>215</v>
      </c>
      <c r="B119" t="s">
        <v>1207</v>
      </c>
      <c r="C119" t="s">
        <v>1092</v>
      </c>
      <c r="D119" t="s">
        <v>1061</v>
      </c>
      <c r="E119">
        <v>587254</v>
      </c>
      <c r="F119">
        <v>101</v>
      </c>
      <c r="G119" t="s">
        <v>1107</v>
      </c>
      <c r="H119" t="s">
        <v>15</v>
      </c>
    </row>
    <row r="120" spans="1:8" x14ac:dyDescent="0.2">
      <c r="A120" t="s">
        <v>215</v>
      </c>
      <c r="B120" t="s">
        <v>1208</v>
      </c>
      <c r="C120" t="s">
        <v>1092</v>
      </c>
      <c r="D120" t="s">
        <v>1061</v>
      </c>
      <c r="E120">
        <v>649465</v>
      </c>
      <c r="F120">
        <v>253770</v>
      </c>
      <c r="G120" t="s">
        <v>1109</v>
      </c>
      <c r="H120" t="s">
        <v>15</v>
      </c>
    </row>
    <row r="121" spans="1:8" x14ac:dyDescent="0.2">
      <c r="A121" t="s">
        <v>215</v>
      </c>
      <c r="B121" t="s">
        <v>1209</v>
      </c>
      <c r="C121" t="s">
        <v>1092</v>
      </c>
      <c r="D121" t="s">
        <v>1061</v>
      </c>
      <c r="E121">
        <v>632159</v>
      </c>
      <c r="F121">
        <v>16</v>
      </c>
      <c r="G121" t="s">
        <v>1107</v>
      </c>
      <c r="H121" t="s">
        <v>15</v>
      </c>
    </row>
    <row r="122" spans="1:8" x14ac:dyDescent="0.2">
      <c r="A122" t="s">
        <v>215</v>
      </c>
      <c r="B122" t="s">
        <v>1099</v>
      </c>
      <c r="C122" t="s">
        <v>1100</v>
      </c>
      <c r="D122" t="s">
        <v>35</v>
      </c>
      <c r="E122">
        <v>1962749</v>
      </c>
      <c r="F122">
        <v>254126</v>
      </c>
      <c r="G122" t="s">
        <v>35</v>
      </c>
      <c r="H122" t="s">
        <v>15</v>
      </c>
    </row>
    <row r="123" spans="1:8" x14ac:dyDescent="0.2">
      <c r="A123" t="s">
        <v>105</v>
      </c>
      <c r="B123" t="s">
        <v>1210</v>
      </c>
      <c r="C123" t="s">
        <v>1092</v>
      </c>
      <c r="D123" t="s">
        <v>1058</v>
      </c>
      <c r="E123">
        <v>87240.444527</v>
      </c>
      <c r="F123">
        <v>14</v>
      </c>
      <c r="G123" t="s">
        <v>1093</v>
      </c>
      <c r="H123" t="s">
        <v>15</v>
      </c>
    </row>
    <row r="124" spans="1:8" x14ac:dyDescent="0.2">
      <c r="A124" t="s">
        <v>105</v>
      </c>
      <c r="B124" t="s">
        <v>1099</v>
      </c>
      <c r="C124" t="s">
        <v>1100</v>
      </c>
      <c r="D124" t="s">
        <v>35</v>
      </c>
      <c r="E124">
        <v>87240.444527</v>
      </c>
      <c r="F124">
        <v>14</v>
      </c>
      <c r="G124" t="s">
        <v>35</v>
      </c>
      <c r="H124" t="s">
        <v>15</v>
      </c>
    </row>
    <row r="125" spans="1:8" x14ac:dyDescent="0.2">
      <c r="A125" t="s">
        <v>1211</v>
      </c>
      <c r="B125" t="s">
        <v>1212</v>
      </c>
      <c r="C125" t="s">
        <v>1092</v>
      </c>
      <c r="D125" t="s">
        <v>1126</v>
      </c>
      <c r="E125">
        <v>640601.55599999998</v>
      </c>
      <c r="F125">
        <v>164</v>
      </c>
      <c r="G125" t="s">
        <v>1093</v>
      </c>
      <c r="H125" t="s">
        <v>15</v>
      </c>
    </row>
    <row r="126" spans="1:8" x14ac:dyDescent="0.2">
      <c r="A126" t="s">
        <v>1211</v>
      </c>
      <c r="B126" t="s">
        <v>1099</v>
      </c>
      <c r="C126" t="s">
        <v>1100</v>
      </c>
      <c r="D126" t="s">
        <v>35</v>
      </c>
      <c r="E126">
        <v>640601.55599999998</v>
      </c>
      <c r="F126">
        <v>164</v>
      </c>
      <c r="G126" t="s">
        <v>35</v>
      </c>
      <c r="H126" t="s">
        <v>15</v>
      </c>
    </row>
    <row r="127" spans="1:8" x14ac:dyDescent="0.2">
      <c r="A127" t="s">
        <v>1213</v>
      </c>
      <c r="B127" t="s">
        <v>1214</v>
      </c>
      <c r="C127" t="s">
        <v>1092</v>
      </c>
      <c r="D127" t="s">
        <v>1215</v>
      </c>
      <c r="E127">
        <v>34131.862000000001</v>
      </c>
      <c r="F127">
        <v>0</v>
      </c>
      <c r="G127" t="s">
        <v>1103</v>
      </c>
      <c r="H127" t="s">
        <v>15</v>
      </c>
    </row>
    <row r="128" spans="1:8" x14ac:dyDescent="0.2">
      <c r="A128" t="s">
        <v>1213</v>
      </c>
      <c r="B128" t="s">
        <v>1099</v>
      </c>
      <c r="C128" t="s">
        <v>1100</v>
      </c>
      <c r="D128" t="s">
        <v>35</v>
      </c>
      <c r="E128">
        <v>34131.862000000001</v>
      </c>
      <c r="F128">
        <v>0</v>
      </c>
      <c r="G128" t="s">
        <v>35</v>
      </c>
      <c r="H128" t="s">
        <v>15</v>
      </c>
    </row>
    <row r="129" spans="1:8" x14ac:dyDescent="0.2">
      <c r="A129" t="s">
        <v>1216</v>
      </c>
      <c r="B129" t="s">
        <v>1217</v>
      </c>
      <c r="C129" t="s">
        <v>1092</v>
      </c>
      <c r="D129" t="s">
        <v>1096</v>
      </c>
      <c r="E129">
        <v>879788.98199999996</v>
      </c>
      <c r="F129">
        <v>222</v>
      </c>
      <c r="G129" t="s">
        <v>1093</v>
      </c>
      <c r="H129" t="s">
        <v>15</v>
      </c>
    </row>
    <row r="130" spans="1:8" x14ac:dyDescent="0.2">
      <c r="A130" t="s">
        <v>1216</v>
      </c>
      <c r="B130" t="s">
        <v>1099</v>
      </c>
      <c r="C130" t="s">
        <v>1100</v>
      </c>
      <c r="D130" t="s">
        <v>35</v>
      </c>
      <c r="E130">
        <v>879788.98199999996</v>
      </c>
      <c r="F130">
        <v>222</v>
      </c>
      <c r="G130" t="s">
        <v>35</v>
      </c>
      <c r="H130" t="s">
        <v>15</v>
      </c>
    </row>
    <row r="131" spans="1:8" x14ac:dyDescent="0.2">
      <c r="A131" t="s">
        <v>1218</v>
      </c>
      <c r="B131" t="s">
        <v>1219</v>
      </c>
      <c r="C131" t="s">
        <v>1092</v>
      </c>
      <c r="D131" t="s">
        <v>1058</v>
      </c>
      <c r="E131">
        <v>587100.26899999997</v>
      </c>
      <c r="F131">
        <v>151</v>
      </c>
      <c r="G131" t="s">
        <v>1103</v>
      </c>
      <c r="H131" t="s">
        <v>15</v>
      </c>
    </row>
    <row r="132" spans="1:8" x14ac:dyDescent="0.2">
      <c r="A132" t="s">
        <v>1218</v>
      </c>
      <c r="B132" t="s">
        <v>1220</v>
      </c>
      <c r="C132" t="s">
        <v>1092</v>
      </c>
      <c r="D132" t="s">
        <v>1096</v>
      </c>
      <c r="E132">
        <v>106075.659</v>
      </c>
      <c r="F132">
        <v>25</v>
      </c>
      <c r="G132" t="s">
        <v>1103</v>
      </c>
      <c r="H132" t="s">
        <v>15</v>
      </c>
    </row>
    <row r="133" spans="1:8" x14ac:dyDescent="0.2">
      <c r="A133" t="s">
        <v>1218</v>
      </c>
      <c r="B133" t="s">
        <v>1221</v>
      </c>
      <c r="C133" t="s">
        <v>1092</v>
      </c>
      <c r="D133" t="s">
        <v>1096</v>
      </c>
      <c r="E133">
        <v>0</v>
      </c>
      <c r="F133">
        <v>15</v>
      </c>
      <c r="G133" t="s">
        <v>1191</v>
      </c>
      <c r="H133" t="s">
        <v>15</v>
      </c>
    </row>
    <row r="134" spans="1:8" x14ac:dyDescent="0.2">
      <c r="A134" t="s">
        <v>1218</v>
      </c>
      <c r="B134" t="s">
        <v>1222</v>
      </c>
      <c r="C134" t="s">
        <v>1092</v>
      </c>
      <c r="D134" t="s">
        <v>1223</v>
      </c>
      <c r="E134">
        <v>116555.14</v>
      </c>
      <c r="F134">
        <v>31</v>
      </c>
      <c r="G134" t="s">
        <v>1103</v>
      </c>
      <c r="H134" t="s">
        <v>15</v>
      </c>
    </row>
    <row r="135" spans="1:8" x14ac:dyDescent="0.2">
      <c r="A135" t="s">
        <v>1218</v>
      </c>
      <c r="B135" t="s">
        <v>1224</v>
      </c>
      <c r="C135" t="s">
        <v>1092</v>
      </c>
      <c r="D135" t="s">
        <v>1058</v>
      </c>
      <c r="E135">
        <v>0</v>
      </c>
      <c r="F135">
        <v>2</v>
      </c>
      <c r="G135" t="s">
        <v>1191</v>
      </c>
      <c r="H135" t="s">
        <v>15</v>
      </c>
    </row>
    <row r="136" spans="1:8" x14ac:dyDescent="0.2">
      <c r="A136" t="s">
        <v>1218</v>
      </c>
      <c r="B136" t="s">
        <v>1225</v>
      </c>
      <c r="C136" t="s">
        <v>1092</v>
      </c>
      <c r="D136" t="s">
        <v>1058</v>
      </c>
      <c r="E136">
        <v>0</v>
      </c>
      <c r="F136">
        <v>7</v>
      </c>
      <c r="G136" t="s">
        <v>1191</v>
      </c>
      <c r="H136" t="s">
        <v>15</v>
      </c>
    </row>
    <row r="137" spans="1:8" x14ac:dyDescent="0.2">
      <c r="A137" t="s">
        <v>1218</v>
      </c>
      <c r="B137" t="s">
        <v>1226</v>
      </c>
      <c r="C137" t="s">
        <v>1092</v>
      </c>
      <c r="D137" t="s">
        <v>1058</v>
      </c>
      <c r="E137">
        <v>0</v>
      </c>
      <c r="F137">
        <v>7</v>
      </c>
      <c r="G137" t="s">
        <v>1191</v>
      </c>
      <c r="H137" t="s">
        <v>15</v>
      </c>
    </row>
    <row r="138" spans="1:8" x14ac:dyDescent="0.2">
      <c r="A138" t="s">
        <v>1218</v>
      </c>
      <c r="B138" t="s">
        <v>1099</v>
      </c>
      <c r="C138" t="s">
        <v>1100</v>
      </c>
      <c r="D138" t="s">
        <v>35</v>
      </c>
      <c r="E138">
        <v>809731.06799999997</v>
      </c>
      <c r="F138">
        <v>238</v>
      </c>
      <c r="G138" t="s">
        <v>35</v>
      </c>
      <c r="H138" t="s">
        <v>15</v>
      </c>
    </row>
    <row r="139" spans="1:8" x14ac:dyDescent="0.2">
      <c r="A139" t="s">
        <v>105</v>
      </c>
      <c r="B139" t="s">
        <v>1227</v>
      </c>
      <c r="C139" t="s">
        <v>1092</v>
      </c>
      <c r="D139" t="s">
        <v>1058</v>
      </c>
      <c r="E139">
        <v>40815.623829999997</v>
      </c>
      <c r="F139">
        <v>21468</v>
      </c>
      <c r="G139" t="s">
        <v>1228</v>
      </c>
      <c r="H139" t="s">
        <v>15</v>
      </c>
    </row>
    <row r="140" spans="1:8" x14ac:dyDescent="0.2">
      <c r="A140" t="s">
        <v>105</v>
      </c>
      <c r="B140" t="s">
        <v>1229</v>
      </c>
      <c r="C140" t="s">
        <v>1092</v>
      </c>
      <c r="D140" t="s">
        <v>1061</v>
      </c>
      <c r="E140">
        <v>93832.904467999993</v>
      </c>
      <c r="F140">
        <v>53297</v>
      </c>
      <c r="G140" t="s">
        <v>1228</v>
      </c>
      <c r="H140" t="s">
        <v>15</v>
      </c>
    </row>
    <row r="141" spans="1:8" x14ac:dyDescent="0.2">
      <c r="A141" t="s">
        <v>105</v>
      </c>
      <c r="B141" t="s">
        <v>1230</v>
      </c>
      <c r="C141" t="s">
        <v>1092</v>
      </c>
      <c r="D141" t="s">
        <v>1061</v>
      </c>
      <c r="E141">
        <v>108262.04642300001</v>
      </c>
      <c r="F141">
        <v>56189</v>
      </c>
      <c r="G141" t="s">
        <v>1228</v>
      </c>
      <c r="H141" t="s">
        <v>15</v>
      </c>
    </row>
    <row r="142" spans="1:8" x14ac:dyDescent="0.2">
      <c r="A142" t="s">
        <v>105</v>
      </c>
      <c r="B142" t="s">
        <v>1099</v>
      </c>
      <c r="C142" t="s">
        <v>1100</v>
      </c>
      <c r="D142" t="s">
        <v>35</v>
      </c>
      <c r="E142">
        <v>242910.57472100001</v>
      </c>
      <c r="F142">
        <v>130954</v>
      </c>
      <c r="G142" t="s">
        <v>35</v>
      </c>
      <c r="H142" t="s">
        <v>15</v>
      </c>
    </row>
    <row r="143" spans="1:8" x14ac:dyDescent="0.2">
      <c r="A143" t="s">
        <v>105</v>
      </c>
      <c r="B143" t="s">
        <v>1231</v>
      </c>
      <c r="C143" t="s">
        <v>1092</v>
      </c>
      <c r="D143" t="s">
        <v>1058</v>
      </c>
      <c r="E143">
        <v>35918.959009999999</v>
      </c>
      <c r="F143">
        <v>20435</v>
      </c>
      <c r="G143" t="s">
        <v>1228</v>
      </c>
      <c r="H143" t="s">
        <v>15</v>
      </c>
    </row>
    <row r="144" spans="1:8" x14ac:dyDescent="0.2">
      <c r="A144" t="s">
        <v>105</v>
      </c>
      <c r="B144" t="s">
        <v>1099</v>
      </c>
      <c r="C144" t="s">
        <v>1100</v>
      </c>
      <c r="D144" t="s">
        <v>35</v>
      </c>
      <c r="E144">
        <v>35918.959009999999</v>
      </c>
      <c r="F144">
        <v>20435</v>
      </c>
      <c r="G144" t="s">
        <v>35</v>
      </c>
      <c r="H144" t="s">
        <v>15</v>
      </c>
    </row>
    <row r="145" spans="1:8" x14ac:dyDescent="0.2">
      <c r="A145" t="s">
        <v>105</v>
      </c>
      <c r="B145" t="s">
        <v>1232</v>
      </c>
      <c r="C145" t="s">
        <v>1092</v>
      </c>
      <c r="D145" t="s">
        <v>1058</v>
      </c>
      <c r="E145">
        <v>228314.23905400001</v>
      </c>
      <c r="F145">
        <v>146960</v>
      </c>
      <c r="G145" t="s">
        <v>1228</v>
      </c>
      <c r="H145" t="s">
        <v>15</v>
      </c>
    </row>
    <row r="146" spans="1:8" x14ac:dyDescent="0.2">
      <c r="A146" t="s">
        <v>105</v>
      </c>
      <c r="B146" t="s">
        <v>1233</v>
      </c>
      <c r="C146" t="s">
        <v>1092</v>
      </c>
      <c r="D146" t="s">
        <v>1058</v>
      </c>
      <c r="E146">
        <v>137883.79234000001</v>
      </c>
      <c r="F146">
        <v>91695</v>
      </c>
      <c r="G146" t="s">
        <v>1228</v>
      </c>
      <c r="H146" t="s">
        <v>15</v>
      </c>
    </row>
    <row r="147" spans="1:8" x14ac:dyDescent="0.2">
      <c r="A147" t="s">
        <v>105</v>
      </c>
      <c r="B147" t="s">
        <v>1099</v>
      </c>
      <c r="C147" t="s">
        <v>1100</v>
      </c>
      <c r="D147" t="s">
        <v>35</v>
      </c>
      <c r="E147">
        <v>366198.03139399999</v>
      </c>
      <c r="F147">
        <v>238655</v>
      </c>
      <c r="G147" t="s">
        <v>35</v>
      </c>
      <c r="H147" t="s">
        <v>15</v>
      </c>
    </row>
    <row r="148" spans="1:8" x14ac:dyDescent="0.2">
      <c r="A148" t="s">
        <v>105</v>
      </c>
      <c r="B148" t="s">
        <v>1234</v>
      </c>
      <c r="C148" t="s">
        <v>1092</v>
      </c>
      <c r="D148" t="s">
        <v>1061</v>
      </c>
      <c r="E148">
        <v>143636.568401</v>
      </c>
      <c r="F148">
        <v>80445</v>
      </c>
      <c r="G148" t="s">
        <v>1228</v>
      </c>
      <c r="H148" t="s">
        <v>15</v>
      </c>
    </row>
    <row r="149" spans="1:8" x14ac:dyDescent="0.2">
      <c r="A149" t="s">
        <v>105</v>
      </c>
      <c r="B149" t="s">
        <v>1099</v>
      </c>
      <c r="C149" t="s">
        <v>1100</v>
      </c>
      <c r="D149" t="s">
        <v>35</v>
      </c>
      <c r="E149">
        <v>143636.568401</v>
      </c>
      <c r="F149">
        <v>80445</v>
      </c>
      <c r="G149" t="s">
        <v>35</v>
      </c>
      <c r="H149" t="s">
        <v>15</v>
      </c>
    </row>
    <row r="150" spans="1:8" x14ac:dyDescent="0.2">
      <c r="A150" t="s">
        <v>105</v>
      </c>
      <c r="B150" t="s">
        <v>1235</v>
      </c>
      <c r="C150" t="s">
        <v>1092</v>
      </c>
      <c r="D150" t="s">
        <v>1223</v>
      </c>
      <c r="E150">
        <v>13896.953</v>
      </c>
      <c r="F150">
        <v>4960</v>
      </c>
      <c r="G150" t="s">
        <v>1236</v>
      </c>
      <c r="H150" t="s">
        <v>15</v>
      </c>
    </row>
    <row r="151" spans="1:8" x14ac:dyDescent="0.2">
      <c r="A151" t="s">
        <v>105</v>
      </c>
      <c r="B151" t="s">
        <v>1099</v>
      </c>
      <c r="C151" t="s">
        <v>1100</v>
      </c>
      <c r="D151" t="s">
        <v>35</v>
      </c>
      <c r="E151">
        <v>13896.953</v>
      </c>
      <c r="F151">
        <v>4960</v>
      </c>
      <c r="G151" t="s">
        <v>35</v>
      </c>
      <c r="H151" t="s">
        <v>15</v>
      </c>
    </row>
    <row r="152" spans="1:8" x14ac:dyDescent="0.2">
      <c r="A152" t="s">
        <v>105</v>
      </c>
      <c r="B152" t="s">
        <v>1237</v>
      </c>
      <c r="C152" t="s">
        <v>1092</v>
      </c>
      <c r="D152" t="s">
        <v>1058</v>
      </c>
      <c r="E152">
        <v>3906.8379</v>
      </c>
      <c r="F152">
        <v>288</v>
      </c>
      <c r="G152" t="s">
        <v>1238</v>
      </c>
      <c r="H152" t="s">
        <v>15</v>
      </c>
    </row>
    <row r="153" spans="1:8" x14ac:dyDescent="0.2">
      <c r="A153" t="s">
        <v>105</v>
      </c>
      <c r="B153" t="s">
        <v>1239</v>
      </c>
      <c r="C153" t="s">
        <v>1092</v>
      </c>
      <c r="D153" t="s">
        <v>1058</v>
      </c>
      <c r="E153">
        <v>780.29629999999997</v>
      </c>
      <c r="F153">
        <v>75</v>
      </c>
      <c r="G153" t="s">
        <v>1238</v>
      </c>
      <c r="H153" t="s">
        <v>15</v>
      </c>
    </row>
    <row r="154" spans="1:8" x14ac:dyDescent="0.2">
      <c r="A154" t="s">
        <v>105</v>
      </c>
      <c r="B154" t="s">
        <v>1240</v>
      </c>
      <c r="C154" t="s">
        <v>1092</v>
      </c>
      <c r="D154" t="s">
        <v>1058</v>
      </c>
      <c r="E154">
        <v>6097.0869419999999</v>
      </c>
      <c r="F154">
        <v>483</v>
      </c>
      <c r="G154" t="s">
        <v>1238</v>
      </c>
      <c r="H154" t="s">
        <v>15</v>
      </c>
    </row>
    <row r="155" spans="1:8" x14ac:dyDescent="0.2">
      <c r="A155" t="s">
        <v>105</v>
      </c>
      <c r="B155" t="s">
        <v>1241</v>
      </c>
      <c r="C155" t="s">
        <v>1092</v>
      </c>
      <c r="D155" t="s">
        <v>1058</v>
      </c>
      <c r="E155">
        <v>21513.876390000001</v>
      </c>
      <c r="F155">
        <v>1673</v>
      </c>
      <c r="G155" t="s">
        <v>1238</v>
      </c>
      <c r="H155" t="s">
        <v>15</v>
      </c>
    </row>
    <row r="156" spans="1:8" x14ac:dyDescent="0.2">
      <c r="A156" t="s">
        <v>105</v>
      </c>
      <c r="B156" t="s">
        <v>1242</v>
      </c>
      <c r="C156" t="s">
        <v>1092</v>
      </c>
      <c r="D156" t="s">
        <v>1058</v>
      </c>
      <c r="E156">
        <v>117953.09474099999</v>
      </c>
      <c r="F156">
        <v>9589</v>
      </c>
      <c r="G156" t="s">
        <v>1238</v>
      </c>
      <c r="H156" t="s">
        <v>15</v>
      </c>
    </row>
    <row r="157" spans="1:8" x14ac:dyDescent="0.2">
      <c r="A157" t="s">
        <v>105</v>
      </c>
      <c r="B157" t="s">
        <v>1099</v>
      </c>
      <c r="C157" t="s">
        <v>1100</v>
      </c>
      <c r="D157" t="s">
        <v>35</v>
      </c>
      <c r="E157">
        <v>150251.19227299999</v>
      </c>
      <c r="F157">
        <v>12108</v>
      </c>
      <c r="G157" t="s">
        <v>35</v>
      </c>
      <c r="H157" t="s">
        <v>15</v>
      </c>
    </row>
    <row r="158" spans="1:8" x14ac:dyDescent="0.2">
      <c r="A158" t="s">
        <v>105</v>
      </c>
      <c r="B158" t="s">
        <v>1243</v>
      </c>
      <c r="C158" t="s">
        <v>1092</v>
      </c>
      <c r="D158" t="s">
        <v>1061</v>
      </c>
      <c r="E158">
        <v>15223.000167</v>
      </c>
      <c r="F158">
        <v>1161</v>
      </c>
      <c r="G158" t="s">
        <v>1238</v>
      </c>
      <c r="H158" t="s">
        <v>15</v>
      </c>
    </row>
    <row r="159" spans="1:8" x14ac:dyDescent="0.2">
      <c r="A159" t="s">
        <v>105</v>
      </c>
      <c r="B159" t="s">
        <v>1099</v>
      </c>
      <c r="C159" t="s">
        <v>1100</v>
      </c>
      <c r="D159" t="s">
        <v>35</v>
      </c>
      <c r="E159">
        <v>15223.000167</v>
      </c>
      <c r="F159">
        <v>1161</v>
      </c>
      <c r="G159" t="s">
        <v>35</v>
      </c>
      <c r="H159" t="s">
        <v>15</v>
      </c>
    </row>
    <row r="160" spans="1:8" x14ac:dyDescent="0.2">
      <c r="A160" t="s">
        <v>105</v>
      </c>
      <c r="B160" t="s">
        <v>1244</v>
      </c>
      <c r="C160" t="s">
        <v>1092</v>
      </c>
      <c r="D160" t="s">
        <v>1052</v>
      </c>
      <c r="E160">
        <v>4036.866</v>
      </c>
      <c r="F160">
        <v>785</v>
      </c>
      <c r="G160" t="s">
        <v>1238</v>
      </c>
      <c r="H160" t="s">
        <v>15</v>
      </c>
    </row>
    <row r="161" spans="1:8" x14ac:dyDescent="0.2">
      <c r="A161" t="s">
        <v>105</v>
      </c>
      <c r="B161" t="s">
        <v>1245</v>
      </c>
      <c r="C161" t="s">
        <v>1092</v>
      </c>
      <c r="D161" t="s">
        <v>1052</v>
      </c>
      <c r="E161">
        <v>16005.872600000001</v>
      </c>
      <c r="F161">
        <v>1222</v>
      </c>
      <c r="G161" t="s">
        <v>1238</v>
      </c>
      <c r="H161" t="s">
        <v>15</v>
      </c>
    </row>
    <row r="162" spans="1:8" x14ac:dyDescent="0.2">
      <c r="A162" t="s">
        <v>105</v>
      </c>
      <c r="B162" t="s">
        <v>1099</v>
      </c>
      <c r="C162" t="s">
        <v>1100</v>
      </c>
      <c r="D162" t="s">
        <v>35</v>
      </c>
      <c r="E162">
        <v>20042.738600000001</v>
      </c>
      <c r="F162">
        <v>2007</v>
      </c>
      <c r="G162" t="s">
        <v>35</v>
      </c>
      <c r="H162" t="s">
        <v>15</v>
      </c>
    </row>
    <row r="163" spans="1:8" x14ac:dyDescent="0.2">
      <c r="A163" t="s">
        <v>105</v>
      </c>
      <c r="B163" t="s">
        <v>1246</v>
      </c>
      <c r="C163" t="s">
        <v>1092</v>
      </c>
      <c r="D163" t="s">
        <v>1096</v>
      </c>
      <c r="E163">
        <v>0</v>
      </c>
      <c r="F163">
        <v>0</v>
      </c>
      <c r="G163" t="s">
        <v>1238</v>
      </c>
      <c r="H163" t="s">
        <v>15</v>
      </c>
    </row>
    <row r="164" spans="1:8" x14ac:dyDescent="0.2">
      <c r="A164" t="s">
        <v>105</v>
      </c>
      <c r="B164" t="s">
        <v>1247</v>
      </c>
      <c r="C164" t="s">
        <v>1092</v>
      </c>
      <c r="D164" t="s">
        <v>1096</v>
      </c>
      <c r="E164">
        <v>213.64573200000001</v>
      </c>
      <c r="F164">
        <v>19</v>
      </c>
      <c r="G164" t="s">
        <v>1238</v>
      </c>
      <c r="H164" t="s">
        <v>15</v>
      </c>
    </row>
    <row r="165" spans="1:8" x14ac:dyDescent="0.2">
      <c r="A165" t="s">
        <v>105</v>
      </c>
      <c r="B165" t="s">
        <v>1248</v>
      </c>
      <c r="C165" t="s">
        <v>1092</v>
      </c>
      <c r="D165" t="s">
        <v>1096</v>
      </c>
      <c r="E165">
        <v>4728.5028419999999</v>
      </c>
      <c r="F165">
        <v>363</v>
      </c>
      <c r="G165" t="s">
        <v>1238</v>
      </c>
      <c r="H165" t="s">
        <v>15</v>
      </c>
    </row>
    <row r="166" spans="1:8" x14ac:dyDescent="0.2">
      <c r="A166" t="s">
        <v>105</v>
      </c>
      <c r="B166" t="s">
        <v>1249</v>
      </c>
      <c r="C166" t="s">
        <v>1092</v>
      </c>
      <c r="D166" t="s">
        <v>1096</v>
      </c>
      <c r="E166">
        <v>53413.296981</v>
      </c>
      <c r="F166">
        <v>3519</v>
      </c>
      <c r="G166" t="s">
        <v>1238</v>
      </c>
      <c r="H166" t="s">
        <v>15</v>
      </c>
    </row>
    <row r="167" spans="1:8" x14ac:dyDescent="0.2">
      <c r="A167" t="s">
        <v>105</v>
      </c>
      <c r="B167" t="s">
        <v>1250</v>
      </c>
      <c r="C167" t="s">
        <v>1092</v>
      </c>
      <c r="D167" t="s">
        <v>1096</v>
      </c>
      <c r="E167">
        <v>0</v>
      </c>
      <c r="F167">
        <v>0</v>
      </c>
      <c r="G167" t="s">
        <v>1238</v>
      </c>
      <c r="H167" t="s">
        <v>15</v>
      </c>
    </row>
    <row r="168" spans="1:8" x14ac:dyDescent="0.2">
      <c r="A168" t="s">
        <v>105</v>
      </c>
      <c r="B168" t="s">
        <v>1251</v>
      </c>
      <c r="C168" t="s">
        <v>1092</v>
      </c>
      <c r="D168" t="s">
        <v>1096</v>
      </c>
      <c r="E168">
        <v>0</v>
      </c>
      <c r="F168">
        <v>0</v>
      </c>
      <c r="G168" t="s">
        <v>1238</v>
      </c>
      <c r="H168" t="s">
        <v>15</v>
      </c>
    </row>
    <row r="169" spans="1:8" x14ac:dyDescent="0.2">
      <c r="A169" t="s">
        <v>105</v>
      </c>
      <c r="B169" t="s">
        <v>1099</v>
      </c>
      <c r="C169" t="s">
        <v>1100</v>
      </c>
      <c r="D169" t="s">
        <v>35</v>
      </c>
      <c r="E169">
        <v>58355.445554999998</v>
      </c>
      <c r="F169">
        <v>3901</v>
      </c>
      <c r="G169" t="s">
        <v>35</v>
      </c>
      <c r="H169" t="s">
        <v>15</v>
      </c>
    </row>
    <row r="170" spans="1:8" x14ac:dyDescent="0.2">
      <c r="A170" t="s">
        <v>105</v>
      </c>
      <c r="B170" t="s">
        <v>1252</v>
      </c>
      <c r="C170" t="s">
        <v>1092</v>
      </c>
      <c r="D170" t="s">
        <v>1223</v>
      </c>
      <c r="E170">
        <v>292912.41338899999</v>
      </c>
      <c r="F170">
        <v>153074</v>
      </c>
      <c r="G170" t="s">
        <v>1109</v>
      </c>
      <c r="H170" t="s">
        <v>15</v>
      </c>
    </row>
    <row r="171" spans="1:8" x14ac:dyDescent="0.2">
      <c r="A171" t="s">
        <v>105</v>
      </c>
      <c r="B171" t="s">
        <v>1253</v>
      </c>
      <c r="C171" t="s">
        <v>1092</v>
      </c>
      <c r="D171" t="s">
        <v>1223</v>
      </c>
      <c r="E171">
        <v>215646.34845399999</v>
      </c>
      <c r="F171">
        <v>100836</v>
      </c>
      <c r="G171" t="s">
        <v>1109</v>
      </c>
      <c r="H171" t="s">
        <v>15</v>
      </c>
    </row>
    <row r="172" spans="1:8" x14ac:dyDescent="0.2">
      <c r="A172" t="s">
        <v>105</v>
      </c>
      <c r="B172" t="s">
        <v>1099</v>
      </c>
      <c r="C172" t="s">
        <v>1100</v>
      </c>
      <c r="D172" t="s">
        <v>35</v>
      </c>
      <c r="E172">
        <v>508558.76184300001</v>
      </c>
      <c r="F172">
        <v>253910</v>
      </c>
      <c r="G172" t="s">
        <v>35</v>
      </c>
      <c r="H172" t="s">
        <v>15</v>
      </c>
    </row>
    <row r="173" spans="1:8" x14ac:dyDescent="0.2">
      <c r="A173" t="s">
        <v>105</v>
      </c>
      <c r="B173" t="s">
        <v>1254</v>
      </c>
      <c r="C173" t="s">
        <v>1092</v>
      </c>
      <c r="D173" t="s">
        <v>1126</v>
      </c>
      <c r="E173">
        <v>142675.66391100001</v>
      </c>
      <c r="F173">
        <v>80902</v>
      </c>
      <c r="G173" t="s">
        <v>1109</v>
      </c>
      <c r="H173" t="s">
        <v>15</v>
      </c>
    </row>
    <row r="174" spans="1:8" x14ac:dyDescent="0.2">
      <c r="A174" t="s">
        <v>105</v>
      </c>
      <c r="B174" t="s">
        <v>1255</v>
      </c>
      <c r="C174" t="s">
        <v>1092</v>
      </c>
      <c r="D174" t="s">
        <v>1126</v>
      </c>
      <c r="E174">
        <v>34509.715464000001</v>
      </c>
      <c r="F174">
        <v>21034</v>
      </c>
      <c r="G174" t="s">
        <v>1109</v>
      </c>
      <c r="H174" t="s">
        <v>15</v>
      </c>
    </row>
    <row r="175" spans="1:8" x14ac:dyDescent="0.2">
      <c r="A175" t="s">
        <v>105</v>
      </c>
      <c r="B175" t="s">
        <v>1256</v>
      </c>
      <c r="C175" t="s">
        <v>1092</v>
      </c>
      <c r="D175" t="s">
        <v>1126</v>
      </c>
      <c r="E175">
        <v>14956.381411</v>
      </c>
      <c r="F175">
        <v>9331</v>
      </c>
      <c r="G175" t="s">
        <v>1109</v>
      </c>
      <c r="H175" t="s">
        <v>15</v>
      </c>
    </row>
    <row r="176" spans="1:8" x14ac:dyDescent="0.2">
      <c r="A176" t="s">
        <v>105</v>
      </c>
      <c r="B176" t="s">
        <v>1257</v>
      </c>
      <c r="C176" t="s">
        <v>1092</v>
      </c>
      <c r="D176" t="s">
        <v>1126</v>
      </c>
      <c r="E176">
        <v>11483.988660000001</v>
      </c>
      <c r="F176">
        <v>7543</v>
      </c>
      <c r="G176" t="s">
        <v>1109</v>
      </c>
      <c r="H176" t="s">
        <v>15</v>
      </c>
    </row>
    <row r="177" spans="1:8" x14ac:dyDescent="0.2">
      <c r="A177" t="s">
        <v>105</v>
      </c>
      <c r="B177" t="s">
        <v>1258</v>
      </c>
      <c r="C177" t="s">
        <v>1092</v>
      </c>
      <c r="D177" t="s">
        <v>1126</v>
      </c>
      <c r="E177">
        <v>2866.5381440000001</v>
      </c>
      <c r="F177">
        <v>2123</v>
      </c>
      <c r="G177" t="s">
        <v>1236</v>
      </c>
      <c r="H177" t="s">
        <v>15</v>
      </c>
    </row>
    <row r="178" spans="1:8" x14ac:dyDescent="0.2">
      <c r="A178" t="s">
        <v>105</v>
      </c>
      <c r="B178" t="s">
        <v>1099</v>
      </c>
      <c r="C178" t="s">
        <v>1100</v>
      </c>
      <c r="D178" t="s">
        <v>35</v>
      </c>
      <c r="E178">
        <v>206492.28758999999</v>
      </c>
      <c r="F178">
        <v>120933</v>
      </c>
      <c r="G178" t="s">
        <v>35</v>
      </c>
      <c r="H178" t="s">
        <v>15</v>
      </c>
    </row>
    <row r="179" spans="1:8" x14ac:dyDescent="0.2">
      <c r="A179" t="s">
        <v>105</v>
      </c>
      <c r="B179" t="s">
        <v>1259</v>
      </c>
      <c r="C179" t="s">
        <v>1092</v>
      </c>
      <c r="D179" t="s">
        <v>1061</v>
      </c>
      <c r="E179">
        <v>130160.31869299999</v>
      </c>
      <c r="F179">
        <v>72247</v>
      </c>
      <c r="G179" t="s">
        <v>1228</v>
      </c>
      <c r="H179" t="s">
        <v>15</v>
      </c>
    </row>
    <row r="180" spans="1:8" x14ac:dyDescent="0.2">
      <c r="A180" t="s">
        <v>105</v>
      </c>
      <c r="B180" t="s">
        <v>1260</v>
      </c>
      <c r="C180" t="s">
        <v>1092</v>
      </c>
      <c r="D180" t="s">
        <v>1061</v>
      </c>
      <c r="E180">
        <v>88294.458369</v>
      </c>
      <c r="F180">
        <v>50317</v>
      </c>
      <c r="G180" t="s">
        <v>1228</v>
      </c>
      <c r="H180" t="s">
        <v>15</v>
      </c>
    </row>
    <row r="181" spans="1:8" x14ac:dyDescent="0.2">
      <c r="A181" t="s">
        <v>105</v>
      </c>
      <c r="B181" t="s">
        <v>1261</v>
      </c>
      <c r="C181" t="s">
        <v>1092</v>
      </c>
      <c r="D181" t="s">
        <v>1061</v>
      </c>
      <c r="E181">
        <v>419433.94617000001</v>
      </c>
      <c r="F181">
        <v>242988</v>
      </c>
      <c r="G181" t="s">
        <v>1228</v>
      </c>
      <c r="H181" t="s">
        <v>15</v>
      </c>
    </row>
    <row r="182" spans="1:8" x14ac:dyDescent="0.2">
      <c r="A182" t="s">
        <v>105</v>
      </c>
      <c r="B182" t="s">
        <v>1099</v>
      </c>
      <c r="C182" t="s">
        <v>1100</v>
      </c>
      <c r="D182" t="s">
        <v>35</v>
      </c>
      <c r="E182">
        <v>637888.72323200002</v>
      </c>
      <c r="F182">
        <v>365552</v>
      </c>
      <c r="G182" t="s">
        <v>35</v>
      </c>
      <c r="H182" t="s">
        <v>15</v>
      </c>
    </row>
    <row r="183" spans="1:8" x14ac:dyDescent="0.2">
      <c r="A183" t="s">
        <v>71</v>
      </c>
      <c r="B183" t="s">
        <v>1262</v>
      </c>
      <c r="C183" t="s">
        <v>1092</v>
      </c>
      <c r="D183" t="s">
        <v>1126</v>
      </c>
      <c r="E183">
        <v>0</v>
      </c>
      <c r="F183">
        <v>1</v>
      </c>
      <c r="G183" t="s">
        <v>1191</v>
      </c>
      <c r="H183" t="s">
        <v>15</v>
      </c>
    </row>
    <row r="184" spans="1:8" x14ac:dyDescent="0.2">
      <c r="A184" t="s">
        <v>71</v>
      </c>
      <c r="B184" t="s">
        <v>1263</v>
      </c>
      <c r="C184" t="s">
        <v>1092</v>
      </c>
      <c r="D184" t="s">
        <v>1126</v>
      </c>
      <c r="E184">
        <v>1773.0360000000001</v>
      </c>
      <c r="F184">
        <v>33</v>
      </c>
      <c r="G184" t="s">
        <v>1093</v>
      </c>
      <c r="H184" t="s">
        <v>15</v>
      </c>
    </row>
    <row r="185" spans="1:8" x14ac:dyDescent="0.2">
      <c r="A185" t="s">
        <v>71</v>
      </c>
      <c r="B185" t="s">
        <v>1264</v>
      </c>
      <c r="C185" t="s">
        <v>1092</v>
      </c>
      <c r="D185" t="s">
        <v>1126</v>
      </c>
      <c r="E185">
        <v>807310.67747400003</v>
      </c>
      <c r="F185">
        <v>307892</v>
      </c>
      <c r="G185" t="s">
        <v>1109</v>
      </c>
      <c r="H185" t="s">
        <v>15</v>
      </c>
    </row>
    <row r="186" spans="1:8" x14ac:dyDescent="0.2">
      <c r="A186" t="s">
        <v>71</v>
      </c>
      <c r="B186" t="s">
        <v>1265</v>
      </c>
      <c r="C186" t="s">
        <v>1092</v>
      </c>
      <c r="D186" t="s">
        <v>1126</v>
      </c>
      <c r="E186">
        <v>966990.14007199998</v>
      </c>
      <c r="F186">
        <v>920053</v>
      </c>
      <c r="G186" t="s">
        <v>1111</v>
      </c>
      <c r="H186" t="s">
        <v>15</v>
      </c>
    </row>
    <row r="187" spans="1:8" x14ac:dyDescent="0.2">
      <c r="A187" t="s">
        <v>71</v>
      </c>
      <c r="B187" t="s">
        <v>1266</v>
      </c>
      <c r="C187" t="s">
        <v>1092</v>
      </c>
      <c r="D187" t="s">
        <v>1126</v>
      </c>
      <c r="E187">
        <v>3214.2646500000001</v>
      </c>
      <c r="F187">
        <v>1264</v>
      </c>
      <c r="G187" t="s">
        <v>1236</v>
      </c>
      <c r="H187" t="s">
        <v>15</v>
      </c>
    </row>
    <row r="188" spans="1:8" x14ac:dyDescent="0.2">
      <c r="A188" t="s">
        <v>71</v>
      </c>
      <c r="B188" t="s">
        <v>1267</v>
      </c>
      <c r="C188" t="s">
        <v>1092</v>
      </c>
      <c r="D188" t="s">
        <v>1126</v>
      </c>
      <c r="E188">
        <v>5405.47415</v>
      </c>
      <c r="F188">
        <v>2434</v>
      </c>
      <c r="G188" t="s">
        <v>1236</v>
      </c>
      <c r="H188" t="s">
        <v>15</v>
      </c>
    </row>
    <row r="189" spans="1:8" x14ac:dyDescent="0.2">
      <c r="A189" t="s">
        <v>71</v>
      </c>
      <c r="B189" t="s">
        <v>1268</v>
      </c>
      <c r="C189" t="s">
        <v>1092</v>
      </c>
      <c r="D189" t="s">
        <v>1126</v>
      </c>
      <c r="E189">
        <v>2143.6379999999999</v>
      </c>
      <c r="F189">
        <v>0</v>
      </c>
      <c r="G189" t="s">
        <v>1093</v>
      </c>
      <c r="H189" t="s">
        <v>15</v>
      </c>
    </row>
    <row r="190" spans="1:8" x14ac:dyDescent="0.2">
      <c r="A190" t="s">
        <v>71</v>
      </c>
      <c r="B190" t="s">
        <v>1269</v>
      </c>
      <c r="C190" t="s">
        <v>1092</v>
      </c>
      <c r="D190" t="s">
        <v>1126</v>
      </c>
      <c r="E190">
        <v>8621.3050800000001</v>
      </c>
      <c r="F190">
        <v>8159</v>
      </c>
      <c r="G190" t="s">
        <v>1109</v>
      </c>
      <c r="H190" t="s">
        <v>15</v>
      </c>
    </row>
    <row r="191" spans="1:8" x14ac:dyDescent="0.2">
      <c r="A191" t="s">
        <v>71</v>
      </c>
      <c r="B191" t="s">
        <v>1270</v>
      </c>
      <c r="C191" t="s">
        <v>1092</v>
      </c>
      <c r="D191" t="s">
        <v>1126</v>
      </c>
      <c r="E191">
        <v>0</v>
      </c>
      <c r="F191">
        <v>609</v>
      </c>
      <c r="G191" t="s">
        <v>1191</v>
      </c>
      <c r="H191" t="s">
        <v>15</v>
      </c>
    </row>
    <row r="192" spans="1:8" x14ac:dyDescent="0.2">
      <c r="A192" t="s">
        <v>71</v>
      </c>
      <c r="B192" t="s">
        <v>1271</v>
      </c>
      <c r="C192" t="s">
        <v>1092</v>
      </c>
      <c r="D192" t="s">
        <v>1126</v>
      </c>
      <c r="E192">
        <v>861202.54544899997</v>
      </c>
      <c r="F192">
        <v>455259</v>
      </c>
      <c r="G192" t="s">
        <v>1109</v>
      </c>
      <c r="H192" t="s">
        <v>15</v>
      </c>
    </row>
    <row r="193" spans="1:8" x14ac:dyDescent="0.2">
      <c r="A193" t="s">
        <v>71</v>
      </c>
      <c r="B193" t="s">
        <v>1272</v>
      </c>
      <c r="C193" t="s">
        <v>1092</v>
      </c>
      <c r="D193" t="s">
        <v>1126</v>
      </c>
      <c r="E193">
        <v>3200546.0575390002</v>
      </c>
      <c r="F193">
        <v>3091936</v>
      </c>
      <c r="G193" t="s">
        <v>1111</v>
      </c>
      <c r="H193" t="s">
        <v>15</v>
      </c>
    </row>
    <row r="194" spans="1:8" x14ac:dyDescent="0.2">
      <c r="A194" t="s">
        <v>71</v>
      </c>
      <c r="B194" t="s">
        <v>1273</v>
      </c>
      <c r="C194" t="s">
        <v>1092</v>
      </c>
      <c r="D194" t="s">
        <v>1126</v>
      </c>
      <c r="E194">
        <v>5987.6234370000002</v>
      </c>
      <c r="F194">
        <v>4537</v>
      </c>
      <c r="G194" t="s">
        <v>1109</v>
      </c>
      <c r="H194" t="s">
        <v>15</v>
      </c>
    </row>
    <row r="195" spans="1:8" x14ac:dyDescent="0.2">
      <c r="A195" t="s">
        <v>71</v>
      </c>
      <c r="B195" t="s">
        <v>1274</v>
      </c>
      <c r="C195" t="s">
        <v>1092</v>
      </c>
      <c r="D195" t="s">
        <v>1126</v>
      </c>
      <c r="E195">
        <v>551161.70949000004</v>
      </c>
      <c r="F195">
        <v>569715</v>
      </c>
      <c r="G195" t="s">
        <v>1109</v>
      </c>
      <c r="H195" t="s">
        <v>15</v>
      </c>
    </row>
    <row r="196" spans="1:8" x14ac:dyDescent="0.2">
      <c r="A196" t="s">
        <v>71</v>
      </c>
      <c r="B196" t="s">
        <v>1275</v>
      </c>
      <c r="C196" t="s">
        <v>1092</v>
      </c>
      <c r="D196" t="s">
        <v>1126</v>
      </c>
      <c r="E196">
        <v>0</v>
      </c>
      <c r="F196">
        <v>0</v>
      </c>
      <c r="G196" t="s">
        <v>1191</v>
      </c>
      <c r="H196" t="s">
        <v>15</v>
      </c>
    </row>
    <row r="197" spans="1:8" x14ac:dyDescent="0.2">
      <c r="A197" t="s">
        <v>71</v>
      </c>
      <c r="B197" t="s">
        <v>1099</v>
      </c>
      <c r="C197" t="s">
        <v>1100</v>
      </c>
      <c r="D197" t="s">
        <v>35</v>
      </c>
      <c r="E197">
        <v>6414356.4713409999</v>
      </c>
      <c r="F197">
        <v>5361892</v>
      </c>
      <c r="G197" t="s">
        <v>35</v>
      </c>
      <c r="H197" t="s">
        <v>15</v>
      </c>
    </row>
    <row r="198" spans="1:8" x14ac:dyDescent="0.2">
      <c r="A198" t="s">
        <v>589</v>
      </c>
      <c r="B198" t="s">
        <v>1276</v>
      </c>
      <c r="C198" t="s">
        <v>1092</v>
      </c>
      <c r="D198" t="s">
        <v>1126</v>
      </c>
      <c r="E198">
        <v>503.04950000000002</v>
      </c>
      <c r="F198">
        <v>363</v>
      </c>
      <c r="G198" t="s">
        <v>1236</v>
      </c>
      <c r="H198" t="s">
        <v>15</v>
      </c>
    </row>
    <row r="199" spans="1:8" x14ac:dyDescent="0.2">
      <c r="A199" t="s">
        <v>589</v>
      </c>
      <c r="B199" t="s">
        <v>1099</v>
      </c>
      <c r="C199" t="s">
        <v>1100</v>
      </c>
      <c r="D199" t="s">
        <v>35</v>
      </c>
      <c r="E199">
        <v>503.04950000000002</v>
      </c>
      <c r="F199">
        <v>363</v>
      </c>
      <c r="G199" t="s">
        <v>35</v>
      </c>
      <c r="H199" t="s">
        <v>15</v>
      </c>
    </row>
    <row r="200" spans="1:8" x14ac:dyDescent="0.2">
      <c r="A200" t="s">
        <v>1277</v>
      </c>
      <c r="B200" t="s">
        <v>1278</v>
      </c>
      <c r="C200" t="s">
        <v>1092</v>
      </c>
      <c r="D200" t="s">
        <v>1052</v>
      </c>
      <c r="E200">
        <v>211795.83609999999</v>
      </c>
      <c r="F200">
        <v>14</v>
      </c>
      <c r="G200" t="s">
        <v>1103</v>
      </c>
      <c r="H200" t="s">
        <v>15</v>
      </c>
    </row>
    <row r="201" spans="1:8" x14ac:dyDescent="0.2">
      <c r="A201" t="s">
        <v>1277</v>
      </c>
      <c r="B201" t="s">
        <v>1279</v>
      </c>
      <c r="C201" t="s">
        <v>1092</v>
      </c>
      <c r="D201" t="s">
        <v>1052</v>
      </c>
      <c r="E201">
        <v>228341.97779999999</v>
      </c>
      <c r="F201">
        <v>14</v>
      </c>
      <c r="G201" t="s">
        <v>1103</v>
      </c>
      <c r="H201" t="s">
        <v>15</v>
      </c>
    </row>
    <row r="202" spans="1:8" x14ac:dyDescent="0.2">
      <c r="A202" t="s">
        <v>1277</v>
      </c>
      <c r="B202" t="s">
        <v>1280</v>
      </c>
      <c r="C202" t="s">
        <v>1092</v>
      </c>
      <c r="D202" t="s">
        <v>1096</v>
      </c>
      <c r="E202">
        <v>28219.43734</v>
      </c>
      <c r="F202">
        <v>14</v>
      </c>
      <c r="G202" t="s">
        <v>1103</v>
      </c>
      <c r="H202" t="s">
        <v>15</v>
      </c>
    </row>
    <row r="203" spans="1:8" x14ac:dyDescent="0.2">
      <c r="A203" t="s">
        <v>1277</v>
      </c>
      <c r="B203" t="s">
        <v>1099</v>
      </c>
      <c r="C203" t="s">
        <v>1100</v>
      </c>
      <c r="D203" t="s">
        <v>35</v>
      </c>
      <c r="E203">
        <v>468357.25124000001</v>
      </c>
      <c r="F203">
        <v>42</v>
      </c>
      <c r="G203" t="s">
        <v>35</v>
      </c>
      <c r="H203" t="s">
        <v>15</v>
      </c>
    </row>
    <row r="204" spans="1:8" x14ac:dyDescent="0.2">
      <c r="A204" t="s">
        <v>105</v>
      </c>
      <c r="B204" t="s">
        <v>1281</v>
      </c>
      <c r="C204" t="s">
        <v>1092</v>
      </c>
      <c r="D204" t="s">
        <v>1126</v>
      </c>
      <c r="E204">
        <v>1972.7835050000001</v>
      </c>
      <c r="F204">
        <v>1420</v>
      </c>
      <c r="G204" t="s">
        <v>1236</v>
      </c>
      <c r="H204" t="s">
        <v>15</v>
      </c>
    </row>
    <row r="205" spans="1:8" x14ac:dyDescent="0.2">
      <c r="A205" t="s">
        <v>105</v>
      </c>
      <c r="B205" t="s">
        <v>1282</v>
      </c>
      <c r="C205" t="s">
        <v>1092</v>
      </c>
      <c r="D205" t="s">
        <v>1126</v>
      </c>
      <c r="E205">
        <v>1798.3505150000001</v>
      </c>
      <c r="F205">
        <v>1330</v>
      </c>
      <c r="G205" t="s">
        <v>1236</v>
      </c>
      <c r="H205" t="s">
        <v>15</v>
      </c>
    </row>
    <row r="206" spans="1:8" x14ac:dyDescent="0.2">
      <c r="A206" t="s">
        <v>105</v>
      </c>
      <c r="B206" t="s">
        <v>1283</v>
      </c>
      <c r="C206" t="s">
        <v>1092</v>
      </c>
      <c r="D206" t="s">
        <v>1126</v>
      </c>
      <c r="E206">
        <v>3346.4948450000002</v>
      </c>
      <c r="F206">
        <v>2442</v>
      </c>
      <c r="G206" t="s">
        <v>1236</v>
      </c>
      <c r="H206" t="s">
        <v>15</v>
      </c>
    </row>
    <row r="207" spans="1:8" x14ac:dyDescent="0.2">
      <c r="A207" t="s">
        <v>105</v>
      </c>
      <c r="B207" t="s">
        <v>1284</v>
      </c>
      <c r="C207" t="s">
        <v>1092</v>
      </c>
      <c r="D207" t="s">
        <v>1052</v>
      </c>
      <c r="E207">
        <v>14462.878000000001</v>
      </c>
      <c r="F207">
        <v>3727</v>
      </c>
      <c r="G207" t="s">
        <v>1093</v>
      </c>
      <c r="H207" t="s">
        <v>15</v>
      </c>
    </row>
    <row r="208" spans="1:8" x14ac:dyDescent="0.2">
      <c r="A208" t="s">
        <v>105</v>
      </c>
      <c r="B208" t="s">
        <v>1285</v>
      </c>
      <c r="C208" t="s">
        <v>1092</v>
      </c>
      <c r="D208" t="s">
        <v>1126</v>
      </c>
      <c r="E208">
        <v>2140.6185569999998</v>
      </c>
      <c r="F208">
        <v>1552</v>
      </c>
      <c r="G208" t="s">
        <v>1236</v>
      </c>
      <c r="H208" t="s">
        <v>15</v>
      </c>
    </row>
    <row r="209" spans="1:8" x14ac:dyDescent="0.2">
      <c r="A209" t="s">
        <v>105</v>
      </c>
      <c r="B209" t="s">
        <v>1286</v>
      </c>
      <c r="C209" t="s">
        <v>1092</v>
      </c>
      <c r="D209" t="s">
        <v>1126</v>
      </c>
      <c r="E209">
        <v>7993.187629</v>
      </c>
      <c r="F209">
        <v>5500</v>
      </c>
      <c r="G209" t="s">
        <v>1109</v>
      </c>
      <c r="H209" t="s">
        <v>15</v>
      </c>
    </row>
    <row r="210" spans="1:8" x14ac:dyDescent="0.2">
      <c r="A210" t="s">
        <v>105</v>
      </c>
      <c r="B210" t="s">
        <v>1287</v>
      </c>
      <c r="C210" t="s">
        <v>1092</v>
      </c>
      <c r="D210" t="s">
        <v>1126</v>
      </c>
      <c r="E210">
        <v>2596.0824739999998</v>
      </c>
      <c r="F210">
        <v>1966</v>
      </c>
      <c r="G210" t="s">
        <v>1236</v>
      </c>
      <c r="H210" t="s">
        <v>15</v>
      </c>
    </row>
    <row r="211" spans="1:8" x14ac:dyDescent="0.2">
      <c r="A211" t="s">
        <v>105</v>
      </c>
      <c r="B211" t="s">
        <v>1099</v>
      </c>
      <c r="C211" t="s">
        <v>1100</v>
      </c>
      <c r="D211" t="s">
        <v>35</v>
      </c>
      <c r="E211">
        <v>34310.395525</v>
      </c>
      <c r="F211">
        <v>17937</v>
      </c>
      <c r="G211" t="s">
        <v>35</v>
      </c>
      <c r="H211" t="s">
        <v>15</v>
      </c>
    </row>
    <row r="212" spans="1:8" x14ac:dyDescent="0.2">
      <c r="A212" t="s">
        <v>301</v>
      </c>
      <c r="B212" t="s">
        <v>1288</v>
      </c>
      <c r="C212" t="s">
        <v>1092</v>
      </c>
      <c r="D212" t="s">
        <v>1061</v>
      </c>
      <c r="E212">
        <v>6591.8320000000003</v>
      </c>
      <c r="F212">
        <v>4393</v>
      </c>
      <c r="G212" t="s">
        <v>1236</v>
      </c>
      <c r="H212" t="s">
        <v>15</v>
      </c>
    </row>
    <row r="213" spans="1:8" x14ac:dyDescent="0.2">
      <c r="A213" t="s">
        <v>301</v>
      </c>
      <c r="B213" t="s">
        <v>1289</v>
      </c>
      <c r="C213" t="s">
        <v>1092</v>
      </c>
      <c r="D213" t="s">
        <v>1061</v>
      </c>
      <c r="E213">
        <v>3439.21</v>
      </c>
      <c r="F213">
        <v>2372</v>
      </c>
      <c r="G213" t="s">
        <v>1236</v>
      </c>
      <c r="H213" t="s">
        <v>15</v>
      </c>
    </row>
    <row r="214" spans="1:8" x14ac:dyDescent="0.2">
      <c r="A214" t="s">
        <v>301</v>
      </c>
      <c r="B214" t="s">
        <v>1290</v>
      </c>
      <c r="C214" t="s">
        <v>1092</v>
      </c>
      <c r="D214" t="s">
        <v>1061</v>
      </c>
      <c r="E214">
        <v>17500.41</v>
      </c>
      <c r="F214">
        <v>11576</v>
      </c>
      <c r="G214" t="s">
        <v>1236</v>
      </c>
      <c r="H214" t="s">
        <v>15</v>
      </c>
    </row>
    <row r="215" spans="1:8" x14ac:dyDescent="0.2">
      <c r="A215" t="s">
        <v>301</v>
      </c>
      <c r="B215" t="s">
        <v>1291</v>
      </c>
      <c r="C215" t="s">
        <v>1092</v>
      </c>
      <c r="D215" t="s">
        <v>1061</v>
      </c>
      <c r="E215">
        <v>5894.4775</v>
      </c>
      <c r="F215">
        <v>7440</v>
      </c>
      <c r="G215" t="s">
        <v>1109</v>
      </c>
      <c r="H215" t="s">
        <v>15</v>
      </c>
    </row>
    <row r="216" spans="1:8" x14ac:dyDescent="0.2">
      <c r="A216" t="s">
        <v>301</v>
      </c>
      <c r="B216" t="s">
        <v>1292</v>
      </c>
      <c r="C216" t="s">
        <v>1092</v>
      </c>
      <c r="D216" t="s">
        <v>1061</v>
      </c>
      <c r="E216">
        <v>1315.4</v>
      </c>
      <c r="F216">
        <v>873</v>
      </c>
      <c r="G216" t="s">
        <v>1236</v>
      </c>
      <c r="H216" t="s">
        <v>15</v>
      </c>
    </row>
    <row r="217" spans="1:8" x14ac:dyDescent="0.2">
      <c r="A217" t="s">
        <v>301</v>
      </c>
      <c r="B217" t="s">
        <v>1293</v>
      </c>
      <c r="C217" t="s">
        <v>1092</v>
      </c>
      <c r="D217" t="s">
        <v>1061</v>
      </c>
      <c r="E217">
        <v>1535.64</v>
      </c>
      <c r="F217">
        <v>980</v>
      </c>
      <c r="G217" t="s">
        <v>1236</v>
      </c>
      <c r="H217" t="s">
        <v>15</v>
      </c>
    </row>
    <row r="218" spans="1:8" x14ac:dyDescent="0.2">
      <c r="A218" t="s">
        <v>301</v>
      </c>
      <c r="B218" t="s">
        <v>1294</v>
      </c>
      <c r="C218" t="s">
        <v>1092</v>
      </c>
      <c r="D218" t="s">
        <v>1061</v>
      </c>
      <c r="E218">
        <v>1311.5519999999999</v>
      </c>
      <c r="F218">
        <v>962</v>
      </c>
      <c r="G218" t="s">
        <v>1236</v>
      </c>
      <c r="H218" t="s">
        <v>15</v>
      </c>
    </row>
    <row r="219" spans="1:8" x14ac:dyDescent="0.2">
      <c r="A219" t="s">
        <v>301</v>
      </c>
      <c r="B219" t="s">
        <v>1295</v>
      </c>
      <c r="C219" t="s">
        <v>1092</v>
      </c>
      <c r="D219" t="s">
        <v>1061</v>
      </c>
      <c r="E219">
        <v>3112.9319999999998</v>
      </c>
      <c r="F219">
        <v>2184</v>
      </c>
      <c r="G219" t="s">
        <v>1236</v>
      </c>
      <c r="H219" t="s">
        <v>15</v>
      </c>
    </row>
    <row r="220" spans="1:8" x14ac:dyDescent="0.2">
      <c r="A220" t="s">
        <v>301</v>
      </c>
      <c r="B220" t="s">
        <v>1296</v>
      </c>
      <c r="C220" t="s">
        <v>1092</v>
      </c>
      <c r="D220" t="s">
        <v>1061</v>
      </c>
      <c r="E220">
        <v>2392.4079999999999</v>
      </c>
      <c r="F220">
        <v>1516</v>
      </c>
      <c r="G220" t="s">
        <v>1236</v>
      </c>
      <c r="H220" t="s">
        <v>15</v>
      </c>
    </row>
    <row r="221" spans="1:8" x14ac:dyDescent="0.2">
      <c r="A221" t="s">
        <v>301</v>
      </c>
      <c r="B221" t="s">
        <v>1297</v>
      </c>
      <c r="C221" t="s">
        <v>1092</v>
      </c>
      <c r="D221" t="s">
        <v>1061</v>
      </c>
      <c r="E221">
        <v>2220.09</v>
      </c>
      <c r="F221">
        <v>1523</v>
      </c>
      <c r="G221" t="s">
        <v>1236</v>
      </c>
      <c r="H221" t="s">
        <v>15</v>
      </c>
    </row>
    <row r="222" spans="1:8" x14ac:dyDescent="0.2">
      <c r="A222" t="s">
        <v>301</v>
      </c>
      <c r="B222" t="s">
        <v>1298</v>
      </c>
      <c r="C222" t="s">
        <v>1092</v>
      </c>
      <c r="D222" t="s">
        <v>1061</v>
      </c>
      <c r="E222">
        <v>1091.07</v>
      </c>
      <c r="F222">
        <v>777</v>
      </c>
      <c r="G222" t="s">
        <v>1236</v>
      </c>
      <c r="H222" t="s">
        <v>15</v>
      </c>
    </row>
    <row r="223" spans="1:8" x14ac:dyDescent="0.2">
      <c r="A223" t="s">
        <v>301</v>
      </c>
      <c r="B223" t="s">
        <v>1299</v>
      </c>
      <c r="C223" t="s">
        <v>1092</v>
      </c>
      <c r="D223" t="s">
        <v>1061</v>
      </c>
      <c r="E223">
        <v>1866.846</v>
      </c>
      <c r="F223">
        <v>1198</v>
      </c>
      <c r="G223" t="s">
        <v>1236</v>
      </c>
      <c r="H223" t="s">
        <v>15</v>
      </c>
    </row>
    <row r="224" spans="1:8" x14ac:dyDescent="0.2">
      <c r="A224" t="s">
        <v>301</v>
      </c>
      <c r="B224" t="s">
        <v>1300</v>
      </c>
      <c r="C224" t="s">
        <v>1092</v>
      </c>
      <c r="D224" t="s">
        <v>1061</v>
      </c>
      <c r="E224">
        <v>1655.99</v>
      </c>
      <c r="F224">
        <v>1168</v>
      </c>
      <c r="G224" t="s">
        <v>1236</v>
      </c>
      <c r="H224" t="s">
        <v>15</v>
      </c>
    </row>
    <row r="225" spans="1:8" x14ac:dyDescent="0.2">
      <c r="A225" t="s">
        <v>301</v>
      </c>
      <c r="B225" t="s">
        <v>1301</v>
      </c>
      <c r="C225" t="s">
        <v>1092</v>
      </c>
      <c r="D225" t="s">
        <v>1061</v>
      </c>
      <c r="E225">
        <v>1058.0239999999999</v>
      </c>
      <c r="F225">
        <v>760</v>
      </c>
      <c r="G225" t="s">
        <v>1236</v>
      </c>
      <c r="H225" t="s">
        <v>15</v>
      </c>
    </row>
    <row r="226" spans="1:8" x14ac:dyDescent="0.2">
      <c r="A226" t="s">
        <v>301</v>
      </c>
      <c r="B226" t="s">
        <v>1302</v>
      </c>
      <c r="C226" t="s">
        <v>1092</v>
      </c>
      <c r="D226" t="s">
        <v>1061</v>
      </c>
      <c r="E226">
        <v>2062.9817899999998</v>
      </c>
      <c r="F226">
        <v>0</v>
      </c>
      <c r="G226" t="s">
        <v>1103</v>
      </c>
      <c r="H226" t="s">
        <v>15</v>
      </c>
    </row>
    <row r="227" spans="1:8" x14ac:dyDescent="0.2">
      <c r="A227" t="s">
        <v>301</v>
      </c>
      <c r="B227" t="s">
        <v>1303</v>
      </c>
      <c r="C227" t="s">
        <v>1092</v>
      </c>
      <c r="D227" t="s">
        <v>1061</v>
      </c>
      <c r="E227">
        <v>7500.902</v>
      </c>
      <c r="F227">
        <v>4745</v>
      </c>
      <c r="G227" t="s">
        <v>1236</v>
      </c>
      <c r="H227" t="s">
        <v>15</v>
      </c>
    </row>
    <row r="228" spans="1:8" x14ac:dyDescent="0.2">
      <c r="A228" t="s">
        <v>301</v>
      </c>
      <c r="B228" t="s">
        <v>1304</v>
      </c>
      <c r="C228" t="s">
        <v>1092</v>
      </c>
      <c r="D228" t="s">
        <v>1061</v>
      </c>
      <c r="E228">
        <v>1119.8488</v>
      </c>
      <c r="F228">
        <v>733</v>
      </c>
      <c r="G228" t="s">
        <v>1236</v>
      </c>
      <c r="H228" t="s">
        <v>15</v>
      </c>
    </row>
    <row r="229" spans="1:8" x14ac:dyDescent="0.2">
      <c r="A229" t="s">
        <v>301</v>
      </c>
      <c r="B229" t="s">
        <v>1305</v>
      </c>
      <c r="C229" t="s">
        <v>1092</v>
      </c>
      <c r="D229" t="s">
        <v>1061</v>
      </c>
      <c r="E229">
        <v>912.84614999999997</v>
      </c>
      <c r="F229">
        <v>643</v>
      </c>
      <c r="G229" t="s">
        <v>1236</v>
      </c>
      <c r="H229" t="s">
        <v>15</v>
      </c>
    </row>
    <row r="230" spans="1:8" x14ac:dyDescent="0.2">
      <c r="A230" t="s">
        <v>301</v>
      </c>
      <c r="B230" t="s">
        <v>1306</v>
      </c>
      <c r="C230" t="s">
        <v>1092</v>
      </c>
      <c r="D230" t="s">
        <v>1061</v>
      </c>
      <c r="E230">
        <v>1245.6037200000001</v>
      </c>
      <c r="F230">
        <v>0</v>
      </c>
      <c r="G230" t="s">
        <v>1103</v>
      </c>
      <c r="H230" t="s">
        <v>15</v>
      </c>
    </row>
    <row r="231" spans="1:8" x14ac:dyDescent="0.2">
      <c r="A231" t="s">
        <v>301</v>
      </c>
      <c r="B231" t="s">
        <v>1307</v>
      </c>
      <c r="C231" t="s">
        <v>1092</v>
      </c>
      <c r="D231" t="s">
        <v>1061</v>
      </c>
      <c r="E231">
        <v>7002.5469999999996</v>
      </c>
      <c r="F231">
        <v>4886</v>
      </c>
      <c r="G231" t="s">
        <v>1236</v>
      </c>
      <c r="H231" t="s">
        <v>15</v>
      </c>
    </row>
    <row r="232" spans="1:8" x14ac:dyDescent="0.2">
      <c r="A232" t="s">
        <v>301</v>
      </c>
      <c r="B232" t="s">
        <v>1308</v>
      </c>
      <c r="C232" t="s">
        <v>1092</v>
      </c>
      <c r="D232" t="s">
        <v>1061</v>
      </c>
      <c r="E232">
        <v>959.59900000000005</v>
      </c>
      <c r="F232">
        <v>714</v>
      </c>
      <c r="G232" t="s">
        <v>1236</v>
      </c>
      <c r="H232" t="s">
        <v>15</v>
      </c>
    </row>
    <row r="233" spans="1:8" x14ac:dyDescent="0.2">
      <c r="A233" t="s">
        <v>301</v>
      </c>
      <c r="B233" t="s">
        <v>1309</v>
      </c>
      <c r="C233" t="s">
        <v>1092</v>
      </c>
      <c r="D233" t="s">
        <v>1061</v>
      </c>
      <c r="E233">
        <v>1297.0250000000001</v>
      </c>
      <c r="F233">
        <v>860</v>
      </c>
      <c r="G233" t="s">
        <v>1236</v>
      </c>
      <c r="H233" t="s">
        <v>15</v>
      </c>
    </row>
    <row r="234" spans="1:8" x14ac:dyDescent="0.2">
      <c r="A234" t="s">
        <v>301</v>
      </c>
      <c r="B234" t="s">
        <v>1310</v>
      </c>
      <c r="C234" t="s">
        <v>1092</v>
      </c>
      <c r="D234" t="s">
        <v>1061</v>
      </c>
      <c r="E234">
        <v>5553.1109999999999</v>
      </c>
      <c r="F234">
        <v>3664</v>
      </c>
      <c r="G234" t="s">
        <v>1236</v>
      </c>
      <c r="H234" t="s">
        <v>15</v>
      </c>
    </row>
    <row r="235" spans="1:8" x14ac:dyDescent="0.2">
      <c r="A235" t="s">
        <v>301</v>
      </c>
      <c r="B235" t="s">
        <v>1311</v>
      </c>
      <c r="C235" t="s">
        <v>1092</v>
      </c>
      <c r="D235" t="s">
        <v>1061</v>
      </c>
      <c r="E235">
        <v>2541.9369999999999</v>
      </c>
      <c r="F235">
        <v>1662</v>
      </c>
      <c r="G235" t="s">
        <v>1236</v>
      </c>
      <c r="H235" t="s">
        <v>15</v>
      </c>
    </row>
    <row r="236" spans="1:8" x14ac:dyDescent="0.2">
      <c r="A236" t="s">
        <v>301</v>
      </c>
      <c r="B236" t="s">
        <v>1312</v>
      </c>
      <c r="C236" t="s">
        <v>1092</v>
      </c>
      <c r="D236" t="s">
        <v>1061</v>
      </c>
      <c r="E236">
        <v>3203.41</v>
      </c>
      <c r="F236">
        <v>2157</v>
      </c>
      <c r="G236" t="s">
        <v>1236</v>
      </c>
      <c r="H236" t="s">
        <v>15</v>
      </c>
    </row>
    <row r="237" spans="1:8" x14ac:dyDescent="0.2">
      <c r="A237" t="s">
        <v>301</v>
      </c>
      <c r="B237" t="s">
        <v>1313</v>
      </c>
      <c r="C237" t="s">
        <v>1092</v>
      </c>
      <c r="D237" t="s">
        <v>1061</v>
      </c>
      <c r="E237">
        <v>6033.5861199999999</v>
      </c>
      <c r="F237">
        <v>0</v>
      </c>
      <c r="G237" t="s">
        <v>1103</v>
      </c>
      <c r="H237" t="s">
        <v>15</v>
      </c>
    </row>
    <row r="238" spans="1:8" x14ac:dyDescent="0.2">
      <c r="A238" t="s">
        <v>301</v>
      </c>
      <c r="B238" t="s">
        <v>1314</v>
      </c>
      <c r="C238" t="s">
        <v>1092</v>
      </c>
      <c r="D238" t="s">
        <v>1061</v>
      </c>
      <c r="E238">
        <v>1174.434</v>
      </c>
      <c r="F238">
        <v>868</v>
      </c>
      <c r="G238" t="s">
        <v>1236</v>
      </c>
      <c r="H238" t="s">
        <v>15</v>
      </c>
    </row>
    <row r="239" spans="1:8" x14ac:dyDescent="0.2">
      <c r="A239" t="s">
        <v>301</v>
      </c>
      <c r="B239" t="s">
        <v>1315</v>
      </c>
      <c r="C239" t="s">
        <v>1092</v>
      </c>
      <c r="D239" t="s">
        <v>1061</v>
      </c>
      <c r="E239">
        <v>1950.35</v>
      </c>
      <c r="F239">
        <v>1245</v>
      </c>
      <c r="G239" t="s">
        <v>1236</v>
      </c>
      <c r="H239" t="s">
        <v>15</v>
      </c>
    </row>
    <row r="240" spans="1:8" x14ac:dyDescent="0.2">
      <c r="A240" t="s">
        <v>301</v>
      </c>
      <c r="B240" t="s">
        <v>1316</v>
      </c>
      <c r="C240" t="s">
        <v>1092</v>
      </c>
      <c r="D240" t="s">
        <v>1061</v>
      </c>
      <c r="E240">
        <v>2057.473</v>
      </c>
      <c r="F240">
        <v>1438</v>
      </c>
      <c r="G240" t="s">
        <v>1236</v>
      </c>
      <c r="H240" t="s">
        <v>15</v>
      </c>
    </row>
    <row r="241" spans="1:8" x14ac:dyDescent="0.2">
      <c r="A241" t="s">
        <v>301</v>
      </c>
      <c r="B241" t="s">
        <v>1317</v>
      </c>
      <c r="C241" t="s">
        <v>1092</v>
      </c>
      <c r="D241" t="s">
        <v>1061</v>
      </c>
      <c r="E241">
        <v>9163.1669999999995</v>
      </c>
      <c r="F241">
        <v>6433</v>
      </c>
      <c r="G241" t="s">
        <v>1236</v>
      </c>
      <c r="H241" t="s">
        <v>15</v>
      </c>
    </row>
    <row r="242" spans="1:8" x14ac:dyDescent="0.2">
      <c r="A242" t="s">
        <v>301</v>
      </c>
      <c r="B242" t="s">
        <v>1318</v>
      </c>
      <c r="C242" t="s">
        <v>1092</v>
      </c>
      <c r="D242" t="s">
        <v>1061</v>
      </c>
      <c r="E242">
        <v>3404.5</v>
      </c>
      <c r="F242">
        <v>2302</v>
      </c>
      <c r="G242" t="s">
        <v>1236</v>
      </c>
      <c r="H242" t="s">
        <v>15</v>
      </c>
    </row>
    <row r="243" spans="1:8" x14ac:dyDescent="0.2">
      <c r="A243" t="s">
        <v>301</v>
      </c>
      <c r="B243" t="s">
        <v>1319</v>
      </c>
      <c r="C243" t="s">
        <v>1092</v>
      </c>
      <c r="D243" t="s">
        <v>1061</v>
      </c>
      <c r="E243">
        <v>6518.0013499999995</v>
      </c>
      <c r="F243">
        <v>0</v>
      </c>
      <c r="G243" t="s">
        <v>1103</v>
      </c>
      <c r="H243" t="s">
        <v>15</v>
      </c>
    </row>
    <row r="244" spans="1:8" x14ac:dyDescent="0.2">
      <c r="A244" t="s">
        <v>301</v>
      </c>
      <c r="B244" t="s">
        <v>1320</v>
      </c>
      <c r="C244" t="s">
        <v>1092</v>
      </c>
      <c r="D244" t="s">
        <v>1061</v>
      </c>
      <c r="E244">
        <v>1847.2629999999999</v>
      </c>
      <c r="F244">
        <v>1292</v>
      </c>
      <c r="G244" t="s">
        <v>1236</v>
      </c>
      <c r="H244" t="s">
        <v>15</v>
      </c>
    </row>
    <row r="245" spans="1:8" x14ac:dyDescent="0.2">
      <c r="A245" t="s">
        <v>301</v>
      </c>
      <c r="B245" t="s">
        <v>1321</v>
      </c>
      <c r="C245" t="s">
        <v>1092</v>
      </c>
      <c r="D245" t="s">
        <v>1061</v>
      </c>
      <c r="E245">
        <v>576.44500000000005</v>
      </c>
      <c r="F245">
        <v>416</v>
      </c>
      <c r="G245" t="s">
        <v>1236</v>
      </c>
      <c r="H245" t="s">
        <v>15</v>
      </c>
    </row>
    <row r="246" spans="1:8" x14ac:dyDescent="0.2">
      <c r="A246" t="s">
        <v>301</v>
      </c>
      <c r="B246" t="s">
        <v>1322</v>
      </c>
      <c r="C246" t="s">
        <v>1092</v>
      </c>
      <c r="D246" t="s">
        <v>1061</v>
      </c>
      <c r="E246">
        <v>28554.344000000001</v>
      </c>
      <c r="F246">
        <v>19012</v>
      </c>
      <c r="G246" t="s">
        <v>1236</v>
      </c>
      <c r="H246" t="s">
        <v>15</v>
      </c>
    </row>
    <row r="247" spans="1:8" x14ac:dyDescent="0.2">
      <c r="A247" t="s">
        <v>301</v>
      </c>
      <c r="B247" t="s">
        <v>1323</v>
      </c>
      <c r="C247" t="s">
        <v>1092</v>
      </c>
      <c r="D247" t="s">
        <v>1061</v>
      </c>
      <c r="E247">
        <v>1251.271</v>
      </c>
      <c r="F247">
        <v>974</v>
      </c>
      <c r="G247" t="s">
        <v>1236</v>
      </c>
      <c r="H247" t="s">
        <v>15</v>
      </c>
    </row>
    <row r="248" spans="1:8" x14ac:dyDescent="0.2">
      <c r="A248" t="s">
        <v>301</v>
      </c>
      <c r="B248" t="s">
        <v>1324</v>
      </c>
      <c r="C248" t="s">
        <v>1092</v>
      </c>
      <c r="D248" t="s">
        <v>1061</v>
      </c>
      <c r="E248">
        <v>4899.317</v>
      </c>
      <c r="F248">
        <v>3343</v>
      </c>
      <c r="G248" t="s">
        <v>1236</v>
      </c>
      <c r="H248" t="s">
        <v>15</v>
      </c>
    </row>
    <row r="249" spans="1:8" x14ac:dyDescent="0.2">
      <c r="A249" t="s">
        <v>301</v>
      </c>
      <c r="B249" t="s">
        <v>1325</v>
      </c>
      <c r="C249" t="s">
        <v>1092</v>
      </c>
      <c r="D249" t="s">
        <v>1096</v>
      </c>
      <c r="E249">
        <v>2600.1792999999998</v>
      </c>
      <c r="F249">
        <v>0</v>
      </c>
      <c r="G249" t="s">
        <v>1103</v>
      </c>
      <c r="H249" t="s">
        <v>15</v>
      </c>
    </row>
    <row r="250" spans="1:8" x14ac:dyDescent="0.2">
      <c r="A250" t="s">
        <v>301</v>
      </c>
      <c r="B250" t="s">
        <v>1326</v>
      </c>
      <c r="C250" t="s">
        <v>1092</v>
      </c>
      <c r="D250" t="s">
        <v>1061</v>
      </c>
      <c r="E250">
        <v>1277.72</v>
      </c>
      <c r="F250">
        <v>842</v>
      </c>
      <c r="G250" t="s">
        <v>1236</v>
      </c>
      <c r="H250" t="s">
        <v>15</v>
      </c>
    </row>
    <row r="251" spans="1:8" x14ac:dyDescent="0.2">
      <c r="A251" t="s">
        <v>301</v>
      </c>
      <c r="B251" t="s">
        <v>1327</v>
      </c>
      <c r="C251" t="s">
        <v>1092</v>
      </c>
      <c r="D251" t="s">
        <v>1061</v>
      </c>
      <c r="E251">
        <v>1798.046</v>
      </c>
      <c r="F251">
        <v>1202</v>
      </c>
      <c r="G251" t="s">
        <v>1236</v>
      </c>
      <c r="H251" t="s">
        <v>15</v>
      </c>
    </row>
    <row r="252" spans="1:8" x14ac:dyDescent="0.2">
      <c r="A252" t="s">
        <v>301</v>
      </c>
      <c r="B252" t="s">
        <v>1328</v>
      </c>
      <c r="C252" t="s">
        <v>1092</v>
      </c>
      <c r="D252" t="s">
        <v>1061</v>
      </c>
      <c r="E252">
        <v>1627.1590000000001</v>
      </c>
      <c r="F252">
        <v>1148</v>
      </c>
      <c r="G252" t="s">
        <v>1236</v>
      </c>
      <c r="H252" t="s">
        <v>15</v>
      </c>
    </row>
    <row r="253" spans="1:8" x14ac:dyDescent="0.2">
      <c r="A253" t="s">
        <v>301</v>
      </c>
      <c r="B253" t="s">
        <v>1099</v>
      </c>
      <c r="C253" t="s">
        <v>1100</v>
      </c>
      <c r="D253" t="s">
        <v>35</v>
      </c>
      <c r="E253">
        <v>159118.94873</v>
      </c>
      <c r="F253">
        <v>98301</v>
      </c>
      <c r="G253" t="s">
        <v>35</v>
      </c>
      <c r="H253" t="s">
        <v>15</v>
      </c>
    </row>
    <row r="254" spans="1:8" x14ac:dyDescent="0.2">
      <c r="A254" t="s">
        <v>38</v>
      </c>
      <c r="B254" t="s">
        <v>1329</v>
      </c>
      <c r="C254" t="s">
        <v>1092</v>
      </c>
      <c r="D254" t="s">
        <v>1096</v>
      </c>
      <c r="E254">
        <v>0</v>
      </c>
      <c r="F254">
        <v>0</v>
      </c>
      <c r="G254" t="s">
        <v>1191</v>
      </c>
      <c r="H254" t="s">
        <v>15</v>
      </c>
    </row>
    <row r="255" spans="1:8" x14ac:dyDescent="0.2">
      <c r="A255" t="s">
        <v>38</v>
      </c>
      <c r="B255" t="s">
        <v>1330</v>
      </c>
      <c r="C255" t="s">
        <v>1092</v>
      </c>
      <c r="D255" t="s">
        <v>1052</v>
      </c>
      <c r="E255">
        <v>51908.45</v>
      </c>
      <c r="F255">
        <v>43999</v>
      </c>
      <c r="G255" t="s">
        <v>1109</v>
      </c>
      <c r="H255" t="s">
        <v>15</v>
      </c>
    </row>
    <row r="256" spans="1:8" x14ac:dyDescent="0.2">
      <c r="A256" t="s">
        <v>38</v>
      </c>
      <c r="B256" t="s">
        <v>1331</v>
      </c>
      <c r="C256" t="s">
        <v>1092</v>
      </c>
      <c r="D256" t="s">
        <v>1096</v>
      </c>
      <c r="E256">
        <v>45132.792000000001</v>
      </c>
      <c r="F256">
        <v>34838</v>
      </c>
      <c r="G256" t="s">
        <v>1109</v>
      </c>
      <c r="H256" t="s">
        <v>15</v>
      </c>
    </row>
    <row r="257" spans="1:8" x14ac:dyDescent="0.2">
      <c r="A257" t="s">
        <v>38</v>
      </c>
      <c r="B257" t="s">
        <v>1332</v>
      </c>
      <c r="C257" t="s">
        <v>1092</v>
      </c>
      <c r="D257" t="s">
        <v>1058</v>
      </c>
      <c r="E257">
        <v>6633318.21</v>
      </c>
      <c r="F257">
        <v>5663394</v>
      </c>
      <c r="G257" t="s">
        <v>1111</v>
      </c>
      <c r="H257" t="s">
        <v>15</v>
      </c>
    </row>
    <row r="258" spans="1:8" x14ac:dyDescent="0.2">
      <c r="A258" t="s">
        <v>38</v>
      </c>
      <c r="B258" t="s">
        <v>1333</v>
      </c>
      <c r="C258" t="s">
        <v>1092</v>
      </c>
      <c r="D258" t="s">
        <v>1096</v>
      </c>
      <c r="E258">
        <v>252911.35500000001</v>
      </c>
      <c r="F258">
        <v>136733</v>
      </c>
      <c r="G258" t="s">
        <v>1109</v>
      </c>
      <c r="H258" t="s">
        <v>15</v>
      </c>
    </row>
    <row r="259" spans="1:8" x14ac:dyDescent="0.2">
      <c r="A259" t="s">
        <v>38</v>
      </c>
      <c r="B259" t="s">
        <v>1334</v>
      </c>
      <c r="C259" t="s">
        <v>1092</v>
      </c>
      <c r="D259" t="s">
        <v>1058</v>
      </c>
      <c r="E259">
        <v>606146.44446999999</v>
      </c>
      <c r="F259">
        <v>249798</v>
      </c>
      <c r="G259" t="s">
        <v>1109</v>
      </c>
      <c r="H259" t="s">
        <v>15</v>
      </c>
    </row>
    <row r="260" spans="1:8" x14ac:dyDescent="0.2">
      <c r="A260" t="s">
        <v>38</v>
      </c>
      <c r="B260" t="s">
        <v>1335</v>
      </c>
      <c r="C260" t="s">
        <v>1092</v>
      </c>
      <c r="D260" t="s">
        <v>1096</v>
      </c>
      <c r="E260">
        <v>2450.0630000000001</v>
      </c>
      <c r="F260">
        <v>0</v>
      </c>
      <c r="G260" t="s">
        <v>1103</v>
      </c>
      <c r="H260" t="s">
        <v>15</v>
      </c>
    </row>
    <row r="261" spans="1:8" x14ac:dyDescent="0.2">
      <c r="A261" t="s">
        <v>38</v>
      </c>
      <c r="B261" t="s">
        <v>1336</v>
      </c>
      <c r="C261" t="s">
        <v>1092</v>
      </c>
      <c r="D261" t="s">
        <v>1096</v>
      </c>
      <c r="E261">
        <v>8006205</v>
      </c>
      <c r="F261">
        <v>10344727</v>
      </c>
      <c r="G261" t="s">
        <v>1128</v>
      </c>
      <c r="H261" t="s">
        <v>15</v>
      </c>
    </row>
    <row r="262" spans="1:8" x14ac:dyDescent="0.2">
      <c r="A262" t="s">
        <v>38</v>
      </c>
      <c r="B262" t="s">
        <v>1099</v>
      </c>
      <c r="C262" t="s">
        <v>1100</v>
      </c>
      <c r="D262" t="s">
        <v>35</v>
      </c>
      <c r="E262">
        <v>15598072.314470001</v>
      </c>
      <c r="F262">
        <v>16473489</v>
      </c>
      <c r="G262" t="s">
        <v>35</v>
      </c>
      <c r="H262" t="s">
        <v>15</v>
      </c>
    </row>
    <row r="263" spans="1:8" x14ac:dyDescent="0.2">
      <c r="A263" t="s">
        <v>629</v>
      </c>
      <c r="B263" t="s">
        <v>1337</v>
      </c>
      <c r="C263" t="s">
        <v>1092</v>
      </c>
      <c r="D263" t="s">
        <v>1058</v>
      </c>
      <c r="E263">
        <v>0</v>
      </c>
      <c r="F263">
        <v>0</v>
      </c>
      <c r="G263" t="s">
        <v>1236</v>
      </c>
      <c r="H263" t="s">
        <v>15</v>
      </c>
    </row>
    <row r="264" spans="1:8" x14ac:dyDescent="0.2">
      <c r="A264" t="s">
        <v>629</v>
      </c>
      <c r="B264" t="s">
        <v>1099</v>
      </c>
      <c r="C264" t="s">
        <v>1100</v>
      </c>
      <c r="D264" t="s">
        <v>35</v>
      </c>
      <c r="E264">
        <v>0</v>
      </c>
      <c r="F264">
        <v>0</v>
      </c>
      <c r="G264" t="s">
        <v>35</v>
      </c>
      <c r="H264" t="s">
        <v>15</v>
      </c>
    </row>
    <row r="265" spans="1:8" x14ac:dyDescent="0.2">
      <c r="A265" t="s">
        <v>1338</v>
      </c>
      <c r="B265" t="s">
        <v>1339</v>
      </c>
      <c r="C265" t="s">
        <v>1092</v>
      </c>
      <c r="D265" t="s">
        <v>1061</v>
      </c>
      <c r="E265">
        <v>297190.45500000002</v>
      </c>
      <c r="F265">
        <v>58</v>
      </c>
      <c r="G265" t="s">
        <v>1103</v>
      </c>
      <c r="H265" t="s">
        <v>15</v>
      </c>
    </row>
    <row r="266" spans="1:8" x14ac:dyDescent="0.2">
      <c r="A266" t="s">
        <v>1338</v>
      </c>
      <c r="B266" t="s">
        <v>1099</v>
      </c>
      <c r="C266" t="s">
        <v>1100</v>
      </c>
      <c r="D266" t="s">
        <v>35</v>
      </c>
      <c r="E266">
        <v>297190.45500000002</v>
      </c>
      <c r="F266">
        <v>58</v>
      </c>
      <c r="G266" t="s">
        <v>35</v>
      </c>
      <c r="H266" t="s">
        <v>15</v>
      </c>
    </row>
    <row r="267" spans="1:8" x14ac:dyDescent="0.2">
      <c r="A267" t="s">
        <v>1340</v>
      </c>
      <c r="B267" t="s">
        <v>1341</v>
      </c>
      <c r="C267" t="s">
        <v>1092</v>
      </c>
      <c r="D267" t="s">
        <v>1126</v>
      </c>
      <c r="E267">
        <v>27689.9</v>
      </c>
      <c r="F267">
        <v>19633</v>
      </c>
      <c r="G267" t="s">
        <v>1109</v>
      </c>
      <c r="H267" t="s">
        <v>15</v>
      </c>
    </row>
    <row r="268" spans="1:8" x14ac:dyDescent="0.2">
      <c r="A268" t="s">
        <v>1340</v>
      </c>
      <c r="B268" t="s">
        <v>1099</v>
      </c>
      <c r="C268" t="s">
        <v>1100</v>
      </c>
      <c r="D268" t="s">
        <v>35</v>
      </c>
      <c r="E268">
        <v>27689.9</v>
      </c>
      <c r="F268">
        <v>19633</v>
      </c>
      <c r="G268" t="s">
        <v>35</v>
      </c>
      <c r="H268" t="s">
        <v>15</v>
      </c>
    </row>
    <row r="269" spans="1:8" x14ac:dyDescent="0.2">
      <c r="A269" t="s">
        <v>1342</v>
      </c>
      <c r="B269" t="s">
        <v>1343</v>
      </c>
      <c r="C269" t="s">
        <v>1092</v>
      </c>
      <c r="D269" t="s">
        <v>1058</v>
      </c>
      <c r="E269">
        <v>272477.48499999999</v>
      </c>
      <c r="F269">
        <v>0</v>
      </c>
      <c r="G269" t="s">
        <v>1103</v>
      </c>
      <c r="H269" t="s">
        <v>15</v>
      </c>
    </row>
    <row r="270" spans="1:8" x14ac:dyDescent="0.2">
      <c r="A270" t="s">
        <v>1342</v>
      </c>
      <c r="B270" t="s">
        <v>1099</v>
      </c>
      <c r="C270" t="s">
        <v>1100</v>
      </c>
      <c r="D270" t="s">
        <v>35</v>
      </c>
      <c r="E270">
        <v>272477.48499999999</v>
      </c>
      <c r="F270">
        <v>0</v>
      </c>
      <c r="G270" t="s">
        <v>35</v>
      </c>
      <c r="H270" t="s">
        <v>15</v>
      </c>
    </row>
    <row r="271" spans="1:8" x14ac:dyDescent="0.2">
      <c r="A271" t="s">
        <v>840</v>
      </c>
      <c r="B271" t="s">
        <v>1344</v>
      </c>
      <c r="C271" t="s">
        <v>1092</v>
      </c>
      <c r="D271" t="s">
        <v>1126</v>
      </c>
      <c r="E271">
        <v>630742.92647900002</v>
      </c>
      <c r="F271">
        <v>316859</v>
      </c>
      <c r="G271" t="s">
        <v>1109</v>
      </c>
      <c r="H271" t="s">
        <v>15</v>
      </c>
    </row>
    <row r="272" spans="1:8" x14ac:dyDescent="0.2">
      <c r="A272" t="s">
        <v>840</v>
      </c>
      <c r="B272" t="s">
        <v>1099</v>
      </c>
      <c r="C272" t="s">
        <v>1100</v>
      </c>
      <c r="D272" t="s">
        <v>35</v>
      </c>
      <c r="E272">
        <v>630742.92647900002</v>
      </c>
      <c r="F272">
        <v>316859</v>
      </c>
      <c r="G272" t="s">
        <v>35</v>
      </c>
      <c r="H272" t="s">
        <v>15</v>
      </c>
    </row>
    <row r="273" spans="1:8" x14ac:dyDescent="0.2">
      <c r="A273" t="s">
        <v>1345</v>
      </c>
      <c r="B273" t="s">
        <v>1346</v>
      </c>
      <c r="C273" t="s">
        <v>1092</v>
      </c>
      <c r="D273" t="s">
        <v>1061</v>
      </c>
      <c r="E273">
        <v>99535.521999999997</v>
      </c>
      <c r="F273">
        <v>0</v>
      </c>
      <c r="G273" t="s">
        <v>1103</v>
      </c>
      <c r="H273" t="s">
        <v>15</v>
      </c>
    </row>
    <row r="274" spans="1:8" x14ac:dyDescent="0.2">
      <c r="A274" t="s">
        <v>1345</v>
      </c>
      <c r="B274" t="s">
        <v>1099</v>
      </c>
      <c r="C274" t="s">
        <v>1100</v>
      </c>
      <c r="D274" t="s">
        <v>35</v>
      </c>
      <c r="E274">
        <v>99535.521999999997</v>
      </c>
      <c r="F274">
        <v>0</v>
      </c>
      <c r="G274" t="s">
        <v>35</v>
      </c>
      <c r="H274" t="s">
        <v>15</v>
      </c>
    </row>
    <row r="275" spans="1:8" x14ac:dyDescent="0.2">
      <c r="A275" t="s">
        <v>1347</v>
      </c>
      <c r="B275" t="s">
        <v>1348</v>
      </c>
      <c r="C275" t="s">
        <v>1092</v>
      </c>
      <c r="D275" t="s">
        <v>1058</v>
      </c>
      <c r="E275">
        <v>112262.47500000001</v>
      </c>
      <c r="F275">
        <v>0</v>
      </c>
      <c r="G275" t="s">
        <v>1103</v>
      </c>
      <c r="H275" t="s">
        <v>15</v>
      </c>
    </row>
    <row r="276" spans="1:8" x14ac:dyDescent="0.2">
      <c r="A276" t="s">
        <v>1347</v>
      </c>
      <c r="B276" t="s">
        <v>1349</v>
      </c>
      <c r="C276" t="s">
        <v>1092</v>
      </c>
      <c r="D276" t="s">
        <v>1061</v>
      </c>
      <c r="E276">
        <v>109889.14049999999</v>
      </c>
      <c r="F276">
        <v>0</v>
      </c>
      <c r="G276" t="s">
        <v>1103</v>
      </c>
      <c r="H276" t="s">
        <v>15</v>
      </c>
    </row>
    <row r="277" spans="1:8" x14ac:dyDescent="0.2">
      <c r="A277" t="s">
        <v>1347</v>
      </c>
      <c r="B277" t="s">
        <v>1099</v>
      </c>
      <c r="C277" t="s">
        <v>1100</v>
      </c>
      <c r="D277" t="s">
        <v>35</v>
      </c>
      <c r="E277">
        <v>222151.61550000001</v>
      </c>
      <c r="F277">
        <v>0</v>
      </c>
      <c r="G277" t="s">
        <v>35</v>
      </c>
      <c r="H277" t="s">
        <v>15</v>
      </c>
    </row>
    <row r="278" spans="1:8" x14ac:dyDescent="0.2">
      <c r="A278" t="s">
        <v>1350</v>
      </c>
      <c r="B278" t="s">
        <v>1351</v>
      </c>
      <c r="C278" t="s">
        <v>1092</v>
      </c>
      <c r="D278" t="s">
        <v>1061</v>
      </c>
      <c r="E278">
        <v>160945.13099999999</v>
      </c>
      <c r="F278">
        <v>58</v>
      </c>
      <c r="G278" t="s">
        <v>1103</v>
      </c>
      <c r="H278" t="s">
        <v>15</v>
      </c>
    </row>
    <row r="279" spans="1:8" x14ac:dyDescent="0.2">
      <c r="A279" t="s">
        <v>1350</v>
      </c>
      <c r="B279" t="s">
        <v>1352</v>
      </c>
      <c r="C279" t="s">
        <v>1092</v>
      </c>
      <c r="D279" t="s">
        <v>1096</v>
      </c>
      <c r="E279">
        <v>121929.87</v>
      </c>
      <c r="F279">
        <v>169</v>
      </c>
      <c r="G279" t="s">
        <v>1103</v>
      </c>
      <c r="H279" t="s">
        <v>15</v>
      </c>
    </row>
    <row r="280" spans="1:8" x14ac:dyDescent="0.2">
      <c r="A280" t="s">
        <v>1350</v>
      </c>
      <c r="B280" t="s">
        <v>1099</v>
      </c>
      <c r="C280" t="s">
        <v>1100</v>
      </c>
      <c r="D280" t="s">
        <v>35</v>
      </c>
      <c r="E280">
        <v>282875.00099999999</v>
      </c>
      <c r="F280">
        <v>227</v>
      </c>
      <c r="G280" t="s">
        <v>35</v>
      </c>
      <c r="H280" t="s">
        <v>15</v>
      </c>
    </row>
    <row r="281" spans="1:8" x14ac:dyDescent="0.2">
      <c r="A281" t="s">
        <v>63</v>
      </c>
      <c r="B281" t="s">
        <v>1353</v>
      </c>
      <c r="C281" t="s">
        <v>1092</v>
      </c>
      <c r="D281" t="s">
        <v>1061</v>
      </c>
      <c r="E281">
        <v>782678.04</v>
      </c>
      <c r="F281">
        <v>675798</v>
      </c>
      <c r="G281" t="s">
        <v>1111</v>
      </c>
      <c r="H281" t="s">
        <v>15</v>
      </c>
    </row>
    <row r="282" spans="1:8" x14ac:dyDescent="0.2">
      <c r="A282" t="s">
        <v>63</v>
      </c>
      <c r="B282" t="s">
        <v>1354</v>
      </c>
      <c r="C282" t="s">
        <v>1092</v>
      </c>
      <c r="D282" t="s">
        <v>1061</v>
      </c>
      <c r="E282">
        <v>5872354.8600000003</v>
      </c>
      <c r="F282">
        <v>4890774</v>
      </c>
      <c r="G282" t="s">
        <v>1111</v>
      </c>
      <c r="H282" t="s">
        <v>15</v>
      </c>
    </row>
    <row r="283" spans="1:8" x14ac:dyDescent="0.2">
      <c r="A283" t="s">
        <v>63</v>
      </c>
      <c r="B283" t="s">
        <v>1099</v>
      </c>
      <c r="C283" t="s">
        <v>1100</v>
      </c>
      <c r="D283" t="s">
        <v>35</v>
      </c>
      <c r="E283">
        <v>6655032.9000000004</v>
      </c>
      <c r="F283">
        <v>5566572</v>
      </c>
      <c r="G283" t="s">
        <v>35</v>
      </c>
      <c r="H283" t="s">
        <v>15</v>
      </c>
    </row>
    <row r="284" spans="1:8" x14ac:dyDescent="0.2">
      <c r="A284" t="s">
        <v>1355</v>
      </c>
      <c r="B284" t="s">
        <v>1356</v>
      </c>
      <c r="C284" t="s">
        <v>1092</v>
      </c>
      <c r="D284" t="s">
        <v>1096</v>
      </c>
      <c r="E284">
        <v>230660.52</v>
      </c>
      <c r="F284">
        <v>79</v>
      </c>
      <c r="G284" t="s">
        <v>1093</v>
      </c>
      <c r="H284" t="s">
        <v>15</v>
      </c>
    </row>
    <row r="285" spans="1:8" x14ac:dyDescent="0.2">
      <c r="A285" t="s">
        <v>1355</v>
      </c>
      <c r="B285" t="s">
        <v>1357</v>
      </c>
      <c r="C285" t="s">
        <v>1092</v>
      </c>
      <c r="D285" t="s">
        <v>1096</v>
      </c>
      <c r="E285">
        <v>495867.71039999998</v>
      </c>
      <c r="F285">
        <v>124</v>
      </c>
      <c r="G285" t="s">
        <v>1093</v>
      </c>
      <c r="H285" t="s">
        <v>15</v>
      </c>
    </row>
    <row r="286" spans="1:8" x14ac:dyDescent="0.2">
      <c r="A286" t="s">
        <v>1355</v>
      </c>
      <c r="B286" t="s">
        <v>1358</v>
      </c>
      <c r="C286" t="s">
        <v>1092</v>
      </c>
      <c r="D286" t="s">
        <v>1058</v>
      </c>
      <c r="E286">
        <v>179630.33199999999</v>
      </c>
      <c r="F286">
        <v>67</v>
      </c>
      <c r="G286" t="s">
        <v>1093</v>
      </c>
      <c r="H286" t="s">
        <v>15</v>
      </c>
    </row>
    <row r="287" spans="1:8" x14ac:dyDescent="0.2">
      <c r="A287" t="s">
        <v>1355</v>
      </c>
      <c r="B287" t="s">
        <v>1359</v>
      </c>
      <c r="C287" t="s">
        <v>1092</v>
      </c>
      <c r="D287" t="s">
        <v>1058</v>
      </c>
      <c r="E287">
        <v>0</v>
      </c>
      <c r="F287">
        <v>867</v>
      </c>
      <c r="G287" t="s">
        <v>1093</v>
      </c>
      <c r="H287" t="s">
        <v>15</v>
      </c>
    </row>
    <row r="288" spans="1:8" x14ac:dyDescent="0.2">
      <c r="A288" t="s">
        <v>1355</v>
      </c>
      <c r="B288" t="s">
        <v>1360</v>
      </c>
      <c r="C288" t="s">
        <v>1092</v>
      </c>
      <c r="D288" t="s">
        <v>1126</v>
      </c>
      <c r="E288">
        <v>0</v>
      </c>
      <c r="F288">
        <v>831</v>
      </c>
      <c r="G288" t="s">
        <v>1103</v>
      </c>
      <c r="H288" t="s">
        <v>15</v>
      </c>
    </row>
    <row r="289" spans="1:8" x14ac:dyDescent="0.2">
      <c r="A289" t="s">
        <v>1355</v>
      </c>
      <c r="B289" t="s">
        <v>1361</v>
      </c>
      <c r="C289" t="s">
        <v>1092</v>
      </c>
      <c r="D289" t="s">
        <v>1096</v>
      </c>
      <c r="E289">
        <v>371.22699999999998</v>
      </c>
      <c r="F289">
        <v>429</v>
      </c>
      <c r="G289" t="s">
        <v>1093</v>
      </c>
      <c r="H289" t="s">
        <v>15</v>
      </c>
    </row>
    <row r="290" spans="1:8" x14ac:dyDescent="0.2">
      <c r="A290" t="s">
        <v>1355</v>
      </c>
      <c r="B290" t="s">
        <v>1362</v>
      </c>
      <c r="C290" t="s">
        <v>1092</v>
      </c>
      <c r="D290" t="s">
        <v>1215</v>
      </c>
      <c r="E290">
        <v>0</v>
      </c>
      <c r="F290">
        <v>1</v>
      </c>
      <c r="G290" t="s">
        <v>1191</v>
      </c>
      <c r="H290" t="s">
        <v>15</v>
      </c>
    </row>
    <row r="291" spans="1:8" x14ac:dyDescent="0.2">
      <c r="A291" t="s">
        <v>1355</v>
      </c>
      <c r="B291" t="s">
        <v>1363</v>
      </c>
      <c r="C291" t="s">
        <v>1092</v>
      </c>
      <c r="D291" t="s">
        <v>1096</v>
      </c>
      <c r="E291">
        <v>0</v>
      </c>
      <c r="F291">
        <v>657</v>
      </c>
      <c r="G291" t="s">
        <v>1093</v>
      </c>
      <c r="H291" t="s">
        <v>15</v>
      </c>
    </row>
    <row r="292" spans="1:8" x14ac:dyDescent="0.2">
      <c r="A292" t="s">
        <v>1355</v>
      </c>
      <c r="B292" t="s">
        <v>1099</v>
      </c>
      <c r="C292" t="s">
        <v>1100</v>
      </c>
      <c r="D292" t="s">
        <v>35</v>
      </c>
      <c r="E292">
        <v>906529.78940000001</v>
      </c>
      <c r="F292">
        <v>3055</v>
      </c>
      <c r="G292" t="s">
        <v>35</v>
      </c>
      <c r="H292" t="s">
        <v>15</v>
      </c>
    </row>
    <row r="293" spans="1:8" x14ac:dyDescent="0.2">
      <c r="A293" t="s">
        <v>1364</v>
      </c>
      <c r="B293" t="s">
        <v>1365</v>
      </c>
      <c r="C293" t="s">
        <v>1092</v>
      </c>
      <c r="D293" t="s">
        <v>1126</v>
      </c>
      <c r="E293">
        <v>28776.399600000001</v>
      </c>
      <c r="F293">
        <v>19164</v>
      </c>
      <c r="G293" t="s">
        <v>1109</v>
      </c>
      <c r="H293" t="s">
        <v>15</v>
      </c>
    </row>
    <row r="294" spans="1:8" x14ac:dyDescent="0.2">
      <c r="A294" t="s">
        <v>1364</v>
      </c>
      <c r="B294" t="s">
        <v>1099</v>
      </c>
      <c r="C294" t="s">
        <v>1100</v>
      </c>
      <c r="D294" t="s">
        <v>35</v>
      </c>
      <c r="E294">
        <v>28776.399600000001</v>
      </c>
      <c r="F294">
        <v>19164</v>
      </c>
      <c r="G294" t="s">
        <v>35</v>
      </c>
      <c r="H294" t="s">
        <v>15</v>
      </c>
    </row>
    <row r="295" spans="1:8" x14ac:dyDescent="0.2">
      <c r="A295" t="s">
        <v>1366</v>
      </c>
      <c r="B295" t="s">
        <v>1367</v>
      </c>
      <c r="C295" t="s">
        <v>1092</v>
      </c>
      <c r="D295" t="s">
        <v>1058</v>
      </c>
      <c r="E295">
        <v>145623.66076699999</v>
      </c>
      <c r="F295">
        <v>17</v>
      </c>
      <c r="G295" t="s">
        <v>1103</v>
      </c>
      <c r="H295" t="s">
        <v>15</v>
      </c>
    </row>
    <row r="296" spans="1:8" x14ac:dyDescent="0.2">
      <c r="A296" t="s">
        <v>1366</v>
      </c>
      <c r="B296" t="s">
        <v>1099</v>
      </c>
      <c r="C296" t="s">
        <v>1100</v>
      </c>
      <c r="D296" t="s">
        <v>35</v>
      </c>
      <c r="E296">
        <v>145623.66076699999</v>
      </c>
      <c r="F296">
        <v>17</v>
      </c>
      <c r="G296" t="s">
        <v>35</v>
      </c>
      <c r="H296" t="s">
        <v>15</v>
      </c>
    </row>
    <row r="297" spans="1:8" x14ac:dyDescent="0.2">
      <c r="A297" t="s">
        <v>1368</v>
      </c>
      <c r="B297" t="s">
        <v>1369</v>
      </c>
      <c r="C297" t="s">
        <v>1092</v>
      </c>
      <c r="D297" t="s">
        <v>1061</v>
      </c>
      <c r="E297">
        <v>27392.858400000001</v>
      </c>
      <c r="F297">
        <v>0</v>
      </c>
      <c r="G297" t="s">
        <v>1103</v>
      </c>
      <c r="H297" t="s">
        <v>15</v>
      </c>
    </row>
    <row r="298" spans="1:8" x14ac:dyDescent="0.2">
      <c r="A298" t="s">
        <v>1368</v>
      </c>
      <c r="B298" t="s">
        <v>1099</v>
      </c>
      <c r="C298" t="s">
        <v>1100</v>
      </c>
      <c r="D298" t="s">
        <v>35</v>
      </c>
      <c r="E298">
        <v>27392.858400000001</v>
      </c>
      <c r="F298">
        <v>0</v>
      </c>
      <c r="G298" t="s">
        <v>35</v>
      </c>
      <c r="H298" t="s">
        <v>15</v>
      </c>
    </row>
    <row r="299" spans="1:8" x14ac:dyDescent="0.2">
      <c r="A299" t="s">
        <v>1370</v>
      </c>
      <c r="B299" t="s">
        <v>1371</v>
      </c>
      <c r="C299" t="s">
        <v>1092</v>
      </c>
      <c r="D299" t="s">
        <v>1058</v>
      </c>
      <c r="E299">
        <v>61777.713524999999</v>
      </c>
      <c r="F299">
        <v>0</v>
      </c>
      <c r="G299" t="s">
        <v>1107</v>
      </c>
      <c r="H299" t="s">
        <v>15</v>
      </c>
    </row>
    <row r="300" spans="1:8" x14ac:dyDescent="0.2">
      <c r="A300" t="s">
        <v>1370</v>
      </c>
      <c r="B300" t="s">
        <v>1372</v>
      </c>
      <c r="C300" t="s">
        <v>1092</v>
      </c>
      <c r="D300" t="s">
        <v>1058</v>
      </c>
      <c r="E300">
        <v>9669.4029750000009</v>
      </c>
      <c r="F300">
        <v>0</v>
      </c>
      <c r="G300" t="s">
        <v>1107</v>
      </c>
      <c r="H300" t="s">
        <v>15</v>
      </c>
    </row>
    <row r="301" spans="1:8" x14ac:dyDescent="0.2">
      <c r="A301" t="s">
        <v>1370</v>
      </c>
      <c r="B301" t="s">
        <v>1099</v>
      </c>
      <c r="C301" t="s">
        <v>1100</v>
      </c>
      <c r="D301" t="s">
        <v>35</v>
      </c>
      <c r="E301">
        <v>71447.116500000004</v>
      </c>
      <c r="F301">
        <v>0</v>
      </c>
      <c r="G301" t="s">
        <v>35</v>
      </c>
      <c r="H301" t="s">
        <v>15</v>
      </c>
    </row>
    <row r="302" spans="1:8" x14ac:dyDescent="0.2">
      <c r="A302" t="s">
        <v>481</v>
      </c>
      <c r="B302" t="s">
        <v>1373</v>
      </c>
      <c r="C302" t="s">
        <v>1092</v>
      </c>
      <c r="D302" t="s">
        <v>1064</v>
      </c>
      <c r="E302">
        <v>268277.59999999998</v>
      </c>
      <c r="F302">
        <v>7</v>
      </c>
      <c r="G302" t="s">
        <v>1107</v>
      </c>
      <c r="H302" t="s">
        <v>15</v>
      </c>
    </row>
    <row r="303" spans="1:8" x14ac:dyDescent="0.2">
      <c r="A303" t="s">
        <v>481</v>
      </c>
      <c r="B303" t="s">
        <v>1374</v>
      </c>
      <c r="C303" t="s">
        <v>1092</v>
      </c>
      <c r="D303" t="s">
        <v>1064</v>
      </c>
      <c r="E303">
        <v>69066.731</v>
      </c>
      <c r="F303">
        <v>6</v>
      </c>
      <c r="G303" t="s">
        <v>1107</v>
      </c>
      <c r="H303" t="s">
        <v>15</v>
      </c>
    </row>
    <row r="304" spans="1:8" x14ac:dyDescent="0.2">
      <c r="A304" t="s">
        <v>481</v>
      </c>
      <c r="B304" t="s">
        <v>1375</v>
      </c>
      <c r="C304" t="s">
        <v>1092</v>
      </c>
      <c r="D304" t="s">
        <v>1064</v>
      </c>
      <c r="E304">
        <v>188179.05600000001</v>
      </c>
      <c r="F304">
        <v>14</v>
      </c>
      <c r="G304" t="s">
        <v>1107</v>
      </c>
      <c r="H304" t="s">
        <v>15</v>
      </c>
    </row>
    <row r="305" spans="1:8" x14ac:dyDescent="0.2">
      <c r="A305" t="s">
        <v>481</v>
      </c>
      <c r="B305" t="s">
        <v>1376</v>
      </c>
      <c r="C305" t="s">
        <v>1092</v>
      </c>
      <c r="D305" t="s">
        <v>1064</v>
      </c>
      <c r="E305">
        <v>255847.9</v>
      </c>
      <c r="F305">
        <v>134</v>
      </c>
      <c r="G305" t="s">
        <v>1107</v>
      </c>
      <c r="H305" t="s">
        <v>15</v>
      </c>
    </row>
    <row r="306" spans="1:8" x14ac:dyDescent="0.2">
      <c r="A306" t="s">
        <v>481</v>
      </c>
      <c r="B306" t="s">
        <v>1377</v>
      </c>
      <c r="C306" t="s">
        <v>1092</v>
      </c>
      <c r="D306" t="s">
        <v>1064</v>
      </c>
      <c r="E306">
        <v>69493.562000000005</v>
      </c>
      <c r="F306">
        <v>2</v>
      </c>
      <c r="G306" t="s">
        <v>1107</v>
      </c>
      <c r="H306" t="s">
        <v>15</v>
      </c>
    </row>
    <row r="307" spans="1:8" x14ac:dyDescent="0.2">
      <c r="A307" t="s">
        <v>481</v>
      </c>
      <c r="B307" t="s">
        <v>1378</v>
      </c>
      <c r="C307" t="s">
        <v>1092</v>
      </c>
      <c r="D307" t="s">
        <v>1064</v>
      </c>
      <c r="E307">
        <v>180918.39999999999</v>
      </c>
      <c r="F307">
        <v>6</v>
      </c>
      <c r="G307" t="s">
        <v>1107</v>
      </c>
      <c r="H307" t="s">
        <v>15</v>
      </c>
    </row>
    <row r="308" spans="1:8" x14ac:dyDescent="0.2">
      <c r="A308" t="s">
        <v>481</v>
      </c>
      <c r="B308" t="s">
        <v>1379</v>
      </c>
      <c r="C308" t="s">
        <v>1092</v>
      </c>
      <c r="D308" t="s">
        <v>1064</v>
      </c>
      <c r="E308">
        <v>90400.817999999999</v>
      </c>
      <c r="F308">
        <v>11</v>
      </c>
      <c r="G308" t="s">
        <v>1107</v>
      </c>
      <c r="H308" t="s">
        <v>15</v>
      </c>
    </row>
    <row r="309" spans="1:8" x14ac:dyDescent="0.2">
      <c r="A309" t="s">
        <v>481</v>
      </c>
      <c r="B309" t="s">
        <v>1380</v>
      </c>
      <c r="C309" t="s">
        <v>1092</v>
      </c>
      <c r="D309" t="s">
        <v>1064</v>
      </c>
      <c r="E309">
        <v>780793</v>
      </c>
      <c r="F309">
        <v>23</v>
      </c>
      <c r="G309" t="s">
        <v>1107</v>
      </c>
      <c r="H309" t="s">
        <v>15</v>
      </c>
    </row>
    <row r="310" spans="1:8" x14ac:dyDescent="0.2">
      <c r="A310" t="s">
        <v>481</v>
      </c>
      <c r="B310" t="s">
        <v>1381</v>
      </c>
      <c r="C310" t="s">
        <v>1092</v>
      </c>
      <c r="D310" t="s">
        <v>1064</v>
      </c>
      <c r="E310">
        <v>567268.30000000005</v>
      </c>
      <c r="F310">
        <v>28</v>
      </c>
      <c r="G310" t="s">
        <v>1107</v>
      </c>
      <c r="H310" t="s">
        <v>15</v>
      </c>
    </row>
    <row r="311" spans="1:8" x14ac:dyDescent="0.2">
      <c r="A311" t="s">
        <v>481</v>
      </c>
      <c r="B311" t="s">
        <v>1382</v>
      </c>
      <c r="C311" t="s">
        <v>1092</v>
      </c>
      <c r="D311" t="s">
        <v>1064</v>
      </c>
      <c r="E311">
        <v>76085.8</v>
      </c>
      <c r="F311">
        <v>9</v>
      </c>
      <c r="G311" t="s">
        <v>1107</v>
      </c>
      <c r="H311" t="s">
        <v>15</v>
      </c>
    </row>
    <row r="312" spans="1:8" x14ac:dyDescent="0.2">
      <c r="A312" t="s">
        <v>481</v>
      </c>
      <c r="B312" t="s">
        <v>1383</v>
      </c>
      <c r="C312" t="s">
        <v>1092</v>
      </c>
      <c r="D312" t="s">
        <v>1064</v>
      </c>
      <c r="E312">
        <v>6179.2</v>
      </c>
      <c r="F312">
        <v>0</v>
      </c>
      <c r="G312" t="s">
        <v>1107</v>
      </c>
      <c r="H312" t="s">
        <v>15</v>
      </c>
    </row>
    <row r="313" spans="1:8" x14ac:dyDescent="0.2">
      <c r="A313" t="s">
        <v>481</v>
      </c>
      <c r="B313" t="s">
        <v>1384</v>
      </c>
      <c r="C313" t="s">
        <v>1092</v>
      </c>
      <c r="D313" t="s">
        <v>1064</v>
      </c>
      <c r="E313">
        <v>33296.800000000003</v>
      </c>
      <c r="F313">
        <v>1</v>
      </c>
      <c r="G313" t="s">
        <v>1107</v>
      </c>
      <c r="H313" t="s">
        <v>15</v>
      </c>
    </row>
    <row r="314" spans="1:8" x14ac:dyDescent="0.2">
      <c r="A314" t="s">
        <v>481</v>
      </c>
      <c r="B314" t="s">
        <v>1385</v>
      </c>
      <c r="C314" t="s">
        <v>1092</v>
      </c>
      <c r="D314" t="s">
        <v>1064</v>
      </c>
      <c r="E314">
        <v>160560.20000000001</v>
      </c>
      <c r="F314">
        <v>14</v>
      </c>
      <c r="G314" t="s">
        <v>1107</v>
      </c>
      <c r="H314" t="s">
        <v>15</v>
      </c>
    </row>
    <row r="315" spans="1:8" x14ac:dyDescent="0.2">
      <c r="A315" t="s">
        <v>481</v>
      </c>
      <c r="B315" t="s">
        <v>1386</v>
      </c>
      <c r="C315" t="s">
        <v>1092</v>
      </c>
      <c r="D315" t="s">
        <v>1064</v>
      </c>
      <c r="E315">
        <v>371057.9</v>
      </c>
      <c r="F315">
        <v>17</v>
      </c>
      <c r="G315" t="s">
        <v>1107</v>
      </c>
      <c r="H315" t="s">
        <v>15</v>
      </c>
    </row>
    <row r="316" spans="1:8" x14ac:dyDescent="0.2">
      <c r="A316" t="s">
        <v>481</v>
      </c>
      <c r="B316" t="s">
        <v>1387</v>
      </c>
      <c r="C316" t="s">
        <v>1092</v>
      </c>
      <c r="D316" t="s">
        <v>1064</v>
      </c>
      <c r="E316">
        <v>292257.90000000002</v>
      </c>
      <c r="F316">
        <v>121</v>
      </c>
      <c r="G316" t="s">
        <v>1107</v>
      </c>
      <c r="H316" t="s">
        <v>15</v>
      </c>
    </row>
    <row r="317" spans="1:8" x14ac:dyDescent="0.2">
      <c r="A317" t="s">
        <v>481</v>
      </c>
      <c r="B317" t="s">
        <v>1388</v>
      </c>
      <c r="C317" t="s">
        <v>1092</v>
      </c>
      <c r="D317" t="s">
        <v>1064</v>
      </c>
      <c r="E317">
        <v>119884.254</v>
      </c>
      <c r="F317">
        <v>6</v>
      </c>
      <c r="G317" t="s">
        <v>1107</v>
      </c>
      <c r="H317" t="s">
        <v>15</v>
      </c>
    </row>
    <row r="318" spans="1:8" x14ac:dyDescent="0.2">
      <c r="A318" t="s">
        <v>481</v>
      </c>
      <c r="B318" t="s">
        <v>1389</v>
      </c>
      <c r="C318" t="s">
        <v>1092</v>
      </c>
      <c r="D318" t="s">
        <v>1064</v>
      </c>
      <c r="E318">
        <v>84875.9</v>
      </c>
      <c r="F318">
        <v>8</v>
      </c>
      <c r="G318" t="s">
        <v>1107</v>
      </c>
      <c r="H318" t="s">
        <v>15</v>
      </c>
    </row>
    <row r="319" spans="1:8" x14ac:dyDescent="0.2">
      <c r="A319" t="s">
        <v>481</v>
      </c>
      <c r="B319" t="s">
        <v>1390</v>
      </c>
      <c r="C319" t="s">
        <v>1092</v>
      </c>
      <c r="D319" t="s">
        <v>1064</v>
      </c>
      <c r="E319">
        <v>5213.8999999999996</v>
      </c>
      <c r="F319">
        <v>0</v>
      </c>
      <c r="G319" t="s">
        <v>1107</v>
      </c>
      <c r="H319" t="s">
        <v>15</v>
      </c>
    </row>
    <row r="320" spans="1:8" x14ac:dyDescent="0.2">
      <c r="A320" t="s">
        <v>481</v>
      </c>
      <c r="B320" t="s">
        <v>1391</v>
      </c>
      <c r="C320" t="s">
        <v>1092</v>
      </c>
      <c r="D320" t="s">
        <v>1064</v>
      </c>
      <c r="E320">
        <v>1312018</v>
      </c>
      <c r="F320">
        <v>8</v>
      </c>
      <c r="G320" t="s">
        <v>1107</v>
      </c>
      <c r="H320" t="s">
        <v>15</v>
      </c>
    </row>
    <row r="321" spans="1:8" x14ac:dyDescent="0.2">
      <c r="A321" t="s">
        <v>481</v>
      </c>
      <c r="B321" t="s">
        <v>1392</v>
      </c>
      <c r="C321" t="s">
        <v>1092</v>
      </c>
      <c r="D321" t="s">
        <v>1064</v>
      </c>
      <c r="E321">
        <v>759347.478</v>
      </c>
      <c r="F321">
        <v>74</v>
      </c>
      <c r="G321" t="s">
        <v>1107</v>
      </c>
      <c r="H321" t="s">
        <v>15</v>
      </c>
    </row>
    <row r="322" spans="1:8" x14ac:dyDescent="0.2">
      <c r="A322" t="s">
        <v>481</v>
      </c>
      <c r="B322" t="s">
        <v>1393</v>
      </c>
      <c r="C322" t="s">
        <v>1092</v>
      </c>
      <c r="D322" t="s">
        <v>1064</v>
      </c>
      <c r="E322">
        <v>115148.899</v>
      </c>
      <c r="F322">
        <v>7</v>
      </c>
      <c r="G322" t="s">
        <v>1107</v>
      </c>
      <c r="H322" t="s">
        <v>15</v>
      </c>
    </row>
    <row r="323" spans="1:8" x14ac:dyDescent="0.2">
      <c r="A323" t="s">
        <v>481</v>
      </c>
      <c r="B323" t="s">
        <v>1394</v>
      </c>
      <c r="C323" t="s">
        <v>1092</v>
      </c>
      <c r="D323" t="s">
        <v>1064</v>
      </c>
      <c r="E323">
        <v>553189.1</v>
      </c>
      <c r="F323">
        <v>944</v>
      </c>
      <c r="G323" t="s">
        <v>1107</v>
      </c>
      <c r="H323" t="s">
        <v>15</v>
      </c>
    </row>
    <row r="324" spans="1:8" x14ac:dyDescent="0.2">
      <c r="A324" t="s">
        <v>481</v>
      </c>
      <c r="B324" t="s">
        <v>1395</v>
      </c>
      <c r="C324" t="s">
        <v>1092</v>
      </c>
      <c r="D324" t="s">
        <v>1064</v>
      </c>
      <c r="E324">
        <v>0</v>
      </c>
      <c r="F324">
        <v>0</v>
      </c>
      <c r="G324" t="s">
        <v>1107</v>
      </c>
      <c r="H324" t="s">
        <v>15</v>
      </c>
    </row>
    <row r="325" spans="1:8" x14ac:dyDescent="0.2">
      <c r="A325" t="s">
        <v>481</v>
      </c>
      <c r="B325" t="s">
        <v>1396</v>
      </c>
      <c r="C325" t="s">
        <v>1092</v>
      </c>
      <c r="D325" t="s">
        <v>1064</v>
      </c>
      <c r="E325">
        <v>344370.9</v>
      </c>
      <c r="F325">
        <v>0</v>
      </c>
      <c r="G325" t="s">
        <v>1107</v>
      </c>
      <c r="H325" t="s">
        <v>15</v>
      </c>
    </row>
    <row r="326" spans="1:8" x14ac:dyDescent="0.2">
      <c r="A326" t="s">
        <v>481</v>
      </c>
      <c r="B326" t="s">
        <v>1397</v>
      </c>
      <c r="C326" t="s">
        <v>1092</v>
      </c>
      <c r="D326" t="s">
        <v>1064</v>
      </c>
      <c r="E326">
        <v>211796.2</v>
      </c>
      <c r="F326">
        <v>24</v>
      </c>
      <c r="G326" t="s">
        <v>1107</v>
      </c>
      <c r="H326" t="s">
        <v>15</v>
      </c>
    </row>
    <row r="327" spans="1:8" x14ac:dyDescent="0.2">
      <c r="A327" t="s">
        <v>481</v>
      </c>
      <c r="B327" t="s">
        <v>1398</v>
      </c>
      <c r="C327" t="s">
        <v>1092</v>
      </c>
      <c r="D327" t="s">
        <v>1064</v>
      </c>
      <c r="E327">
        <v>376376.6</v>
      </c>
      <c r="F327">
        <v>31</v>
      </c>
      <c r="G327" t="s">
        <v>1107</v>
      </c>
      <c r="H327" t="s">
        <v>15</v>
      </c>
    </row>
    <row r="328" spans="1:8" x14ac:dyDescent="0.2">
      <c r="A328" t="s">
        <v>481</v>
      </c>
      <c r="B328" t="s">
        <v>1399</v>
      </c>
      <c r="C328" t="s">
        <v>1092</v>
      </c>
      <c r="D328" t="s">
        <v>1064</v>
      </c>
      <c r="E328">
        <v>216516.21100000001</v>
      </c>
      <c r="F328">
        <v>0</v>
      </c>
      <c r="G328" t="s">
        <v>1107</v>
      </c>
      <c r="H328" t="s">
        <v>15</v>
      </c>
    </row>
    <row r="329" spans="1:8" x14ac:dyDescent="0.2">
      <c r="A329" t="s">
        <v>481</v>
      </c>
      <c r="B329" t="s">
        <v>1400</v>
      </c>
      <c r="C329" t="s">
        <v>1092</v>
      </c>
      <c r="D329" t="s">
        <v>1064</v>
      </c>
      <c r="E329">
        <v>81927.5</v>
      </c>
      <c r="F329">
        <v>6</v>
      </c>
      <c r="G329" t="s">
        <v>1107</v>
      </c>
      <c r="H329" t="s">
        <v>15</v>
      </c>
    </row>
    <row r="330" spans="1:8" x14ac:dyDescent="0.2">
      <c r="A330" t="s">
        <v>481</v>
      </c>
      <c r="B330" t="s">
        <v>1401</v>
      </c>
      <c r="C330" t="s">
        <v>1092</v>
      </c>
      <c r="D330" t="s">
        <v>1064</v>
      </c>
      <c r="E330">
        <v>5191.6679999999997</v>
      </c>
      <c r="F330">
        <v>1769</v>
      </c>
      <c r="G330" t="s">
        <v>1093</v>
      </c>
      <c r="H330" t="s">
        <v>15</v>
      </c>
    </row>
    <row r="331" spans="1:8" x14ac:dyDescent="0.2">
      <c r="A331" t="s">
        <v>481</v>
      </c>
      <c r="B331" t="s">
        <v>1402</v>
      </c>
      <c r="C331" t="s">
        <v>1092</v>
      </c>
      <c r="D331" t="s">
        <v>1064</v>
      </c>
      <c r="E331">
        <v>14612.835999999999</v>
      </c>
      <c r="F331">
        <v>6924</v>
      </c>
      <c r="G331" t="s">
        <v>1236</v>
      </c>
      <c r="H331" t="s">
        <v>15</v>
      </c>
    </row>
    <row r="332" spans="1:8" x14ac:dyDescent="0.2">
      <c r="A332" t="s">
        <v>481</v>
      </c>
      <c r="B332" t="s">
        <v>1403</v>
      </c>
      <c r="C332" t="s">
        <v>1092</v>
      </c>
      <c r="D332" t="s">
        <v>1064</v>
      </c>
      <c r="E332">
        <v>233139.78</v>
      </c>
      <c r="F332">
        <v>112140</v>
      </c>
      <c r="G332" t="s">
        <v>1109</v>
      </c>
      <c r="H332" t="s">
        <v>15</v>
      </c>
    </row>
    <row r="333" spans="1:8" x14ac:dyDescent="0.2">
      <c r="A333" t="s">
        <v>481</v>
      </c>
      <c r="B333" t="s">
        <v>1099</v>
      </c>
      <c r="C333" t="s">
        <v>1100</v>
      </c>
      <c r="D333" t="s">
        <v>35</v>
      </c>
      <c r="E333">
        <v>7843292.3930000002</v>
      </c>
      <c r="F333">
        <v>122334</v>
      </c>
      <c r="G333" t="s">
        <v>35</v>
      </c>
      <c r="H333" t="s">
        <v>15</v>
      </c>
    </row>
    <row r="334" spans="1:8" x14ac:dyDescent="0.2">
      <c r="A334" t="s">
        <v>874</v>
      </c>
      <c r="B334" t="s">
        <v>1404</v>
      </c>
      <c r="C334" t="s">
        <v>1092</v>
      </c>
      <c r="D334" t="s">
        <v>1126</v>
      </c>
      <c r="E334">
        <v>260761.6974</v>
      </c>
      <c r="F334">
        <v>81</v>
      </c>
      <c r="G334" t="s">
        <v>1093</v>
      </c>
      <c r="H334" t="s">
        <v>15</v>
      </c>
    </row>
    <row r="335" spans="1:8" x14ac:dyDescent="0.2">
      <c r="A335" t="s">
        <v>874</v>
      </c>
      <c r="B335" t="s">
        <v>1405</v>
      </c>
      <c r="C335" t="s">
        <v>1092</v>
      </c>
      <c r="D335" t="s">
        <v>1058</v>
      </c>
      <c r="E335">
        <v>420061.57140000002</v>
      </c>
      <c r="F335">
        <v>89</v>
      </c>
      <c r="G335" t="s">
        <v>1103</v>
      </c>
      <c r="H335" t="s">
        <v>15</v>
      </c>
    </row>
    <row r="336" spans="1:8" x14ac:dyDescent="0.2">
      <c r="A336" t="s">
        <v>874</v>
      </c>
      <c r="B336" t="s">
        <v>1406</v>
      </c>
      <c r="C336" t="s">
        <v>1092</v>
      </c>
      <c r="D336" t="s">
        <v>1058</v>
      </c>
      <c r="E336">
        <v>281169.77</v>
      </c>
      <c r="F336">
        <v>92</v>
      </c>
      <c r="G336" t="s">
        <v>1093</v>
      </c>
      <c r="H336" t="s">
        <v>15</v>
      </c>
    </row>
    <row r="337" spans="1:8" x14ac:dyDescent="0.2">
      <c r="A337" t="s">
        <v>874</v>
      </c>
      <c r="B337" t="s">
        <v>1407</v>
      </c>
      <c r="C337" t="s">
        <v>1092</v>
      </c>
      <c r="D337" t="s">
        <v>1052</v>
      </c>
      <c r="E337">
        <v>43296.722999999998</v>
      </c>
      <c r="F337">
        <v>23494</v>
      </c>
      <c r="G337" t="s">
        <v>1109</v>
      </c>
      <c r="H337" t="s">
        <v>15</v>
      </c>
    </row>
    <row r="338" spans="1:8" x14ac:dyDescent="0.2">
      <c r="A338" t="s">
        <v>874</v>
      </c>
      <c r="B338" t="s">
        <v>1408</v>
      </c>
      <c r="C338" t="s">
        <v>1092</v>
      </c>
      <c r="D338" t="s">
        <v>1058</v>
      </c>
      <c r="E338">
        <v>301357.614</v>
      </c>
      <c r="F338">
        <v>194</v>
      </c>
      <c r="G338" t="s">
        <v>1093</v>
      </c>
      <c r="H338" t="s">
        <v>15</v>
      </c>
    </row>
    <row r="339" spans="1:8" x14ac:dyDescent="0.2">
      <c r="A339" t="s">
        <v>874</v>
      </c>
      <c r="B339" t="s">
        <v>1409</v>
      </c>
      <c r="C339" t="s">
        <v>1092</v>
      </c>
      <c r="D339" t="s">
        <v>1052</v>
      </c>
      <c r="E339">
        <v>0</v>
      </c>
      <c r="F339">
        <v>5</v>
      </c>
      <c r="G339" t="s">
        <v>1191</v>
      </c>
      <c r="H339" t="s">
        <v>15</v>
      </c>
    </row>
    <row r="340" spans="1:8" x14ac:dyDescent="0.2">
      <c r="A340" t="s">
        <v>874</v>
      </c>
      <c r="B340" t="s">
        <v>1410</v>
      </c>
      <c r="C340" t="s">
        <v>1092</v>
      </c>
      <c r="D340" t="s">
        <v>1052</v>
      </c>
      <c r="E340">
        <v>490743.3357</v>
      </c>
      <c r="F340">
        <v>133</v>
      </c>
      <c r="G340" t="s">
        <v>1093</v>
      </c>
      <c r="H340" t="s">
        <v>15</v>
      </c>
    </row>
    <row r="341" spans="1:8" x14ac:dyDescent="0.2">
      <c r="A341" t="s">
        <v>874</v>
      </c>
      <c r="B341" t="s">
        <v>1411</v>
      </c>
      <c r="C341" t="s">
        <v>1092</v>
      </c>
      <c r="D341" t="s">
        <v>1052</v>
      </c>
      <c r="E341">
        <v>758101.83799999999</v>
      </c>
      <c r="F341">
        <v>228</v>
      </c>
      <c r="G341" t="s">
        <v>1093</v>
      </c>
      <c r="H341" t="s">
        <v>15</v>
      </c>
    </row>
    <row r="342" spans="1:8" x14ac:dyDescent="0.2">
      <c r="A342" t="s">
        <v>874</v>
      </c>
      <c r="B342" t="s">
        <v>1412</v>
      </c>
      <c r="C342" t="s">
        <v>1092</v>
      </c>
      <c r="D342" t="s">
        <v>1058</v>
      </c>
      <c r="E342">
        <v>48340.250999999997</v>
      </c>
      <c r="F342">
        <v>34995</v>
      </c>
      <c r="G342" t="s">
        <v>1109</v>
      </c>
      <c r="H342" t="s">
        <v>15</v>
      </c>
    </row>
    <row r="343" spans="1:8" x14ac:dyDescent="0.2">
      <c r="A343" t="s">
        <v>874</v>
      </c>
      <c r="B343" t="s">
        <v>1413</v>
      </c>
      <c r="C343" t="s">
        <v>1092</v>
      </c>
      <c r="D343" t="s">
        <v>1058</v>
      </c>
      <c r="E343">
        <v>114054.95209999999</v>
      </c>
      <c r="F343">
        <v>58</v>
      </c>
      <c r="G343" t="s">
        <v>1093</v>
      </c>
      <c r="H343" t="s">
        <v>15</v>
      </c>
    </row>
    <row r="344" spans="1:8" x14ac:dyDescent="0.2">
      <c r="A344" t="s">
        <v>874</v>
      </c>
      <c r="B344" t="s">
        <v>1099</v>
      </c>
      <c r="C344" t="s">
        <v>1100</v>
      </c>
      <c r="D344" t="s">
        <v>35</v>
      </c>
      <c r="E344">
        <v>2717887.7525999998</v>
      </c>
      <c r="F344">
        <v>59369</v>
      </c>
      <c r="G344" t="s">
        <v>35</v>
      </c>
      <c r="H344" t="s">
        <v>15</v>
      </c>
    </row>
    <row r="345" spans="1:8" x14ac:dyDescent="0.2">
      <c r="A345" t="s">
        <v>1414</v>
      </c>
      <c r="B345" t="s">
        <v>1415</v>
      </c>
      <c r="C345" t="s">
        <v>1092</v>
      </c>
      <c r="D345" t="s">
        <v>1061</v>
      </c>
      <c r="E345">
        <v>250663.864</v>
      </c>
      <c r="F345">
        <v>45</v>
      </c>
      <c r="G345" t="s">
        <v>1103</v>
      </c>
      <c r="H345" t="s">
        <v>15</v>
      </c>
    </row>
    <row r="346" spans="1:8" x14ac:dyDescent="0.2">
      <c r="A346" t="s">
        <v>1414</v>
      </c>
      <c r="B346" t="s">
        <v>1099</v>
      </c>
      <c r="C346" t="s">
        <v>1100</v>
      </c>
      <c r="D346" t="s">
        <v>35</v>
      </c>
      <c r="E346">
        <v>250663.864</v>
      </c>
      <c r="F346">
        <v>45</v>
      </c>
      <c r="G346" t="s">
        <v>35</v>
      </c>
      <c r="H346" t="s">
        <v>15</v>
      </c>
    </row>
    <row r="347" spans="1:8" x14ac:dyDescent="0.2">
      <c r="A347" t="s">
        <v>1416</v>
      </c>
      <c r="B347" t="s">
        <v>1417</v>
      </c>
      <c r="C347" t="s">
        <v>1092</v>
      </c>
      <c r="D347" t="s">
        <v>1061</v>
      </c>
      <c r="E347">
        <v>176949.15400000001</v>
      </c>
      <c r="F347">
        <v>54</v>
      </c>
      <c r="G347" t="s">
        <v>1093</v>
      </c>
      <c r="H347" t="s">
        <v>15</v>
      </c>
    </row>
    <row r="348" spans="1:8" x14ac:dyDescent="0.2">
      <c r="A348" t="s">
        <v>1416</v>
      </c>
      <c r="B348" t="s">
        <v>1099</v>
      </c>
      <c r="C348" t="s">
        <v>1100</v>
      </c>
      <c r="D348" t="s">
        <v>35</v>
      </c>
      <c r="E348">
        <v>176949.15400000001</v>
      </c>
      <c r="F348">
        <v>54</v>
      </c>
      <c r="G348" t="s">
        <v>35</v>
      </c>
      <c r="H348" t="s">
        <v>15</v>
      </c>
    </row>
    <row r="349" spans="1:8" x14ac:dyDescent="0.2">
      <c r="A349" t="s">
        <v>1418</v>
      </c>
      <c r="B349" t="s">
        <v>1419</v>
      </c>
      <c r="C349" t="s">
        <v>1092</v>
      </c>
      <c r="D349" t="s">
        <v>1096</v>
      </c>
      <c r="E349">
        <v>125508.667</v>
      </c>
      <c r="F349">
        <v>0</v>
      </c>
      <c r="G349" t="s">
        <v>1103</v>
      </c>
      <c r="H349" t="s">
        <v>15</v>
      </c>
    </row>
    <row r="350" spans="1:8" x14ac:dyDescent="0.2">
      <c r="A350" t="s">
        <v>1418</v>
      </c>
      <c r="B350" t="s">
        <v>1099</v>
      </c>
      <c r="C350" t="s">
        <v>1100</v>
      </c>
      <c r="D350" t="s">
        <v>35</v>
      </c>
      <c r="E350">
        <v>125508.667</v>
      </c>
      <c r="F350">
        <v>0</v>
      </c>
      <c r="G350" t="s">
        <v>35</v>
      </c>
      <c r="H350" t="s">
        <v>15</v>
      </c>
    </row>
    <row r="351" spans="1:8" x14ac:dyDescent="0.2">
      <c r="A351" t="s">
        <v>1420</v>
      </c>
      <c r="B351" t="s">
        <v>1421</v>
      </c>
      <c r="C351" t="s">
        <v>1092</v>
      </c>
      <c r="D351" t="s">
        <v>1096</v>
      </c>
      <c r="E351">
        <v>470269.210058</v>
      </c>
      <c r="F351">
        <v>130</v>
      </c>
      <c r="G351" t="s">
        <v>1093</v>
      </c>
      <c r="H351" t="s">
        <v>15</v>
      </c>
    </row>
    <row r="352" spans="1:8" x14ac:dyDescent="0.2">
      <c r="A352" t="s">
        <v>1420</v>
      </c>
      <c r="B352" t="s">
        <v>1099</v>
      </c>
      <c r="C352" t="s">
        <v>1100</v>
      </c>
      <c r="D352" t="s">
        <v>35</v>
      </c>
      <c r="E352">
        <v>470269.210058</v>
      </c>
      <c r="F352">
        <v>130</v>
      </c>
      <c r="G352" t="s">
        <v>35</v>
      </c>
      <c r="H352" t="s">
        <v>15</v>
      </c>
    </row>
    <row r="353" spans="1:8" x14ac:dyDescent="0.2">
      <c r="A353" t="s">
        <v>105</v>
      </c>
      <c r="B353" t="s">
        <v>1422</v>
      </c>
      <c r="C353" t="s">
        <v>1092</v>
      </c>
      <c r="D353" t="s">
        <v>1126</v>
      </c>
      <c r="E353">
        <v>0</v>
      </c>
      <c r="F353">
        <v>0</v>
      </c>
      <c r="G353" t="s">
        <v>1236</v>
      </c>
      <c r="H353" t="s">
        <v>15</v>
      </c>
    </row>
    <row r="354" spans="1:8" x14ac:dyDescent="0.2">
      <c r="A354" t="s">
        <v>105</v>
      </c>
      <c r="B354" t="s">
        <v>1423</v>
      </c>
      <c r="C354" t="s">
        <v>1092</v>
      </c>
      <c r="D354" t="s">
        <v>1126</v>
      </c>
      <c r="E354">
        <v>23882.071188999998</v>
      </c>
      <c r="F354">
        <v>1840</v>
      </c>
      <c r="G354" t="s">
        <v>1238</v>
      </c>
      <c r="H354" t="s">
        <v>15</v>
      </c>
    </row>
    <row r="355" spans="1:8" x14ac:dyDescent="0.2">
      <c r="A355" t="s">
        <v>105</v>
      </c>
      <c r="B355" t="s">
        <v>1424</v>
      </c>
      <c r="C355" t="s">
        <v>1092</v>
      </c>
      <c r="D355" t="s">
        <v>1126</v>
      </c>
      <c r="E355">
        <v>28099.163496000001</v>
      </c>
      <c r="F355">
        <v>2162</v>
      </c>
      <c r="G355" t="s">
        <v>1238</v>
      </c>
      <c r="H355" t="s">
        <v>15</v>
      </c>
    </row>
    <row r="356" spans="1:8" x14ac:dyDescent="0.2">
      <c r="A356" t="s">
        <v>105</v>
      </c>
      <c r="B356" t="s">
        <v>1099</v>
      </c>
      <c r="C356" t="s">
        <v>1100</v>
      </c>
      <c r="D356" t="s">
        <v>35</v>
      </c>
      <c r="E356">
        <v>51981.234685000003</v>
      </c>
      <c r="F356">
        <v>4002</v>
      </c>
      <c r="G356" t="s">
        <v>35</v>
      </c>
      <c r="H356" t="s">
        <v>15</v>
      </c>
    </row>
    <row r="357" spans="1:8" x14ac:dyDescent="0.2">
      <c r="A357" t="s">
        <v>1425</v>
      </c>
      <c r="B357" t="s">
        <v>1426</v>
      </c>
      <c r="C357" t="s">
        <v>1092</v>
      </c>
      <c r="D357" t="s">
        <v>1061</v>
      </c>
      <c r="E357">
        <v>8005.6139999999996</v>
      </c>
      <c r="F357">
        <v>715</v>
      </c>
      <c r="G357" t="s">
        <v>1238</v>
      </c>
      <c r="H357" t="s">
        <v>15</v>
      </c>
    </row>
    <row r="358" spans="1:8" x14ac:dyDescent="0.2">
      <c r="A358" t="s">
        <v>1425</v>
      </c>
      <c r="B358" t="s">
        <v>1427</v>
      </c>
      <c r="C358" t="s">
        <v>1092</v>
      </c>
      <c r="D358" t="s">
        <v>1061</v>
      </c>
      <c r="E358">
        <v>5323.4780000000001</v>
      </c>
      <c r="F358">
        <v>626</v>
      </c>
      <c r="G358" t="s">
        <v>1238</v>
      </c>
      <c r="H358" t="s">
        <v>15</v>
      </c>
    </row>
    <row r="359" spans="1:8" x14ac:dyDescent="0.2">
      <c r="A359" t="s">
        <v>1425</v>
      </c>
      <c r="B359" t="s">
        <v>1428</v>
      </c>
      <c r="C359" t="s">
        <v>1092</v>
      </c>
      <c r="D359" t="s">
        <v>1061</v>
      </c>
      <c r="E359">
        <v>14499.627</v>
      </c>
      <c r="F359">
        <v>1333</v>
      </c>
      <c r="G359" t="s">
        <v>1238</v>
      </c>
      <c r="H359" t="s">
        <v>15</v>
      </c>
    </row>
    <row r="360" spans="1:8" x14ac:dyDescent="0.2">
      <c r="A360" t="s">
        <v>1425</v>
      </c>
      <c r="B360" t="s">
        <v>1429</v>
      </c>
      <c r="C360" t="s">
        <v>1092</v>
      </c>
      <c r="D360" t="s">
        <v>1061</v>
      </c>
      <c r="E360">
        <v>13157.977000000001</v>
      </c>
      <c r="F360">
        <v>991</v>
      </c>
      <c r="G360" t="s">
        <v>1238</v>
      </c>
      <c r="H360" t="s">
        <v>15</v>
      </c>
    </row>
    <row r="361" spans="1:8" x14ac:dyDescent="0.2">
      <c r="A361" t="s">
        <v>1425</v>
      </c>
      <c r="B361" t="s">
        <v>1430</v>
      </c>
      <c r="C361" t="s">
        <v>1092</v>
      </c>
      <c r="D361" t="s">
        <v>1061</v>
      </c>
      <c r="E361">
        <v>11515.308000000001</v>
      </c>
      <c r="F361">
        <v>1296</v>
      </c>
      <c r="G361" t="s">
        <v>1238</v>
      </c>
      <c r="H361" t="s">
        <v>15</v>
      </c>
    </row>
    <row r="362" spans="1:8" x14ac:dyDescent="0.2">
      <c r="A362" t="s">
        <v>1425</v>
      </c>
      <c r="B362" t="s">
        <v>1431</v>
      </c>
      <c r="C362" t="s">
        <v>1092</v>
      </c>
      <c r="D362" t="s">
        <v>1215</v>
      </c>
      <c r="E362">
        <v>35651.847000000002</v>
      </c>
      <c r="F362">
        <v>4349</v>
      </c>
      <c r="G362" t="s">
        <v>1238</v>
      </c>
      <c r="H362" t="s">
        <v>15</v>
      </c>
    </row>
    <row r="363" spans="1:8" x14ac:dyDescent="0.2">
      <c r="A363" t="s">
        <v>1425</v>
      </c>
      <c r="B363" t="s">
        <v>1432</v>
      </c>
      <c r="C363" t="s">
        <v>1092</v>
      </c>
      <c r="D363" t="s">
        <v>1061</v>
      </c>
      <c r="E363">
        <v>4625.018</v>
      </c>
      <c r="F363">
        <v>451</v>
      </c>
      <c r="G363" t="s">
        <v>1238</v>
      </c>
      <c r="H363" t="s">
        <v>15</v>
      </c>
    </row>
    <row r="364" spans="1:8" x14ac:dyDescent="0.2">
      <c r="A364" t="s">
        <v>1425</v>
      </c>
      <c r="B364" t="s">
        <v>1099</v>
      </c>
      <c r="C364" t="s">
        <v>1100</v>
      </c>
      <c r="D364" t="s">
        <v>35</v>
      </c>
      <c r="E364">
        <v>92778.869000000006</v>
      </c>
      <c r="F364">
        <v>9761</v>
      </c>
      <c r="G364" t="s">
        <v>35</v>
      </c>
      <c r="H364" t="s">
        <v>15</v>
      </c>
    </row>
    <row r="365" spans="1:8" x14ac:dyDescent="0.2">
      <c r="A365" t="s">
        <v>1433</v>
      </c>
      <c r="B365" t="s">
        <v>1434</v>
      </c>
      <c r="C365" t="s">
        <v>1092</v>
      </c>
      <c r="D365" t="s">
        <v>1061</v>
      </c>
      <c r="E365">
        <v>102566.436</v>
      </c>
      <c r="F365">
        <v>36</v>
      </c>
      <c r="G365" t="s">
        <v>1103</v>
      </c>
      <c r="H365" t="s">
        <v>15</v>
      </c>
    </row>
    <row r="366" spans="1:8" x14ac:dyDescent="0.2">
      <c r="A366" t="s">
        <v>1433</v>
      </c>
      <c r="B366" t="s">
        <v>1099</v>
      </c>
      <c r="C366" t="s">
        <v>1100</v>
      </c>
      <c r="D366" t="s">
        <v>35</v>
      </c>
      <c r="E366">
        <v>102566.436</v>
      </c>
      <c r="F366">
        <v>36</v>
      </c>
      <c r="G366" t="s">
        <v>35</v>
      </c>
      <c r="H366" t="s">
        <v>15</v>
      </c>
    </row>
    <row r="367" spans="1:8" x14ac:dyDescent="0.2">
      <c r="A367" t="s">
        <v>1435</v>
      </c>
      <c r="B367" t="s">
        <v>1436</v>
      </c>
      <c r="C367" t="s">
        <v>1092</v>
      </c>
      <c r="D367" t="s">
        <v>1061</v>
      </c>
      <c r="E367">
        <v>168595.44</v>
      </c>
      <c r="F367">
        <v>57</v>
      </c>
      <c r="G367" t="s">
        <v>1103</v>
      </c>
      <c r="H367" t="s">
        <v>15</v>
      </c>
    </row>
    <row r="368" spans="1:8" x14ac:dyDescent="0.2">
      <c r="A368" t="s">
        <v>1435</v>
      </c>
      <c r="B368" t="s">
        <v>1099</v>
      </c>
      <c r="C368" t="s">
        <v>1100</v>
      </c>
      <c r="D368" t="s">
        <v>35</v>
      </c>
      <c r="E368">
        <v>168595.44</v>
      </c>
      <c r="F368">
        <v>57</v>
      </c>
      <c r="G368" t="s">
        <v>35</v>
      </c>
      <c r="H368" t="s">
        <v>15</v>
      </c>
    </row>
    <row r="369" spans="1:8" x14ac:dyDescent="0.2">
      <c r="A369" t="s">
        <v>1437</v>
      </c>
      <c r="B369" t="s">
        <v>1438</v>
      </c>
      <c r="C369" t="s">
        <v>1092</v>
      </c>
      <c r="D369" t="s">
        <v>1052</v>
      </c>
      <c r="E369">
        <v>610325.06955000001</v>
      </c>
      <c r="F369">
        <v>39</v>
      </c>
      <c r="G369" t="s">
        <v>1093</v>
      </c>
      <c r="H369" t="s">
        <v>15</v>
      </c>
    </row>
    <row r="370" spans="1:8" x14ac:dyDescent="0.2">
      <c r="A370" t="s">
        <v>1437</v>
      </c>
      <c r="B370" t="s">
        <v>1099</v>
      </c>
      <c r="C370" t="s">
        <v>1100</v>
      </c>
      <c r="D370" t="s">
        <v>35</v>
      </c>
      <c r="E370">
        <v>610325.06955000001</v>
      </c>
      <c r="F370">
        <v>39</v>
      </c>
      <c r="G370" t="s">
        <v>35</v>
      </c>
      <c r="H370" t="s">
        <v>15</v>
      </c>
    </row>
    <row r="371" spans="1:8" x14ac:dyDescent="0.2">
      <c r="A371" t="s">
        <v>543</v>
      </c>
      <c r="B371" t="s">
        <v>1439</v>
      </c>
      <c r="C371" t="s">
        <v>1092</v>
      </c>
      <c r="D371" t="s">
        <v>1058</v>
      </c>
      <c r="E371">
        <v>6764.0360000000001</v>
      </c>
      <c r="F371">
        <v>519</v>
      </c>
      <c r="G371" t="s">
        <v>1238</v>
      </c>
      <c r="H371" t="s">
        <v>15</v>
      </c>
    </row>
    <row r="372" spans="1:8" x14ac:dyDescent="0.2">
      <c r="A372" t="s">
        <v>543</v>
      </c>
      <c r="B372" t="s">
        <v>1440</v>
      </c>
      <c r="C372" t="s">
        <v>1092</v>
      </c>
      <c r="D372" t="s">
        <v>1058</v>
      </c>
      <c r="E372">
        <v>982.70600000000002</v>
      </c>
      <c r="F372">
        <v>0</v>
      </c>
      <c r="G372" t="s">
        <v>1103</v>
      </c>
      <c r="H372" t="s">
        <v>15</v>
      </c>
    </row>
    <row r="373" spans="1:8" x14ac:dyDescent="0.2">
      <c r="A373" t="s">
        <v>543</v>
      </c>
      <c r="B373" t="s">
        <v>1441</v>
      </c>
      <c r="C373" t="s">
        <v>1092</v>
      </c>
      <c r="D373" t="s">
        <v>1058</v>
      </c>
      <c r="E373">
        <v>3503.9720000000002</v>
      </c>
      <c r="F373">
        <v>265</v>
      </c>
      <c r="G373" t="s">
        <v>1238</v>
      </c>
      <c r="H373" t="s">
        <v>15</v>
      </c>
    </row>
    <row r="374" spans="1:8" x14ac:dyDescent="0.2">
      <c r="A374" t="s">
        <v>543</v>
      </c>
      <c r="B374" t="s">
        <v>1442</v>
      </c>
      <c r="C374" t="s">
        <v>1092</v>
      </c>
      <c r="D374" t="s">
        <v>1096</v>
      </c>
      <c r="E374">
        <v>11353.254000000001</v>
      </c>
      <c r="F374">
        <v>872</v>
      </c>
      <c r="G374" t="s">
        <v>1238</v>
      </c>
      <c r="H374" t="s">
        <v>15</v>
      </c>
    </row>
    <row r="375" spans="1:8" x14ac:dyDescent="0.2">
      <c r="A375" t="s">
        <v>543</v>
      </c>
      <c r="B375" t="s">
        <v>1443</v>
      </c>
      <c r="C375" t="s">
        <v>1092</v>
      </c>
      <c r="D375" t="s">
        <v>1096</v>
      </c>
      <c r="E375">
        <v>4232.3040000000001</v>
      </c>
      <c r="F375">
        <v>303</v>
      </c>
      <c r="G375" t="s">
        <v>1238</v>
      </c>
      <c r="H375" t="s">
        <v>15</v>
      </c>
    </row>
    <row r="376" spans="1:8" x14ac:dyDescent="0.2">
      <c r="A376" t="s">
        <v>543</v>
      </c>
      <c r="B376" t="s">
        <v>1444</v>
      </c>
      <c r="C376" t="s">
        <v>1092</v>
      </c>
      <c r="D376" t="s">
        <v>1061</v>
      </c>
      <c r="E376">
        <v>6810.5730000000003</v>
      </c>
      <c r="F376">
        <v>487</v>
      </c>
      <c r="G376" t="s">
        <v>1238</v>
      </c>
      <c r="H376" t="s">
        <v>15</v>
      </c>
    </row>
    <row r="377" spans="1:8" x14ac:dyDescent="0.2">
      <c r="A377" t="s">
        <v>543</v>
      </c>
      <c r="B377" t="s">
        <v>1445</v>
      </c>
      <c r="C377" t="s">
        <v>1092</v>
      </c>
      <c r="D377" t="s">
        <v>1064</v>
      </c>
      <c r="E377">
        <v>15393.418</v>
      </c>
      <c r="F377">
        <v>1090</v>
      </c>
      <c r="G377" t="s">
        <v>1238</v>
      </c>
      <c r="H377" t="s">
        <v>15</v>
      </c>
    </row>
    <row r="378" spans="1:8" x14ac:dyDescent="0.2">
      <c r="A378" t="s">
        <v>543</v>
      </c>
      <c r="B378" t="s">
        <v>1446</v>
      </c>
      <c r="C378" t="s">
        <v>1092</v>
      </c>
      <c r="D378" t="s">
        <v>1223</v>
      </c>
      <c r="E378">
        <v>9177.5020000000004</v>
      </c>
      <c r="F378">
        <v>645</v>
      </c>
      <c r="G378" t="s">
        <v>1238</v>
      </c>
      <c r="H378" t="s">
        <v>15</v>
      </c>
    </row>
    <row r="379" spans="1:8" x14ac:dyDescent="0.2">
      <c r="A379" t="s">
        <v>543</v>
      </c>
      <c r="B379" t="s">
        <v>1447</v>
      </c>
      <c r="C379" t="s">
        <v>1092</v>
      </c>
      <c r="D379" t="s">
        <v>1096</v>
      </c>
      <c r="E379">
        <v>9103.4159999999993</v>
      </c>
      <c r="F379">
        <v>637</v>
      </c>
      <c r="G379" t="s">
        <v>1238</v>
      </c>
      <c r="H379" t="s">
        <v>15</v>
      </c>
    </row>
    <row r="380" spans="1:8" x14ac:dyDescent="0.2">
      <c r="A380" t="s">
        <v>543</v>
      </c>
      <c r="B380" t="s">
        <v>1448</v>
      </c>
      <c r="C380" t="s">
        <v>1092</v>
      </c>
      <c r="D380" t="s">
        <v>1058</v>
      </c>
      <c r="E380">
        <v>34902.28</v>
      </c>
      <c r="F380">
        <v>2527</v>
      </c>
      <c r="G380" t="s">
        <v>1238</v>
      </c>
      <c r="H380" t="s">
        <v>15</v>
      </c>
    </row>
    <row r="381" spans="1:8" x14ac:dyDescent="0.2">
      <c r="A381" t="s">
        <v>543</v>
      </c>
      <c r="B381" t="s">
        <v>1449</v>
      </c>
      <c r="C381" t="s">
        <v>1092</v>
      </c>
      <c r="D381" t="s">
        <v>1064</v>
      </c>
      <c r="E381">
        <v>7553.0739999999996</v>
      </c>
      <c r="F381">
        <v>535</v>
      </c>
      <c r="G381" t="s">
        <v>1109</v>
      </c>
      <c r="H381" t="s">
        <v>15</v>
      </c>
    </row>
    <row r="382" spans="1:8" x14ac:dyDescent="0.2">
      <c r="A382" t="s">
        <v>543</v>
      </c>
      <c r="B382" t="s">
        <v>1450</v>
      </c>
      <c r="C382" t="s">
        <v>1092</v>
      </c>
      <c r="D382" t="s">
        <v>1096</v>
      </c>
      <c r="E382">
        <v>70611.634999999995</v>
      </c>
      <c r="F382">
        <v>5115</v>
      </c>
      <c r="G382" t="s">
        <v>1238</v>
      </c>
      <c r="H382" t="s">
        <v>15</v>
      </c>
    </row>
    <row r="383" spans="1:8" x14ac:dyDescent="0.2">
      <c r="A383" t="s">
        <v>543</v>
      </c>
      <c r="B383" t="s">
        <v>1451</v>
      </c>
      <c r="C383" t="s">
        <v>1092</v>
      </c>
      <c r="D383" t="s">
        <v>1126</v>
      </c>
      <c r="E383">
        <v>15531.645</v>
      </c>
      <c r="F383">
        <v>1048</v>
      </c>
      <c r="G383" t="s">
        <v>1238</v>
      </c>
      <c r="H383" t="s">
        <v>15</v>
      </c>
    </row>
    <row r="384" spans="1:8" x14ac:dyDescent="0.2">
      <c r="A384" t="s">
        <v>543</v>
      </c>
      <c r="B384" t="s">
        <v>1452</v>
      </c>
      <c r="C384" t="s">
        <v>1092</v>
      </c>
      <c r="D384" t="s">
        <v>1061</v>
      </c>
      <c r="E384">
        <v>2785.2510000000002</v>
      </c>
      <c r="F384">
        <v>211</v>
      </c>
      <c r="G384" t="s">
        <v>1238</v>
      </c>
      <c r="H384" t="s">
        <v>15</v>
      </c>
    </row>
    <row r="385" spans="1:8" x14ac:dyDescent="0.2">
      <c r="A385" t="s">
        <v>543</v>
      </c>
      <c r="B385" t="s">
        <v>1453</v>
      </c>
      <c r="C385" t="s">
        <v>1092</v>
      </c>
      <c r="D385" t="s">
        <v>1064</v>
      </c>
      <c r="E385">
        <v>4684.6949999999997</v>
      </c>
      <c r="F385">
        <v>344</v>
      </c>
      <c r="G385" t="s">
        <v>1238</v>
      </c>
      <c r="H385" t="s">
        <v>15</v>
      </c>
    </row>
    <row r="386" spans="1:8" x14ac:dyDescent="0.2">
      <c r="A386" t="s">
        <v>543</v>
      </c>
      <c r="B386" t="s">
        <v>1454</v>
      </c>
      <c r="C386" t="s">
        <v>1092</v>
      </c>
      <c r="D386" t="s">
        <v>1096</v>
      </c>
      <c r="E386">
        <v>4022.42</v>
      </c>
      <c r="F386">
        <v>308</v>
      </c>
      <c r="G386" t="s">
        <v>1238</v>
      </c>
      <c r="H386" t="s">
        <v>15</v>
      </c>
    </row>
    <row r="387" spans="1:8" x14ac:dyDescent="0.2">
      <c r="A387" t="s">
        <v>543</v>
      </c>
      <c r="B387" t="s">
        <v>1455</v>
      </c>
      <c r="C387" t="s">
        <v>1092</v>
      </c>
      <c r="D387" t="s">
        <v>1052</v>
      </c>
      <c r="E387">
        <v>8081.9570000000003</v>
      </c>
      <c r="F387">
        <v>582</v>
      </c>
      <c r="G387" t="s">
        <v>1238</v>
      </c>
      <c r="H387" t="s">
        <v>15</v>
      </c>
    </row>
    <row r="388" spans="1:8" x14ac:dyDescent="0.2">
      <c r="A388" t="s">
        <v>543</v>
      </c>
      <c r="B388" t="s">
        <v>1456</v>
      </c>
      <c r="C388" t="s">
        <v>1092</v>
      </c>
      <c r="D388" t="s">
        <v>1052</v>
      </c>
      <c r="E388">
        <v>1178.9190000000001</v>
      </c>
      <c r="F388">
        <v>0</v>
      </c>
      <c r="G388" t="s">
        <v>1103</v>
      </c>
      <c r="H388" t="s">
        <v>15</v>
      </c>
    </row>
    <row r="389" spans="1:8" x14ac:dyDescent="0.2">
      <c r="A389" t="s">
        <v>543</v>
      </c>
      <c r="B389" t="s">
        <v>1457</v>
      </c>
      <c r="C389" t="s">
        <v>1092</v>
      </c>
      <c r="D389" t="s">
        <v>1058</v>
      </c>
      <c r="E389">
        <v>24741.677</v>
      </c>
      <c r="F389">
        <v>1872</v>
      </c>
      <c r="G389" t="s">
        <v>1238</v>
      </c>
      <c r="H389" t="s">
        <v>15</v>
      </c>
    </row>
    <row r="390" spans="1:8" x14ac:dyDescent="0.2">
      <c r="A390" t="s">
        <v>543</v>
      </c>
      <c r="B390" t="s">
        <v>1458</v>
      </c>
      <c r="C390" t="s">
        <v>1092</v>
      </c>
      <c r="D390" t="s">
        <v>1058</v>
      </c>
      <c r="E390">
        <v>8574.6329999999998</v>
      </c>
      <c r="F390">
        <v>643</v>
      </c>
      <c r="G390" t="s">
        <v>1238</v>
      </c>
      <c r="H390" t="s">
        <v>15</v>
      </c>
    </row>
    <row r="391" spans="1:8" x14ac:dyDescent="0.2">
      <c r="A391" t="s">
        <v>543</v>
      </c>
      <c r="B391" t="s">
        <v>1459</v>
      </c>
      <c r="C391" t="s">
        <v>1092</v>
      </c>
      <c r="D391" t="s">
        <v>1061</v>
      </c>
      <c r="E391">
        <v>6613.0959999999995</v>
      </c>
      <c r="F391">
        <v>475</v>
      </c>
      <c r="G391" t="s">
        <v>1238</v>
      </c>
      <c r="H391" t="s">
        <v>15</v>
      </c>
    </row>
    <row r="392" spans="1:8" x14ac:dyDescent="0.2">
      <c r="A392" t="s">
        <v>543</v>
      </c>
      <c r="B392" t="s">
        <v>1460</v>
      </c>
      <c r="C392" t="s">
        <v>1092</v>
      </c>
      <c r="D392" t="s">
        <v>1064</v>
      </c>
      <c r="E392">
        <v>9192.616</v>
      </c>
      <c r="F392">
        <v>659</v>
      </c>
      <c r="G392" t="s">
        <v>1238</v>
      </c>
      <c r="H392" t="s">
        <v>15</v>
      </c>
    </row>
    <row r="393" spans="1:8" x14ac:dyDescent="0.2">
      <c r="A393" t="s">
        <v>543</v>
      </c>
      <c r="B393" t="s">
        <v>1461</v>
      </c>
      <c r="C393" t="s">
        <v>1092</v>
      </c>
      <c r="D393" t="s">
        <v>1061</v>
      </c>
      <c r="E393">
        <v>62953.567000000003</v>
      </c>
      <c r="F393">
        <v>4977</v>
      </c>
      <c r="G393" t="s">
        <v>1238</v>
      </c>
      <c r="H393" t="s">
        <v>15</v>
      </c>
    </row>
    <row r="394" spans="1:8" x14ac:dyDescent="0.2">
      <c r="A394" t="s">
        <v>543</v>
      </c>
      <c r="B394" t="s">
        <v>1462</v>
      </c>
      <c r="C394" t="s">
        <v>1092</v>
      </c>
      <c r="D394" t="s">
        <v>1126</v>
      </c>
      <c r="E394">
        <v>7987.0959999999995</v>
      </c>
      <c r="F394">
        <v>646</v>
      </c>
      <c r="G394" t="s">
        <v>1238</v>
      </c>
      <c r="H394" t="s">
        <v>15</v>
      </c>
    </row>
    <row r="395" spans="1:8" x14ac:dyDescent="0.2">
      <c r="A395" t="s">
        <v>543</v>
      </c>
      <c r="B395" t="s">
        <v>1463</v>
      </c>
      <c r="C395" t="s">
        <v>1092</v>
      </c>
      <c r="D395" t="s">
        <v>1052</v>
      </c>
      <c r="E395">
        <v>17865.404999999999</v>
      </c>
      <c r="F395">
        <v>1370</v>
      </c>
      <c r="G395" t="s">
        <v>1238</v>
      </c>
      <c r="H395" t="s">
        <v>15</v>
      </c>
    </row>
    <row r="396" spans="1:8" x14ac:dyDescent="0.2">
      <c r="A396" t="s">
        <v>543</v>
      </c>
      <c r="B396" t="s">
        <v>1464</v>
      </c>
      <c r="C396" t="s">
        <v>1092</v>
      </c>
      <c r="D396" t="s">
        <v>1052</v>
      </c>
      <c r="E396">
        <v>693.53499999999997</v>
      </c>
      <c r="F396">
        <v>0</v>
      </c>
      <c r="G396" t="s">
        <v>1103</v>
      </c>
      <c r="H396" t="s">
        <v>15</v>
      </c>
    </row>
    <row r="397" spans="1:8" x14ac:dyDescent="0.2">
      <c r="A397" t="s">
        <v>543</v>
      </c>
      <c r="B397" t="s">
        <v>1465</v>
      </c>
      <c r="C397" t="s">
        <v>1092</v>
      </c>
      <c r="D397" t="s">
        <v>1096</v>
      </c>
      <c r="E397">
        <v>5619.9939999999997</v>
      </c>
      <c r="F397">
        <v>418</v>
      </c>
      <c r="G397" t="s">
        <v>1238</v>
      </c>
      <c r="H397" t="s">
        <v>15</v>
      </c>
    </row>
    <row r="398" spans="1:8" x14ac:dyDescent="0.2">
      <c r="A398" t="s">
        <v>543</v>
      </c>
      <c r="B398" t="s">
        <v>1466</v>
      </c>
      <c r="C398" t="s">
        <v>1092</v>
      </c>
      <c r="D398" t="s">
        <v>1126</v>
      </c>
      <c r="E398">
        <v>13319.949000000001</v>
      </c>
      <c r="F398">
        <v>1067</v>
      </c>
      <c r="G398" t="s">
        <v>1238</v>
      </c>
      <c r="H398" t="s">
        <v>15</v>
      </c>
    </row>
    <row r="399" spans="1:8" x14ac:dyDescent="0.2">
      <c r="A399" t="s">
        <v>543</v>
      </c>
      <c r="B399" t="s">
        <v>1467</v>
      </c>
      <c r="C399" t="s">
        <v>1092</v>
      </c>
      <c r="D399" t="s">
        <v>1061</v>
      </c>
      <c r="E399">
        <v>27593.145</v>
      </c>
      <c r="F399">
        <v>2147</v>
      </c>
      <c r="G399" t="s">
        <v>1238</v>
      </c>
      <c r="H399" t="s">
        <v>15</v>
      </c>
    </row>
    <row r="400" spans="1:8" x14ac:dyDescent="0.2">
      <c r="A400" t="s">
        <v>543</v>
      </c>
      <c r="B400" t="s">
        <v>1468</v>
      </c>
      <c r="C400" t="s">
        <v>1092</v>
      </c>
      <c r="D400" t="s">
        <v>1061</v>
      </c>
      <c r="E400">
        <v>17582.046999999999</v>
      </c>
      <c r="F400">
        <v>1302</v>
      </c>
      <c r="G400" t="s">
        <v>1238</v>
      </c>
      <c r="H400" t="s">
        <v>15</v>
      </c>
    </row>
    <row r="401" spans="1:8" x14ac:dyDescent="0.2">
      <c r="A401" t="s">
        <v>543</v>
      </c>
      <c r="B401" t="s">
        <v>1469</v>
      </c>
      <c r="C401" t="s">
        <v>1092</v>
      </c>
      <c r="D401" t="s">
        <v>1096</v>
      </c>
      <c r="E401">
        <v>63424.675000000003</v>
      </c>
      <c r="F401">
        <v>4594</v>
      </c>
      <c r="G401" t="s">
        <v>1238</v>
      </c>
      <c r="H401" t="s">
        <v>15</v>
      </c>
    </row>
    <row r="402" spans="1:8" x14ac:dyDescent="0.2">
      <c r="A402" t="s">
        <v>543</v>
      </c>
      <c r="B402" t="s">
        <v>1470</v>
      </c>
      <c r="C402" t="s">
        <v>1092</v>
      </c>
      <c r="D402" t="s">
        <v>1058</v>
      </c>
      <c r="E402">
        <v>7758.9840000000004</v>
      </c>
      <c r="F402">
        <v>552</v>
      </c>
      <c r="G402" t="s">
        <v>1238</v>
      </c>
      <c r="H402" t="s">
        <v>15</v>
      </c>
    </row>
    <row r="403" spans="1:8" x14ac:dyDescent="0.2">
      <c r="A403" t="s">
        <v>543</v>
      </c>
      <c r="B403" t="s">
        <v>1471</v>
      </c>
      <c r="C403" t="s">
        <v>1092</v>
      </c>
      <c r="D403" t="s">
        <v>1096</v>
      </c>
      <c r="E403">
        <v>41968.470999999998</v>
      </c>
      <c r="F403">
        <v>3081</v>
      </c>
      <c r="G403" t="s">
        <v>1238</v>
      </c>
      <c r="H403" t="s">
        <v>15</v>
      </c>
    </row>
    <row r="404" spans="1:8" x14ac:dyDescent="0.2">
      <c r="A404" t="s">
        <v>543</v>
      </c>
      <c r="B404" t="s">
        <v>1472</v>
      </c>
      <c r="C404" t="s">
        <v>1092</v>
      </c>
      <c r="D404" t="s">
        <v>1058</v>
      </c>
      <c r="E404">
        <v>15406.992</v>
      </c>
      <c r="F404">
        <v>1170</v>
      </c>
      <c r="G404" t="s">
        <v>1238</v>
      </c>
      <c r="H404" t="s">
        <v>15</v>
      </c>
    </row>
    <row r="405" spans="1:8" x14ac:dyDescent="0.2">
      <c r="A405" t="s">
        <v>543</v>
      </c>
      <c r="B405" t="s">
        <v>1099</v>
      </c>
      <c r="C405" t="s">
        <v>1100</v>
      </c>
      <c r="D405" t="s">
        <v>35</v>
      </c>
      <c r="E405">
        <v>547968.93900000001</v>
      </c>
      <c r="F405">
        <v>40461</v>
      </c>
      <c r="G405" t="s">
        <v>35</v>
      </c>
      <c r="H405" t="s">
        <v>15</v>
      </c>
    </row>
    <row r="406" spans="1:8" x14ac:dyDescent="0.2">
      <c r="A406" t="s">
        <v>1473</v>
      </c>
      <c r="B406" t="s">
        <v>1474</v>
      </c>
      <c r="C406" t="s">
        <v>1092</v>
      </c>
      <c r="D406" t="s">
        <v>1058</v>
      </c>
      <c r="E406">
        <v>382844.60800000001</v>
      </c>
      <c r="F406">
        <v>23</v>
      </c>
      <c r="G406" t="s">
        <v>1103</v>
      </c>
      <c r="H406" t="s">
        <v>15</v>
      </c>
    </row>
    <row r="407" spans="1:8" x14ac:dyDescent="0.2">
      <c r="A407" t="s">
        <v>1473</v>
      </c>
      <c r="B407" t="s">
        <v>1099</v>
      </c>
      <c r="C407" t="s">
        <v>1100</v>
      </c>
      <c r="D407" t="s">
        <v>35</v>
      </c>
      <c r="E407">
        <v>382844.60800000001</v>
      </c>
      <c r="F407">
        <v>23</v>
      </c>
      <c r="G407" t="s">
        <v>35</v>
      </c>
      <c r="H407" t="s">
        <v>15</v>
      </c>
    </row>
    <row r="408" spans="1:8" x14ac:dyDescent="0.2">
      <c r="A408" t="s">
        <v>1475</v>
      </c>
      <c r="B408" t="s">
        <v>1476</v>
      </c>
      <c r="C408" t="s">
        <v>1092</v>
      </c>
      <c r="D408" t="s">
        <v>1058</v>
      </c>
      <c r="E408">
        <v>61768.728900000002</v>
      </c>
      <c r="F408">
        <v>0</v>
      </c>
      <c r="G408" t="s">
        <v>1103</v>
      </c>
      <c r="H408" t="s">
        <v>15</v>
      </c>
    </row>
    <row r="409" spans="1:8" x14ac:dyDescent="0.2">
      <c r="A409" t="s">
        <v>1475</v>
      </c>
      <c r="B409" t="s">
        <v>1477</v>
      </c>
      <c r="C409" t="s">
        <v>1092</v>
      </c>
      <c r="D409" t="s">
        <v>1058</v>
      </c>
      <c r="E409">
        <v>57854.368300000002</v>
      </c>
      <c r="F409">
        <v>0</v>
      </c>
      <c r="G409" t="s">
        <v>1103</v>
      </c>
      <c r="H409" t="s">
        <v>15</v>
      </c>
    </row>
    <row r="410" spans="1:8" x14ac:dyDescent="0.2">
      <c r="A410" t="s">
        <v>1475</v>
      </c>
      <c r="B410" t="s">
        <v>1478</v>
      </c>
      <c r="C410" t="s">
        <v>1092</v>
      </c>
      <c r="D410" t="s">
        <v>1058</v>
      </c>
      <c r="E410">
        <v>81928.763399999996</v>
      </c>
      <c r="F410">
        <v>0</v>
      </c>
      <c r="G410" t="s">
        <v>1103</v>
      </c>
      <c r="H410" t="s">
        <v>15</v>
      </c>
    </row>
    <row r="411" spans="1:8" x14ac:dyDescent="0.2">
      <c r="A411" t="s">
        <v>1475</v>
      </c>
      <c r="B411" t="s">
        <v>1099</v>
      </c>
      <c r="C411" t="s">
        <v>1100</v>
      </c>
      <c r="D411" t="s">
        <v>35</v>
      </c>
      <c r="E411">
        <v>201551.86060000001</v>
      </c>
      <c r="F411">
        <v>0</v>
      </c>
      <c r="G411" t="s">
        <v>35</v>
      </c>
      <c r="H411" t="s">
        <v>15</v>
      </c>
    </row>
    <row r="412" spans="1:8" x14ac:dyDescent="0.2">
      <c r="A412" t="s">
        <v>1479</v>
      </c>
      <c r="B412" t="s">
        <v>1480</v>
      </c>
      <c r="C412" t="s">
        <v>1092</v>
      </c>
      <c r="D412" t="s">
        <v>1058</v>
      </c>
      <c r="E412">
        <v>220542.85084</v>
      </c>
      <c r="F412">
        <v>42</v>
      </c>
      <c r="G412" t="s">
        <v>1103</v>
      </c>
      <c r="H412" t="s">
        <v>15</v>
      </c>
    </row>
    <row r="413" spans="1:8" x14ac:dyDescent="0.2">
      <c r="A413" t="s">
        <v>1479</v>
      </c>
      <c r="B413" t="s">
        <v>1099</v>
      </c>
      <c r="C413" t="s">
        <v>1100</v>
      </c>
      <c r="D413" t="s">
        <v>35</v>
      </c>
      <c r="E413">
        <v>220542.85084</v>
      </c>
      <c r="F413">
        <v>42</v>
      </c>
      <c r="G413" t="s">
        <v>35</v>
      </c>
      <c r="H413" t="s">
        <v>15</v>
      </c>
    </row>
    <row r="414" spans="1:8" x14ac:dyDescent="0.2">
      <c r="A414" t="s">
        <v>1481</v>
      </c>
      <c r="B414" t="s">
        <v>1482</v>
      </c>
      <c r="C414" t="s">
        <v>1092</v>
      </c>
      <c r="D414" t="s">
        <v>1096</v>
      </c>
      <c r="E414">
        <v>364379.20003000001</v>
      </c>
      <c r="F414">
        <v>54</v>
      </c>
      <c r="G414" t="s">
        <v>1093</v>
      </c>
      <c r="H414" t="s">
        <v>15</v>
      </c>
    </row>
    <row r="415" spans="1:8" x14ac:dyDescent="0.2">
      <c r="A415" t="s">
        <v>1481</v>
      </c>
      <c r="B415" t="s">
        <v>1099</v>
      </c>
      <c r="C415" t="s">
        <v>1100</v>
      </c>
      <c r="D415" t="s">
        <v>35</v>
      </c>
      <c r="E415">
        <v>364379.20003000001</v>
      </c>
      <c r="F415">
        <v>54</v>
      </c>
      <c r="G415" t="s">
        <v>35</v>
      </c>
      <c r="H415" t="s">
        <v>15</v>
      </c>
    </row>
    <row r="416" spans="1:8" x14ac:dyDescent="0.2">
      <c r="A416" t="s">
        <v>1483</v>
      </c>
      <c r="B416" t="s">
        <v>1484</v>
      </c>
      <c r="C416" t="s">
        <v>1092</v>
      </c>
      <c r="D416" t="s">
        <v>1096</v>
      </c>
      <c r="E416">
        <v>385131.55437000003</v>
      </c>
      <c r="F416">
        <v>59</v>
      </c>
      <c r="G416" t="s">
        <v>1093</v>
      </c>
      <c r="H416" t="s">
        <v>15</v>
      </c>
    </row>
    <row r="417" spans="1:8" x14ac:dyDescent="0.2">
      <c r="A417" t="s">
        <v>1483</v>
      </c>
      <c r="B417" t="s">
        <v>1099</v>
      </c>
      <c r="C417" t="s">
        <v>1100</v>
      </c>
      <c r="D417" t="s">
        <v>35</v>
      </c>
      <c r="E417">
        <v>385131.55437000003</v>
      </c>
      <c r="F417">
        <v>59</v>
      </c>
      <c r="G417" t="s">
        <v>35</v>
      </c>
      <c r="H417" t="s">
        <v>15</v>
      </c>
    </row>
    <row r="418" spans="1:8" x14ac:dyDescent="0.2">
      <c r="A418" t="s">
        <v>1485</v>
      </c>
      <c r="B418" t="s">
        <v>1486</v>
      </c>
      <c r="C418" t="s">
        <v>1092</v>
      </c>
      <c r="D418" t="s">
        <v>1052</v>
      </c>
      <c r="E418">
        <v>137267.64235000001</v>
      </c>
      <c r="F418">
        <v>24</v>
      </c>
      <c r="G418" t="s">
        <v>1103</v>
      </c>
      <c r="H418" t="s">
        <v>15</v>
      </c>
    </row>
    <row r="419" spans="1:8" x14ac:dyDescent="0.2">
      <c r="A419" t="s">
        <v>1485</v>
      </c>
      <c r="B419" t="s">
        <v>1099</v>
      </c>
      <c r="C419" t="s">
        <v>1100</v>
      </c>
      <c r="D419" t="s">
        <v>35</v>
      </c>
      <c r="E419">
        <v>137267.64235000001</v>
      </c>
      <c r="F419">
        <v>24</v>
      </c>
      <c r="G419" t="s">
        <v>35</v>
      </c>
      <c r="H419" t="s">
        <v>15</v>
      </c>
    </row>
    <row r="420" spans="1:8" x14ac:dyDescent="0.2">
      <c r="A420" t="s">
        <v>1487</v>
      </c>
      <c r="B420" t="s">
        <v>1488</v>
      </c>
      <c r="C420" t="s">
        <v>1092</v>
      </c>
      <c r="D420" t="s">
        <v>1061</v>
      </c>
      <c r="E420">
        <v>183456.32638000001</v>
      </c>
      <c r="F420">
        <v>0</v>
      </c>
      <c r="G420" t="s">
        <v>1103</v>
      </c>
      <c r="H420" t="s">
        <v>15</v>
      </c>
    </row>
    <row r="421" spans="1:8" x14ac:dyDescent="0.2">
      <c r="A421" t="s">
        <v>1487</v>
      </c>
      <c r="B421" t="s">
        <v>1099</v>
      </c>
      <c r="C421" t="s">
        <v>1100</v>
      </c>
      <c r="D421" t="s">
        <v>35</v>
      </c>
      <c r="E421">
        <v>183456.32638000001</v>
      </c>
      <c r="F421">
        <v>0</v>
      </c>
      <c r="G421" t="s">
        <v>35</v>
      </c>
      <c r="H421" t="s">
        <v>15</v>
      </c>
    </row>
    <row r="422" spans="1:8" x14ac:dyDescent="0.2">
      <c r="A422" t="s">
        <v>1489</v>
      </c>
      <c r="B422" t="s">
        <v>1490</v>
      </c>
      <c r="C422" t="s">
        <v>1092</v>
      </c>
      <c r="D422" t="s">
        <v>1126</v>
      </c>
      <c r="E422">
        <v>161660.614</v>
      </c>
      <c r="F422">
        <v>29</v>
      </c>
      <c r="G422" t="s">
        <v>1093</v>
      </c>
      <c r="H422" t="s">
        <v>15</v>
      </c>
    </row>
    <row r="423" spans="1:8" x14ac:dyDescent="0.2">
      <c r="A423" t="s">
        <v>1489</v>
      </c>
      <c r="B423" t="s">
        <v>1099</v>
      </c>
      <c r="C423" t="s">
        <v>1100</v>
      </c>
      <c r="D423" t="s">
        <v>35</v>
      </c>
      <c r="E423">
        <v>161660.614</v>
      </c>
      <c r="F423">
        <v>29</v>
      </c>
      <c r="G423" t="s">
        <v>35</v>
      </c>
      <c r="H423" t="s">
        <v>15</v>
      </c>
    </row>
    <row r="424" spans="1:8" x14ac:dyDescent="0.2">
      <c r="A424" t="s">
        <v>1491</v>
      </c>
      <c r="B424" t="s">
        <v>1492</v>
      </c>
      <c r="C424" t="s">
        <v>1092</v>
      </c>
      <c r="D424" t="s">
        <v>1096</v>
      </c>
      <c r="E424">
        <v>540119.11</v>
      </c>
      <c r="F424">
        <v>85</v>
      </c>
      <c r="G424" t="s">
        <v>1093</v>
      </c>
      <c r="H424" t="s">
        <v>15</v>
      </c>
    </row>
    <row r="425" spans="1:8" x14ac:dyDescent="0.2">
      <c r="A425" t="s">
        <v>1491</v>
      </c>
      <c r="B425" t="s">
        <v>1099</v>
      </c>
      <c r="C425" t="s">
        <v>1100</v>
      </c>
      <c r="D425" t="s">
        <v>35</v>
      </c>
      <c r="E425">
        <v>540119.11</v>
      </c>
      <c r="F425">
        <v>85</v>
      </c>
      <c r="G425" t="s">
        <v>35</v>
      </c>
      <c r="H425" t="s">
        <v>15</v>
      </c>
    </row>
    <row r="426" spans="1:8" x14ac:dyDescent="0.2">
      <c r="A426" t="s">
        <v>971</v>
      </c>
      <c r="B426" t="s">
        <v>1493</v>
      </c>
      <c r="C426" t="s">
        <v>1092</v>
      </c>
      <c r="D426" t="s">
        <v>1096</v>
      </c>
      <c r="E426">
        <v>517742.01569999999</v>
      </c>
      <c r="F426">
        <v>217</v>
      </c>
      <c r="G426" t="s">
        <v>1093</v>
      </c>
      <c r="H426" t="s">
        <v>15</v>
      </c>
    </row>
    <row r="427" spans="1:8" x14ac:dyDescent="0.2">
      <c r="A427" t="s">
        <v>971</v>
      </c>
      <c r="B427" t="s">
        <v>1494</v>
      </c>
      <c r="C427" t="s">
        <v>1092</v>
      </c>
      <c r="D427" t="s">
        <v>1058</v>
      </c>
      <c r="E427">
        <v>313352.40500000003</v>
      </c>
      <c r="F427">
        <v>62</v>
      </c>
      <c r="G427" t="s">
        <v>1103</v>
      </c>
      <c r="H427" t="s">
        <v>15</v>
      </c>
    </row>
    <row r="428" spans="1:8" x14ac:dyDescent="0.2">
      <c r="A428" t="s">
        <v>971</v>
      </c>
      <c r="B428" t="s">
        <v>1495</v>
      </c>
      <c r="C428" t="s">
        <v>1092</v>
      </c>
      <c r="D428" t="s">
        <v>1126</v>
      </c>
      <c r="E428">
        <v>16.809000000000001</v>
      </c>
      <c r="F428">
        <v>0</v>
      </c>
      <c r="G428" t="s">
        <v>1103</v>
      </c>
      <c r="H428" t="s">
        <v>15</v>
      </c>
    </row>
    <row r="429" spans="1:8" x14ac:dyDescent="0.2">
      <c r="A429" t="s">
        <v>971</v>
      </c>
      <c r="B429" t="s">
        <v>1496</v>
      </c>
      <c r="C429" t="s">
        <v>1092</v>
      </c>
      <c r="D429" t="s">
        <v>1058</v>
      </c>
      <c r="E429">
        <v>57881.528101999997</v>
      </c>
      <c r="F429">
        <v>8</v>
      </c>
      <c r="G429" t="s">
        <v>1103</v>
      </c>
      <c r="H429" t="s">
        <v>15</v>
      </c>
    </row>
    <row r="430" spans="1:8" x14ac:dyDescent="0.2">
      <c r="A430" t="s">
        <v>971</v>
      </c>
      <c r="B430" t="s">
        <v>1497</v>
      </c>
      <c r="C430" t="s">
        <v>1092</v>
      </c>
      <c r="D430" t="s">
        <v>1058</v>
      </c>
      <c r="E430">
        <v>68084.366037999993</v>
      </c>
      <c r="F430">
        <v>6</v>
      </c>
      <c r="G430" t="s">
        <v>1103</v>
      </c>
      <c r="H430" t="s">
        <v>15</v>
      </c>
    </row>
    <row r="431" spans="1:8" x14ac:dyDescent="0.2">
      <c r="A431" t="s">
        <v>971</v>
      </c>
      <c r="B431" t="s">
        <v>1498</v>
      </c>
      <c r="C431" t="s">
        <v>1092</v>
      </c>
      <c r="D431" t="s">
        <v>1052</v>
      </c>
      <c r="E431">
        <v>0</v>
      </c>
      <c r="F431">
        <v>203</v>
      </c>
      <c r="G431" t="s">
        <v>1191</v>
      </c>
      <c r="H431" t="s">
        <v>15</v>
      </c>
    </row>
    <row r="432" spans="1:8" x14ac:dyDescent="0.2">
      <c r="A432" t="s">
        <v>971</v>
      </c>
      <c r="B432" t="s">
        <v>1499</v>
      </c>
      <c r="C432" t="s">
        <v>1092</v>
      </c>
      <c r="D432" t="s">
        <v>1052</v>
      </c>
      <c r="E432">
        <v>339796.77899999998</v>
      </c>
      <c r="F432">
        <v>47</v>
      </c>
      <c r="G432" t="s">
        <v>1093</v>
      </c>
      <c r="H432" t="s">
        <v>15</v>
      </c>
    </row>
    <row r="433" spans="1:8" x14ac:dyDescent="0.2">
      <c r="A433" t="s">
        <v>971</v>
      </c>
      <c r="B433" t="s">
        <v>1500</v>
      </c>
      <c r="C433" t="s">
        <v>1092</v>
      </c>
      <c r="D433" t="s">
        <v>1052</v>
      </c>
      <c r="E433">
        <v>317093.21299999999</v>
      </c>
      <c r="F433">
        <v>47</v>
      </c>
      <c r="G433" t="s">
        <v>1093</v>
      </c>
      <c r="H433" t="s">
        <v>15</v>
      </c>
    </row>
    <row r="434" spans="1:8" x14ac:dyDescent="0.2">
      <c r="A434" t="s">
        <v>971</v>
      </c>
      <c r="B434" t="s">
        <v>1501</v>
      </c>
      <c r="C434" t="s">
        <v>1092</v>
      </c>
      <c r="D434" t="s">
        <v>1052</v>
      </c>
      <c r="E434">
        <v>331083.788</v>
      </c>
      <c r="F434">
        <v>48</v>
      </c>
      <c r="G434" t="s">
        <v>1093</v>
      </c>
      <c r="H434" t="s">
        <v>15</v>
      </c>
    </row>
    <row r="435" spans="1:8" x14ac:dyDescent="0.2">
      <c r="A435" t="s">
        <v>971</v>
      </c>
      <c r="B435" t="s">
        <v>1502</v>
      </c>
      <c r="C435" t="s">
        <v>1092</v>
      </c>
      <c r="D435" t="s">
        <v>1061</v>
      </c>
      <c r="E435">
        <v>428098.39600000001</v>
      </c>
      <c r="F435">
        <v>59</v>
      </c>
      <c r="G435" t="s">
        <v>1093</v>
      </c>
      <c r="H435" t="s">
        <v>15</v>
      </c>
    </row>
    <row r="436" spans="1:8" x14ac:dyDescent="0.2">
      <c r="A436" t="s">
        <v>971</v>
      </c>
      <c r="B436" t="s">
        <v>1503</v>
      </c>
      <c r="C436" t="s">
        <v>1092</v>
      </c>
      <c r="D436" t="s">
        <v>1096</v>
      </c>
      <c r="E436">
        <v>149369.36499999999</v>
      </c>
      <c r="F436">
        <v>42</v>
      </c>
      <c r="G436" t="s">
        <v>1103</v>
      </c>
      <c r="H436" t="s">
        <v>15</v>
      </c>
    </row>
    <row r="437" spans="1:8" x14ac:dyDescent="0.2">
      <c r="A437" t="s">
        <v>971</v>
      </c>
      <c r="B437" t="s">
        <v>1504</v>
      </c>
      <c r="C437" t="s">
        <v>1092</v>
      </c>
      <c r="D437" t="s">
        <v>1058</v>
      </c>
      <c r="E437">
        <v>110664.41235300001</v>
      </c>
      <c r="F437">
        <v>28</v>
      </c>
      <c r="G437" t="s">
        <v>1103</v>
      </c>
      <c r="H437" t="s">
        <v>15</v>
      </c>
    </row>
    <row r="438" spans="1:8" x14ac:dyDescent="0.2">
      <c r="A438" t="s">
        <v>971</v>
      </c>
      <c r="B438" t="s">
        <v>1505</v>
      </c>
      <c r="C438" t="s">
        <v>1092</v>
      </c>
      <c r="D438" t="s">
        <v>1096</v>
      </c>
      <c r="E438">
        <v>0</v>
      </c>
      <c r="F438">
        <v>573</v>
      </c>
      <c r="G438" t="s">
        <v>1191</v>
      </c>
      <c r="H438" t="s">
        <v>15</v>
      </c>
    </row>
    <row r="439" spans="1:8" x14ac:dyDescent="0.2">
      <c r="A439" t="s">
        <v>971</v>
      </c>
      <c r="B439" t="s">
        <v>1506</v>
      </c>
      <c r="C439" t="s">
        <v>1092</v>
      </c>
      <c r="D439" t="s">
        <v>1061</v>
      </c>
      <c r="E439">
        <v>804097.59499999997</v>
      </c>
      <c r="F439">
        <v>491</v>
      </c>
      <c r="G439" t="s">
        <v>1103</v>
      </c>
      <c r="H439" t="s">
        <v>15</v>
      </c>
    </row>
    <row r="440" spans="1:8" x14ac:dyDescent="0.2">
      <c r="A440" t="s">
        <v>971</v>
      </c>
      <c r="B440" t="s">
        <v>1099</v>
      </c>
      <c r="C440" t="s">
        <v>1100</v>
      </c>
      <c r="D440" t="s">
        <v>35</v>
      </c>
      <c r="E440">
        <v>3437280.6721930001</v>
      </c>
      <c r="F440">
        <v>1831</v>
      </c>
      <c r="G440" t="s">
        <v>35</v>
      </c>
      <c r="H440" t="s">
        <v>15</v>
      </c>
    </row>
    <row r="441" spans="1:8" x14ac:dyDescent="0.2">
      <c r="A441" t="s">
        <v>171</v>
      </c>
      <c r="B441" t="s">
        <v>1507</v>
      </c>
      <c r="C441" t="s">
        <v>1092</v>
      </c>
      <c r="D441" t="s">
        <v>1126</v>
      </c>
      <c r="E441">
        <v>1890054.57861</v>
      </c>
      <c r="F441">
        <v>755148</v>
      </c>
      <c r="G441" t="s">
        <v>1109</v>
      </c>
      <c r="H441" t="s">
        <v>15</v>
      </c>
    </row>
    <row r="442" spans="1:8" x14ac:dyDescent="0.2">
      <c r="A442" t="s">
        <v>171</v>
      </c>
      <c r="B442" t="s">
        <v>1099</v>
      </c>
      <c r="C442" t="s">
        <v>1100</v>
      </c>
      <c r="D442" t="s">
        <v>35</v>
      </c>
      <c r="E442">
        <v>1890054.57861</v>
      </c>
      <c r="F442">
        <v>755148</v>
      </c>
      <c r="G442" t="s">
        <v>35</v>
      </c>
      <c r="H442" t="s">
        <v>15</v>
      </c>
    </row>
    <row r="443" spans="1:8" x14ac:dyDescent="0.2">
      <c r="A443" t="s">
        <v>59</v>
      </c>
      <c r="B443" t="s">
        <v>1508</v>
      </c>
      <c r="C443" t="s">
        <v>1092</v>
      </c>
      <c r="D443" t="s">
        <v>1061</v>
      </c>
      <c r="E443">
        <v>6578198.6730000004</v>
      </c>
      <c r="F443">
        <v>6492467</v>
      </c>
      <c r="G443" t="s">
        <v>1111</v>
      </c>
      <c r="H443" t="s">
        <v>15</v>
      </c>
    </row>
    <row r="444" spans="1:8" x14ac:dyDescent="0.2">
      <c r="A444" t="s">
        <v>59</v>
      </c>
      <c r="B444" t="s">
        <v>1099</v>
      </c>
      <c r="C444" t="s">
        <v>1100</v>
      </c>
      <c r="D444" t="s">
        <v>35</v>
      </c>
      <c r="E444">
        <v>6578198.6730000004</v>
      </c>
      <c r="F444">
        <v>6492467</v>
      </c>
      <c r="G444" t="s">
        <v>35</v>
      </c>
      <c r="H444" t="s">
        <v>15</v>
      </c>
    </row>
    <row r="445" spans="1:8" x14ac:dyDescent="0.2">
      <c r="A445" t="s">
        <v>1509</v>
      </c>
      <c r="B445" t="s">
        <v>1510</v>
      </c>
      <c r="C445" t="s">
        <v>1092</v>
      </c>
      <c r="D445" t="s">
        <v>1061</v>
      </c>
      <c r="E445">
        <v>43377.122199999998</v>
      </c>
      <c r="F445">
        <v>0</v>
      </c>
      <c r="G445" t="s">
        <v>1103</v>
      </c>
      <c r="H445" t="s">
        <v>15</v>
      </c>
    </row>
    <row r="446" spans="1:8" x14ac:dyDescent="0.2">
      <c r="A446" t="s">
        <v>1509</v>
      </c>
      <c r="B446" t="s">
        <v>1099</v>
      </c>
      <c r="C446" t="s">
        <v>1100</v>
      </c>
      <c r="D446" t="s">
        <v>35</v>
      </c>
      <c r="E446">
        <v>43377.122199999998</v>
      </c>
      <c r="F446">
        <v>0</v>
      </c>
      <c r="G446" t="s">
        <v>35</v>
      </c>
      <c r="H446" t="s">
        <v>15</v>
      </c>
    </row>
    <row r="447" spans="1:8" x14ac:dyDescent="0.2">
      <c r="A447" t="s">
        <v>1511</v>
      </c>
      <c r="B447" t="s">
        <v>1512</v>
      </c>
      <c r="C447" t="s">
        <v>1092</v>
      </c>
      <c r="D447" t="s">
        <v>1061</v>
      </c>
      <c r="E447">
        <v>531174.68001000001</v>
      </c>
      <c r="F447">
        <v>203</v>
      </c>
      <c r="G447" t="s">
        <v>1093</v>
      </c>
      <c r="H447" t="s">
        <v>15</v>
      </c>
    </row>
    <row r="448" spans="1:8" x14ac:dyDescent="0.2">
      <c r="A448" t="s">
        <v>1511</v>
      </c>
      <c r="B448" t="s">
        <v>1099</v>
      </c>
      <c r="C448" t="s">
        <v>1100</v>
      </c>
      <c r="D448" t="s">
        <v>35</v>
      </c>
      <c r="E448">
        <v>531174.68001000001</v>
      </c>
      <c r="F448">
        <v>203</v>
      </c>
      <c r="G448" t="s">
        <v>35</v>
      </c>
      <c r="H448" t="s">
        <v>15</v>
      </c>
    </row>
    <row r="449" spans="1:8" x14ac:dyDescent="0.2">
      <c r="A449" t="s">
        <v>40</v>
      </c>
      <c r="B449" t="s">
        <v>1513</v>
      </c>
      <c r="C449" t="s">
        <v>1092</v>
      </c>
      <c r="D449" t="s">
        <v>1096</v>
      </c>
      <c r="E449">
        <v>340.94724600000001</v>
      </c>
      <c r="F449">
        <v>0</v>
      </c>
      <c r="G449" t="s">
        <v>1103</v>
      </c>
      <c r="H449" t="s">
        <v>15</v>
      </c>
    </row>
    <row r="450" spans="1:8" x14ac:dyDescent="0.2">
      <c r="A450" t="s">
        <v>40</v>
      </c>
      <c r="B450" t="s">
        <v>1514</v>
      </c>
      <c r="C450" t="s">
        <v>1092</v>
      </c>
      <c r="D450" t="s">
        <v>1096</v>
      </c>
      <c r="E450">
        <v>410.438492</v>
      </c>
      <c r="F450">
        <v>0</v>
      </c>
      <c r="G450" t="s">
        <v>1103</v>
      </c>
      <c r="H450" t="s">
        <v>15</v>
      </c>
    </row>
    <row r="451" spans="1:8" x14ac:dyDescent="0.2">
      <c r="A451" t="s">
        <v>40</v>
      </c>
      <c r="B451" t="s">
        <v>1515</v>
      </c>
      <c r="C451" t="s">
        <v>1092</v>
      </c>
      <c r="D451" t="s">
        <v>1061</v>
      </c>
      <c r="E451">
        <v>1337471.9753709999</v>
      </c>
      <c r="F451">
        <v>584435</v>
      </c>
      <c r="G451" t="s">
        <v>1109</v>
      </c>
      <c r="H451" t="s">
        <v>15</v>
      </c>
    </row>
    <row r="452" spans="1:8" x14ac:dyDescent="0.2">
      <c r="A452" t="s">
        <v>40</v>
      </c>
      <c r="B452" t="s">
        <v>1516</v>
      </c>
      <c r="C452" t="s">
        <v>1092</v>
      </c>
      <c r="D452" t="s">
        <v>1058</v>
      </c>
      <c r="E452">
        <v>15617645</v>
      </c>
      <c r="F452">
        <v>13535335</v>
      </c>
      <c r="G452" t="s">
        <v>1111</v>
      </c>
      <c r="H452" t="s">
        <v>15</v>
      </c>
    </row>
    <row r="453" spans="1:8" x14ac:dyDescent="0.2">
      <c r="A453" t="s">
        <v>40</v>
      </c>
      <c r="B453" t="s">
        <v>1517</v>
      </c>
      <c r="C453" t="s">
        <v>1092</v>
      </c>
      <c r="D453" t="s">
        <v>1096</v>
      </c>
      <c r="E453">
        <v>0.19189200000000001</v>
      </c>
      <c r="F453">
        <v>0</v>
      </c>
      <c r="G453" t="s">
        <v>1109</v>
      </c>
      <c r="H453" t="s">
        <v>15</v>
      </c>
    </row>
    <row r="454" spans="1:8" x14ac:dyDescent="0.2">
      <c r="A454" t="s">
        <v>40</v>
      </c>
      <c r="B454" t="s">
        <v>1518</v>
      </c>
      <c r="C454" t="s">
        <v>1092</v>
      </c>
      <c r="D454" t="s">
        <v>1052</v>
      </c>
      <c r="E454">
        <v>59152.765185999997</v>
      </c>
      <c r="F454">
        <v>30118</v>
      </c>
      <c r="G454" t="s">
        <v>1109</v>
      </c>
      <c r="H454" t="s">
        <v>15</v>
      </c>
    </row>
    <row r="455" spans="1:8" x14ac:dyDescent="0.2">
      <c r="A455" t="s">
        <v>40</v>
      </c>
      <c r="B455" t="s">
        <v>1519</v>
      </c>
      <c r="C455" t="s">
        <v>1092</v>
      </c>
      <c r="D455" t="s">
        <v>1096</v>
      </c>
      <c r="E455">
        <v>449317.86851900001</v>
      </c>
      <c r="F455">
        <v>251299</v>
      </c>
      <c r="G455" t="s">
        <v>1109</v>
      </c>
      <c r="H455" t="s">
        <v>15</v>
      </c>
    </row>
    <row r="456" spans="1:8" x14ac:dyDescent="0.2">
      <c r="A456" t="s">
        <v>40</v>
      </c>
      <c r="B456" t="s">
        <v>1520</v>
      </c>
      <c r="C456" t="s">
        <v>1092</v>
      </c>
      <c r="D456" t="s">
        <v>1061</v>
      </c>
      <c r="E456">
        <v>35939.610765999998</v>
      </c>
      <c r="F456">
        <v>35233</v>
      </c>
      <c r="G456" t="s">
        <v>1236</v>
      </c>
      <c r="H456" t="s">
        <v>15</v>
      </c>
    </row>
    <row r="457" spans="1:8" x14ac:dyDescent="0.2">
      <c r="A457" t="s">
        <v>40</v>
      </c>
      <c r="B457" t="s">
        <v>1521</v>
      </c>
      <c r="C457" t="s">
        <v>1092</v>
      </c>
      <c r="D457" t="s">
        <v>1058</v>
      </c>
      <c r="E457">
        <v>0</v>
      </c>
      <c r="F457">
        <v>616</v>
      </c>
      <c r="G457" t="s">
        <v>1191</v>
      </c>
      <c r="H457" t="s">
        <v>15</v>
      </c>
    </row>
    <row r="458" spans="1:8" x14ac:dyDescent="0.2">
      <c r="A458" t="s">
        <v>40</v>
      </c>
      <c r="B458" t="s">
        <v>1522</v>
      </c>
      <c r="C458" t="s">
        <v>1092</v>
      </c>
      <c r="D458" t="s">
        <v>1052</v>
      </c>
      <c r="E458">
        <v>121278.64463</v>
      </c>
      <c r="F458">
        <v>72916</v>
      </c>
      <c r="G458" t="s">
        <v>1109</v>
      </c>
      <c r="H458" t="s">
        <v>15</v>
      </c>
    </row>
    <row r="459" spans="1:8" x14ac:dyDescent="0.2">
      <c r="A459" t="s">
        <v>40</v>
      </c>
      <c r="B459" t="s">
        <v>1523</v>
      </c>
      <c r="C459" t="s">
        <v>1092</v>
      </c>
      <c r="D459" t="s">
        <v>1061</v>
      </c>
      <c r="E459">
        <v>22382.913861000001</v>
      </c>
      <c r="F459">
        <v>14958</v>
      </c>
      <c r="G459" t="s">
        <v>1109</v>
      </c>
      <c r="H459" t="s">
        <v>15</v>
      </c>
    </row>
    <row r="460" spans="1:8" x14ac:dyDescent="0.2">
      <c r="A460" t="s">
        <v>40</v>
      </c>
      <c r="B460" t="s">
        <v>1524</v>
      </c>
      <c r="C460" t="s">
        <v>1092</v>
      </c>
      <c r="D460" t="s">
        <v>1058</v>
      </c>
      <c r="E460">
        <v>107611.265287</v>
      </c>
      <c r="F460">
        <v>4</v>
      </c>
      <c r="G460" t="s">
        <v>1107</v>
      </c>
      <c r="H460" t="s">
        <v>15</v>
      </c>
    </row>
    <row r="461" spans="1:8" x14ac:dyDescent="0.2">
      <c r="A461" t="s">
        <v>40</v>
      </c>
      <c r="B461" t="s">
        <v>1525</v>
      </c>
      <c r="C461" t="s">
        <v>1092</v>
      </c>
      <c r="D461" t="s">
        <v>1058</v>
      </c>
      <c r="E461">
        <v>503721.02384699997</v>
      </c>
      <c r="F461">
        <v>303987</v>
      </c>
      <c r="G461" t="s">
        <v>1109</v>
      </c>
      <c r="H461" t="s">
        <v>15</v>
      </c>
    </row>
    <row r="462" spans="1:8" x14ac:dyDescent="0.2">
      <c r="A462" t="s">
        <v>40</v>
      </c>
      <c r="B462" t="s">
        <v>1099</v>
      </c>
      <c r="C462" t="s">
        <v>1100</v>
      </c>
      <c r="D462" t="s">
        <v>35</v>
      </c>
      <c r="E462">
        <v>18255272.645096999</v>
      </c>
      <c r="F462">
        <v>14828901</v>
      </c>
      <c r="G462" t="s">
        <v>35</v>
      </c>
      <c r="H462" t="s">
        <v>15</v>
      </c>
    </row>
    <row r="463" spans="1:8" x14ac:dyDescent="0.2">
      <c r="A463" t="s">
        <v>1526</v>
      </c>
      <c r="B463" t="s">
        <v>1527</v>
      </c>
      <c r="C463" t="s">
        <v>1092</v>
      </c>
      <c r="D463" t="s">
        <v>1064</v>
      </c>
      <c r="E463">
        <v>357235.85275999998</v>
      </c>
      <c r="F463">
        <v>30</v>
      </c>
      <c r="G463" t="s">
        <v>1093</v>
      </c>
      <c r="H463" t="s">
        <v>15</v>
      </c>
    </row>
    <row r="464" spans="1:8" x14ac:dyDescent="0.2">
      <c r="A464" t="s">
        <v>1526</v>
      </c>
      <c r="B464" t="s">
        <v>1099</v>
      </c>
      <c r="C464" t="s">
        <v>1100</v>
      </c>
      <c r="D464" t="s">
        <v>35</v>
      </c>
      <c r="E464">
        <v>357235.85275999998</v>
      </c>
      <c r="F464">
        <v>30</v>
      </c>
      <c r="G464" t="s">
        <v>35</v>
      </c>
      <c r="H464" t="s">
        <v>15</v>
      </c>
    </row>
    <row r="465" spans="1:8" x14ac:dyDescent="0.2">
      <c r="A465" t="s">
        <v>1528</v>
      </c>
      <c r="B465" t="s">
        <v>1529</v>
      </c>
      <c r="C465" t="s">
        <v>1092</v>
      </c>
      <c r="D465" t="s">
        <v>1052</v>
      </c>
      <c r="E465">
        <v>303153.68</v>
      </c>
      <c r="F465">
        <v>130</v>
      </c>
      <c r="G465" t="s">
        <v>1093</v>
      </c>
      <c r="H465" t="s">
        <v>15</v>
      </c>
    </row>
    <row r="466" spans="1:8" x14ac:dyDescent="0.2">
      <c r="A466" t="s">
        <v>1528</v>
      </c>
      <c r="B466" t="s">
        <v>1099</v>
      </c>
      <c r="C466" t="s">
        <v>1100</v>
      </c>
      <c r="D466" t="s">
        <v>35</v>
      </c>
      <c r="E466">
        <v>303153.68</v>
      </c>
      <c r="F466">
        <v>130</v>
      </c>
      <c r="G466" t="s">
        <v>35</v>
      </c>
      <c r="H466" t="s">
        <v>15</v>
      </c>
    </row>
    <row r="467" spans="1:8" x14ac:dyDescent="0.2">
      <c r="A467" t="s">
        <v>1530</v>
      </c>
      <c r="B467" t="s">
        <v>1531</v>
      </c>
      <c r="C467" t="s">
        <v>1092</v>
      </c>
      <c r="D467" t="s">
        <v>1058</v>
      </c>
      <c r="E467">
        <v>449625</v>
      </c>
      <c r="F467">
        <v>102</v>
      </c>
      <c r="G467" t="s">
        <v>1093</v>
      </c>
      <c r="H467" t="s">
        <v>15</v>
      </c>
    </row>
    <row r="468" spans="1:8" x14ac:dyDescent="0.2">
      <c r="A468" t="s">
        <v>1530</v>
      </c>
      <c r="B468" t="s">
        <v>1099</v>
      </c>
      <c r="C468" t="s">
        <v>1100</v>
      </c>
      <c r="D468" t="s">
        <v>35</v>
      </c>
      <c r="E468">
        <v>449625</v>
      </c>
      <c r="F468">
        <v>102</v>
      </c>
      <c r="G468" t="s">
        <v>35</v>
      </c>
      <c r="H468" t="s">
        <v>15</v>
      </c>
    </row>
    <row r="469" spans="1:8" x14ac:dyDescent="0.2">
      <c r="A469" t="s">
        <v>1532</v>
      </c>
      <c r="B469" t="s">
        <v>1533</v>
      </c>
      <c r="C469" t="s">
        <v>1092</v>
      </c>
      <c r="D469" t="s">
        <v>1058</v>
      </c>
      <c r="E469">
        <v>111852.613</v>
      </c>
      <c r="F469">
        <v>10</v>
      </c>
      <c r="G469" t="s">
        <v>1107</v>
      </c>
      <c r="H469" t="s">
        <v>15</v>
      </c>
    </row>
    <row r="470" spans="1:8" x14ac:dyDescent="0.2">
      <c r="A470" t="s">
        <v>1532</v>
      </c>
      <c r="B470" t="s">
        <v>1534</v>
      </c>
      <c r="C470" t="s">
        <v>1092</v>
      </c>
      <c r="D470" t="s">
        <v>1058</v>
      </c>
      <c r="E470">
        <v>186851.978</v>
      </c>
      <c r="F470">
        <v>23</v>
      </c>
      <c r="G470" t="s">
        <v>1107</v>
      </c>
      <c r="H470" t="s">
        <v>15</v>
      </c>
    </row>
    <row r="471" spans="1:8" x14ac:dyDescent="0.2">
      <c r="A471" t="s">
        <v>1532</v>
      </c>
      <c r="B471" t="s">
        <v>1535</v>
      </c>
      <c r="C471" t="s">
        <v>1092</v>
      </c>
      <c r="D471" t="s">
        <v>1058</v>
      </c>
      <c r="E471">
        <v>12647.124599999999</v>
      </c>
      <c r="F471">
        <v>9</v>
      </c>
      <c r="G471" t="s">
        <v>1107</v>
      </c>
      <c r="H471" t="s">
        <v>15</v>
      </c>
    </row>
    <row r="472" spans="1:8" x14ac:dyDescent="0.2">
      <c r="A472" t="s">
        <v>1532</v>
      </c>
      <c r="B472" t="s">
        <v>1536</v>
      </c>
      <c r="C472" t="s">
        <v>1092</v>
      </c>
      <c r="D472" t="s">
        <v>1096</v>
      </c>
      <c r="E472">
        <v>257644.06599999999</v>
      </c>
      <c r="F472">
        <v>51</v>
      </c>
      <c r="G472" t="s">
        <v>1093</v>
      </c>
      <c r="H472" t="s">
        <v>15</v>
      </c>
    </row>
    <row r="473" spans="1:8" x14ac:dyDescent="0.2">
      <c r="A473" t="s">
        <v>1532</v>
      </c>
      <c r="B473" t="s">
        <v>1537</v>
      </c>
      <c r="C473" t="s">
        <v>1092</v>
      </c>
      <c r="D473" t="s">
        <v>1052</v>
      </c>
      <c r="E473">
        <v>143829.73699999999</v>
      </c>
      <c r="F473">
        <v>36</v>
      </c>
      <c r="G473" t="s">
        <v>1093</v>
      </c>
      <c r="H473" t="s">
        <v>15</v>
      </c>
    </row>
    <row r="474" spans="1:8" x14ac:dyDescent="0.2">
      <c r="A474" t="s">
        <v>1532</v>
      </c>
      <c r="B474" t="s">
        <v>1099</v>
      </c>
      <c r="C474" t="s">
        <v>1100</v>
      </c>
      <c r="D474" t="s">
        <v>35</v>
      </c>
      <c r="E474">
        <v>712825.51859999995</v>
      </c>
      <c r="F474">
        <v>129</v>
      </c>
      <c r="G474" t="s">
        <v>35</v>
      </c>
      <c r="H474" t="s">
        <v>15</v>
      </c>
    </row>
    <row r="475" spans="1:8" x14ac:dyDescent="0.2">
      <c r="A475" t="s">
        <v>151</v>
      </c>
      <c r="B475" t="s">
        <v>1538</v>
      </c>
      <c r="C475" t="s">
        <v>1092</v>
      </c>
      <c r="D475" t="s">
        <v>1052</v>
      </c>
      <c r="E475">
        <v>1688399.8</v>
      </c>
      <c r="F475">
        <v>677090</v>
      </c>
      <c r="G475" t="s">
        <v>1109</v>
      </c>
      <c r="H475" t="s">
        <v>15</v>
      </c>
    </row>
    <row r="476" spans="1:8" x14ac:dyDescent="0.2">
      <c r="A476" t="s">
        <v>151</v>
      </c>
      <c r="B476" t="s">
        <v>1099</v>
      </c>
      <c r="C476" t="s">
        <v>1100</v>
      </c>
      <c r="D476" t="s">
        <v>35</v>
      </c>
      <c r="E476">
        <v>1688399.8</v>
      </c>
      <c r="F476">
        <v>677090</v>
      </c>
      <c r="G476" t="s">
        <v>35</v>
      </c>
      <c r="H476" t="s">
        <v>15</v>
      </c>
    </row>
    <row r="477" spans="1:8" x14ac:dyDescent="0.2">
      <c r="A477" t="s">
        <v>51</v>
      </c>
      <c r="B477" t="s">
        <v>1539</v>
      </c>
      <c r="C477" t="s">
        <v>1092</v>
      </c>
      <c r="D477" t="s">
        <v>1126</v>
      </c>
      <c r="E477">
        <v>180410.69</v>
      </c>
      <c r="F477">
        <v>108551</v>
      </c>
      <c r="G477" t="s">
        <v>1109</v>
      </c>
      <c r="H477" t="s">
        <v>15</v>
      </c>
    </row>
    <row r="478" spans="1:8" x14ac:dyDescent="0.2">
      <c r="A478" t="s">
        <v>51</v>
      </c>
      <c r="B478" t="s">
        <v>1540</v>
      </c>
      <c r="C478" t="s">
        <v>1092</v>
      </c>
      <c r="D478" t="s">
        <v>1126</v>
      </c>
      <c r="E478">
        <v>569196.67200000002</v>
      </c>
      <c r="F478">
        <v>289565</v>
      </c>
      <c r="G478" t="s">
        <v>1109</v>
      </c>
      <c r="H478" t="s">
        <v>15</v>
      </c>
    </row>
    <row r="479" spans="1:8" x14ac:dyDescent="0.2">
      <c r="A479" t="s">
        <v>51</v>
      </c>
      <c r="B479" t="s">
        <v>1541</v>
      </c>
      <c r="C479" t="s">
        <v>1092</v>
      </c>
      <c r="D479" t="s">
        <v>1126</v>
      </c>
      <c r="E479">
        <v>371400.2</v>
      </c>
      <c r="F479">
        <v>197559</v>
      </c>
      <c r="G479" t="s">
        <v>1109</v>
      </c>
      <c r="H479" t="s">
        <v>15</v>
      </c>
    </row>
    <row r="480" spans="1:8" x14ac:dyDescent="0.2">
      <c r="A480" t="s">
        <v>51</v>
      </c>
      <c r="B480" t="s">
        <v>1542</v>
      </c>
      <c r="C480" t="s">
        <v>1092</v>
      </c>
      <c r="D480" t="s">
        <v>1126</v>
      </c>
      <c r="E480">
        <v>705557.21400000004</v>
      </c>
      <c r="F480">
        <v>410351</v>
      </c>
      <c r="G480" t="s">
        <v>1109</v>
      </c>
      <c r="H480" t="s">
        <v>15</v>
      </c>
    </row>
    <row r="481" spans="1:8" x14ac:dyDescent="0.2">
      <c r="A481" t="s">
        <v>51</v>
      </c>
      <c r="B481" t="s">
        <v>1099</v>
      </c>
      <c r="C481" t="s">
        <v>1100</v>
      </c>
      <c r="D481" t="s">
        <v>35</v>
      </c>
      <c r="E481">
        <v>1826564.7760000001</v>
      </c>
      <c r="F481">
        <v>1006026</v>
      </c>
      <c r="G481" t="s">
        <v>35</v>
      </c>
      <c r="H481" t="s">
        <v>15</v>
      </c>
    </row>
    <row r="482" spans="1:8" x14ac:dyDescent="0.2">
      <c r="A482" t="s">
        <v>1543</v>
      </c>
      <c r="B482" t="s">
        <v>1544</v>
      </c>
      <c r="C482" t="s">
        <v>1092</v>
      </c>
      <c r="D482" t="s">
        <v>1052</v>
      </c>
      <c r="E482">
        <v>38462.171329999997</v>
      </c>
      <c r="F482">
        <v>26704</v>
      </c>
      <c r="G482" t="s">
        <v>1109</v>
      </c>
      <c r="H482" t="s">
        <v>15</v>
      </c>
    </row>
    <row r="483" spans="1:8" x14ac:dyDescent="0.2">
      <c r="A483" t="s">
        <v>1543</v>
      </c>
      <c r="B483" t="s">
        <v>1099</v>
      </c>
      <c r="C483" t="s">
        <v>1100</v>
      </c>
      <c r="D483" t="s">
        <v>35</v>
      </c>
      <c r="E483">
        <v>38462.171329999997</v>
      </c>
      <c r="F483">
        <v>26704</v>
      </c>
      <c r="G483" t="s">
        <v>35</v>
      </c>
      <c r="H483" t="s">
        <v>15</v>
      </c>
    </row>
    <row r="484" spans="1:8" x14ac:dyDescent="0.2">
      <c r="A484" t="s">
        <v>353</v>
      </c>
      <c r="B484" t="s">
        <v>1545</v>
      </c>
      <c r="C484" t="s">
        <v>1092</v>
      </c>
      <c r="D484" t="s">
        <v>1223</v>
      </c>
      <c r="E484">
        <v>1640.691</v>
      </c>
      <c r="F484">
        <v>1222</v>
      </c>
      <c r="G484" t="s">
        <v>1236</v>
      </c>
      <c r="H484" t="s">
        <v>15</v>
      </c>
    </row>
    <row r="485" spans="1:8" x14ac:dyDescent="0.2">
      <c r="A485" t="s">
        <v>353</v>
      </c>
      <c r="B485" t="s">
        <v>1546</v>
      </c>
      <c r="C485" t="s">
        <v>1092</v>
      </c>
      <c r="D485" t="s">
        <v>1223</v>
      </c>
      <c r="E485">
        <v>423.22</v>
      </c>
      <c r="F485">
        <v>390</v>
      </c>
      <c r="G485" t="s">
        <v>1236</v>
      </c>
      <c r="H485" t="s">
        <v>15</v>
      </c>
    </row>
    <row r="486" spans="1:8" x14ac:dyDescent="0.2">
      <c r="A486" t="s">
        <v>353</v>
      </c>
      <c r="B486" t="s">
        <v>1547</v>
      </c>
      <c r="C486" t="s">
        <v>1092</v>
      </c>
      <c r="D486" t="s">
        <v>1223</v>
      </c>
      <c r="E486">
        <v>4646.6278160000002</v>
      </c>
      <c r="F486">
        <v>2935</v>
      </c>
      <c r="G486" t="s">
        <v>1236</v>
      </c>
      <c r="H486" t="s">
        <v>15</v>
      </c>
    </row>
    <row r="487" spans="1:8" x14ac:dyDescent="0.2">
      <c r="A487" t="s">
        <v>353</v>
      </c>
      <c r="B487" t="s">
        <v>1548</v>
      </c>
      <c r="C487" t="s">
        <v>1092</v>
      </c>
      <c r="D487" t="s">
        <v>1223</v>
      </c>
      <c r="E487">
        <v>890.97092299999997</v>
      </c>
      <c r="F487">
        <v>564</v>
      </c>
      <c r="G487" t="s">
        <v>1236</v>
      </c>
      <c r="H487" t="s">
        <v>15</v>
      </c>
    </row>
    <row r="488" spans="1:8" x14ac:dyDescent="0.2">
      <c r="A488" t="s">
        <v>353</v>
      </c>
      <c r="B488" t="s">
        <v>1549</v>
      </c>
      <c r="C488" t="s">
        <v>1092</v>
      </c>
      <c r="D488" t="s">
        <v>1223</v>
      </c>
      <c r="E488">
        <v>1160.5249160000001</v>
      </c>
      <c r="F488">
        <v>717</v>
      </c>
      <c r="G488" t="s">
        <v>1236</v>
      </c>
      <c r="H488" t="s">
        <v>15</v>
      </c>
    </row>
    <row r="489" spans="1:8" x14ac:dyDescent="0.2">
      <c r="A489" t="s">
        <v>353</v>
      </c>
      <c r="B489" t="s">
        <v>1550</v>
      </c>
      <c r="C489" t="s">
        <v>1092</v>
      </c>
      <c r="D489" t="s">
        <v>1223</v>
      </c>
      <c r="E489">
        <v>980.30411600000002</v>
      </c>
      <c r="F489">
        <v>601</v>
      </c>
      <c r="G489" t="s">
        <v>1236</v>
      </c>
      <c r="H489" t="s">
        <v>15</v>
      </c>
    </row>
    <row r="490" spans="1:8" x14ac:dyDescent="0.2">
      <c r="A490" t="s">
        <v>353</v>
      </c>
      <c r="B490" t="s">
        <v>1551</v>
      </c>
      <c r="C490" t="s">
        <v>1092</v>
      </c>
      <c r="D490" t="s">
        <v>1223</v>
      </c>
      <c r="E490">
        <v>987.548947</v>
      </c>
      <c r="F490">
        <v>590</v>
      </c>
      <c r="G490" t="s">
        <v>1236</v>
      </c>
      <c r="H490" t="s">
        <v>15</v>
      </c>
    </row>
    <row r="491" spans="1:8" x14ac:dyDescent="0.2">
      <c r="A491" t="s">
        <v>353</v>
      </c>
      <c r="B491" t="s">
        <v>1552</v>
      </c>
      <c r="C491" t="s">
        <v>1092</v>
      </c>
      <c r="D491" t="s">
        <v>1223</v>
      </c>
      <c r="E491">
        <v>6592.7148200000001</v>
      </c>
      <c r="F491">
        <v>4229</v>
      </c>
      <c r="G491" t="s">
        <v>1236</v>
      </c>
      <c r="H491" t="s">
        <v>15</v>
      </c>
    </row>
    <row r="492" spans="1:8" x14ac:dyDescent="0.2">
      <c r="A492" t="s">
        <v>353</v>
      </c>
      <c r="B492" t="s">
        <v>1553</v>
      </c>
      <c r="C492" t="s">
        <v>1092</v>
      </c>
      <c r="D492" t="s">
        <v>1223</v>
      </c>
      <c r="E492">
        <v>311.95999999999998</v>
      </c>
      <c r="F492">
        <v>300</v>
      </c>
      <c r="G492" t="s">
        <v>1236</v>
      </c>
      <c r="H492" t="s">
        <v>15</v>
      </c>
    </row>
    <row r="493" spans="1:8" x14ac:dyDescent="0.2">
      <c r="A493" t="s">
        <v>353</v>
      </c>
      <c r="B493" t="s">
        <v>1554</v>
      </c>
      <c r="C493" t="s">
        <v>1092</v>
      </c>
      <c r="D493" t="s">
        <v>1223</v>
      </c>
      <c r="E493">
        <v>1403.591201</v>
      </c>
      <c r="F493">
        <v>964</v>
      </c>
      <c r="G493" t="s">
        <v>1236</v>
      </c>
      <c r="H493" t="s">
        <v>15</v>
      </c>
    </row>
    <row r="494" spans="1:8" x14ac:dyDescent="0.2">
      <c r="A494" t="s">
        <v>353</v>
      </c>
      <c r="B494" t="s">
        <v>1555</v>
      </c>
      <c r="C494" t="s">
        <v>1092</v>
      </c>
      <c r="D494" t="s">
        <v>1223</v>
      </c>
      <c r="E494">
        <v>1735.58</v>
      </c>
      <c r="F494">
        <v>1300</v>
      </c>
      <c r="G494" t="s">
        <v>1236</v>
      </c>
      <c r="H494" t="s">
        <v>15</v>
      </c>
    </row>
    <row r="495" spans="1:8" x14ac:dyDescent="0.2">
      <c r="A495" t="s">
        <v>353</v>
      </c>
      <c r="B495" t="s">
        <v>1556</v>
      </c>
      <c r="C495" t="s">
        <v>1092</v>
      </c>
      <c r="D495" t="s">
        <v>1223</v>
      </c>
      <c r="E495">
        <v>3277.0509999999999</v>
      </c>
      <c r="F495">
        <v>2345</v>
      </c>
      <c r="G495" t="s">
        <v>1109</v>
      </c>
      <c r="H495" t="s">
        <v>15</v>
      </c>
    </row>
    <row r="496" spans="1:8" x14ac:dyDescent="0.2">
      <c r="A496" t="s">
        <v>353</v>
      </c>
      <c r="B496" t="s">
        <v>1557</v>
      </c>
      <c r="C496" t="s">
        <v>1092</v>
      </c>
      <c r="D496" t="s">
        <v>1223</v>
      </c>
      <c r="E496">
        <v>644.38</v>
      </c>
      <c r="F496">
        <v>477</v>
      </c>
      <c r="G496" t="s">
        <v>1236</v>
      </c>
      <c r="H496" t="s">
        <v>15</v>
      </c>
    </row>
    <row r="497" spans="1:8" x14ac:dyDescent="0.2">
      <c r="A497" t="s">
        <v>353</v>
      </c>
      <c r="B497" t="s">
        <v>1558</v>
      </c>
      <c r="C497" t="s">
        <v>1092</v>
      </c>
      <c r="D497" t="s">
        <v>1223</v>
      </c>
      <c r="E497">
        <v>844.91099999999994</v>
      </c>
      <c r="F497">
        <v>705</v>
      </c>
      <c r="G497" t="s">
        <v>1236</v>
      </c>
      <c r="H497" t="s">
        <v>15</v>
      </c>
    </row>
    <row r="498" spans="1:8" x14ac:dyDescent="0.2">
      <c r="A498" t="s">
        <v>353</v>
      </c>
      <c r="B498" t="s">
        <v>1559</v>
      </c>
      <c r="C498" t="s">
        <v>1092</v>
      </c>
      <c r="D498" t="s">
        <v>1223</v>
      </c>
      <c r="E498">
        <v>338.851</v>
      </c>
      <c r="F498">
        <v>287</v>
      </c>
      <c r="G498" t="s">
        <v>1236</v>
      </c>
      <c r="H498" t="s">
        <v>15</v>
      </c>
    </row>
    <row r="499" spans="1:8" x14ac:dyDescent="0.2">
      <c r="A499" t="s">
        <v>353</v>
      </c>
      <c r="B499" t="s">
        <v>1560</v>
      </c>
      <c r="C499" t="s">
        <v>1092</v>
      </c>
      <c r="D499" t="s">
        <v>1223</v>
      </c>
      <c r="E499">
        <v>9088.6049999999996</v>
      </c>
      <c r="F499">
        <v>5873</v>
      </c>
      <c r="G499" t="s">
        <v>1236</v>
      </c>
      <c r="H499" t="s">
        <v>15</v>
      </c>
    </row>
    <row r="500" spans="1:8" x14ac:dyDescent="0.2">
      <c r="A500" t="s">
        <v>353</v>
      </c>
      <c r="B500" t="s">
        <v>1561</v>
      </c>
      <c r="C500" t="s">
        <v>1092</v>
      </c>
      <c r="D500" t="s">
        <v>1223</v>
      </c>
      <c r="E500">
        <v>3875.7767690000001</v>
      </c>
      <c r="F500">
        <v>2413</v>
      </c>
      <c r="G500" t="s">
        <v>1236</v>
      </c>
      <c r="H500" t="s">
        <v>15</v>
      </c>
    </row>
    <row r="501" spans="1:8" x14ac:dyDescent="0.2">
      <c r="A501" t="s">
        <v>353</v>
      </c>
      <c r="B501" t="s">
        <v>1562</v>
      </c>
      <c r="C501" t="s">
        <v>1092</v>
      </c>
      <c r="D501" t="s">
        <v>1223</v>
      </c>
      <c r="E501">
        <v>5831.3879999999999</v>
      </c>
      <c r="F501">
        <v>3691</v>
      </c>
      <c r="G501" t="s">
        <v>1236</v>
      </c>
      <c r="H501" t="s">
        <v>15</v>
      </c>
    </row>
    <row r="502" spans="1:8" x14ac:dyDescent="0.2">
      <c r="A502" t="s">
        <v>353</v>
      </c>
      <c r="B502" t="s">
        <v>1563</v>
      </c>
      <c r="C502" t="s">
        <v>1092</v>
      </c>
      <c r="D502" t="s">
        <v>1223</v>
      </c>
      <c r="E502">
        <v>667.58</v>
      </c>
      <c r="F502">
        <v>560</v>
      </c>
      <c r="G502" t="s">
        <v>1236</v>
      </c>
      <c r="H502" t="s">
        <v>15</v>
      </c>
    </row>
    <row r="503" spans="1:8" x14ac:dyDescent="0.2">
      <c r="A503" t="s">
        <v>353</v>
      </c>
      <c r="B503" t="s">
        <v>1564</v>
      </c>
      <c r="C503" t="s">
        <v>1092</v>
      </c>
      <c r="D503" t="s">
        <v>1223</v>
      </c>
      <c r="E503">
        <v>320.53100000000001</v>
      </c>
      <c r="F503">
        <v>279</v>
      </c>
      <c r="G503" t="s">
        <v>1236</v>
      </c>
      <c r="H503" t="s">
        <v>15</v>
      </c>
    </row>
    <row r="504" spans="1:8" x14ac:dyDescent="0.2">
      <c r="A504" t="s">
        <v>353</v>
      </c>
      <c r="B504" t="s">
        <v>1565</v>
      </c>
      <c r="C504" t="s">
        <v>1092</v>
      </c>
      <c r="D504" t="s">
        <v>1223</v>
      </c>
      <c r="E504">
        <v>635.34</v>
      </c>
      <c r="F504">
        <v>458</v>
      </c>
      <c r="G504" t="s">
        <v>1236</v>
      </c>
      <c r="H504" t="s">
        <v>15</v>
      </c>
    </row>
    <row r="505" spans="1:8" x14ac:dyDescent="0.2">
      <c r="A505" t="s">
        <v>353</v>
      </c>
      <c r="B505" t="s">
        <v>1566</v>
      </c>
      <c r="C505" t="s">
        <v>1092</v>
      </c>
      <c r="D505" t="s">
        <v>1223</v>
      </c>
      <c r="E505">
        <v>2809.2910000000002</v>
      </c>
      <c r="F505">
        <v>1970</v>
      </c>
      <c r="G505" t="s">
        <v>1236</v>
      </c>
      <c r="H505" t="s">
        <v>15</v>
      </c>
    </row>
    <row r="506" spans="1:8" x14ac:dyDescent="0.2">
      <c r="A506" t="s">
        <v>353</v>
      </c>
      <c r="B506" t="s">
        <v>1567</v>
      </c>
      <c r="C506" t="s">
        <v>1092</v>
      </c>
      <c r="D506" t="s">
        <v>1223</v>
      </c>
      <c r="E506">
        <v>1629.2161779999999</v>
      </c>
      <c r="F506">
        <v>955</v>
      </c>
      <c r="G506" t="s">
        <v>1236</v>
      </c>
      <c r="H506" t="s">
        <v>15</v>
      </c>
    </row>
    <row r="507" spans="1:8" x14ac:dyDescent="0.2">
      <c r="A507" t="s">
        <v>353</v>
      </c>
      <c r="B507" t="s">
        <v>1568</v>
      </c>
      <c r="C507" t="s">
        <v>1092</v>
      </c>
      <c r="D507" t="s">
        <v>1223</v>
      </c>
      <c r="E507">
        <v>3417.3724259999999</v>
      </c>
      <c r="F507">
        <v>1982</v>
      </c>
      <c r="G507" t="s">
        <v>1236</v>
      </c>
      <c r="H507" t="s">
        <v>15</v>
      </c>
    </row>
    <row r="508" spans="1:8" x14ac:dyDescent="0.2">
      <c r="A508" t="s">
        <v>353</v>
      </c>
      <c r="B508" t="s">
        <v>1569</v>
      </c>
      <c r="C508" t="s">
        <v>1092</v>
      </c>
      <c r="D508" t="s">
        <v>1223</v>
      </c>
      <c r="E508">
        <v>1084.771</v>
      </c>
      <c r="F508">
        <v>758</v>
      </c>
      <c r="G508" t="s">
        <v>1236</v>
      </c>
      <c r="H508" t="s">
        <v>15</v>
      </c>
    </row>
    <row r="509" spans="1:8" x14ac:dyDescent="0.2">
      <c r="A509" t="s">
        <v>353</v>
      </c>
      <c r="B509" t="s">
        <v>1570</v>
      </c>
      <c r="C509" t="s">
        <v>1092</v>
      </c>
      <c r="D509" t="s">
        <v>1223</v>
      </c>
      <c r="E509">
        <v>10812.209993</v>
      </c>
      <c r="F509">
        <v>6560</v>
      </c>
      <c r="G509" t="s">
        <v>1236</v>
      </c>
      <c r="H509" t="s">
        <v>15</v>
      </c>
    </row>
    <row r="510" spans="1:8" x14ac:dyDescent="0.2">
      <c r="A510" t="s">
        <v>353</v>
      </c>
      <c r="B510" t="s">
        <v>1571</v>
      </c>
      <c r="C510" t="s">
        <v>1092</v>
      </c>
      <c r="D510" t="s">
        <v>1223</v>
      </c>
      <c r="E510">
        <v>2680</v>
      </c>
      <c r="F510">
        <v>2071</v>
      </c>
      <c r="G510" t="s">
        <v>1236</v>
      </c>
      <c r="H510" t="s">
        <v>15</v>
      </c>
    </row>
    <row r="511" spans="1:8" x14ac:dyDescent="0.2">
      <c r="A511" t="s">
        <v>353</v>
      </c>
      <c r="B511" t="s">
        <v>1572</v>
      </c>
      <c r="C511" t="s">
        <v>1092</v>
      </c>
      <c r="D511" t="s">
        <v>1223</v>
      </c>
      <c r="E511">
        <v>4060.8600080000001</v>
      </c>
      <c r="F511">
        <v>2568</v>
      </c>
      <c r="G511" t="s">
        <v>1236</v>
      </c>
      <c r="H511" t="s">
        <v>15</v>
      </c>
    </row>
    <row r="512" spans="1:8" x14ac:dyDescent="0.2">
      <c r="A512" t="s">
        <v>353</v>
      </c>
      <c r="B512" t="s">
        <v>1573</v>
      </c>
      <c r="C512" t="s">
        <v>1092</v>
      </c>
      <c r="D512" t="s">
        <v>1223</v>
      </c>
      <c r="E512">
        <v>900.49721499999998</v>
      </c>
      <c r="F512">
        <v>562</v>
      </c>
      <c r="G512" t="s">
        <v>1236</v>
      </c>
      <c r="H512" t="s">
        <v>15</v>
      </c>
    </row>
    <row r="513" spans="1:8" x14ac:dyDescent="0.2">
      <c r="A513" t="s">
        <v>353</v>
      </c>
      <c r="B513" t="s">
        <v>1574</v>
      </c>
      <c r="C513" t="s">
        <v>1092</v>
      </c>
      <c r="D513" t="s">
        <v>1223</v>
      </c>
      <c r="E513">
        <v>1412.7869909999999</v>
      </c>
      <c r="F513">
        <v>905</v>
      </c>
      <c r="G513" t="s">
        <v>1236</v>
      </c>
      <c r="H513" t="s">
        <v>15</v>
      </c>
    </row>
    <row r="514" spans="1:8" x14ac:dyDescent="0.2">
      <c r="A514" t="s">
        <v>353</v>
      </c>
      <c r="B514" t="s">
        <v>1575</v>
      </c>
      <c r="C514" t="s">
        <v>1092</v>
      </c>
      <c r="D514" t="s">
        <v>1223</v>
      </c>
      <c r="E514">
        <v>2442.8097870000001</v>
      </c>
      <c r="F514">
        <v>1500</v>
      </c>
      <c r="G514" t="s">
        <v>1236</v>
      </c>
      <c r="H514" t="s">
        <v>15</v>
      </c>
    </row>
    <row r="515" spans="1:8" x14ac:dyDescent="0.2">
      <c r="A515" t="s">
        <v>353</v>
      </c>
      <c r="B515" t="s">
        <v>1576</v>
      </c>
      <c r="C515" t="s">
        <v>1092</v>
      </c>
      <c r="D515" t="s">
        <v>1223</v>
      </c>
      <c r="E515">
        <v>3383.9182730000002</v>
      </c>
      <c r="F515">
        <v>1308</v>
      </c>
      <c r="G515" t="s">
        <v>1236</v>
      </c>
      <c r="H515" t="s">
        <v>15</v>
      </c>
    </row>
    <row r="516" spans="1:8" x14ac:dyDescent="0.2">
      <c r="A516" t="s">
        <v>353</v>
      </c>
      <c r="B516" t="s">
        <v>1577</v>
      </c>
      <c r="C516" t="s">
        <v>1092</v>
      </c>
      <c r="D516" t="s">
        <v>1223</v>
      </c>
      <c r="E516">
        <v>7748.6027119999999</v>
      </c>
      <c r="F516">
        <v>4740</v>
      </c>
      <c r="G516" t="s">
        <v>1236</v>
      </c>
      <c r="H516" t="s">
        <v>15</v>
      </c>
    </row>
    <row r="517" spans="1:8" x14ac:dyDescent="0.2">
      <c r="A517" t="s">
        <v>353</v>
      </c>
      <c r="B517" t="s">
        <v>1578</v>
      </c>
      <c r="C517" t="s">
        <v>1092</v>
      </c>
      <c r="D517" t="s">
        <v>1223</v>
      </c>
      <c r="E517">
        <v>5808.75522</v>
      </c>
      <c r="F517">
        <v>3842</v>
      </c>
      <c r="G517" t="s">
        <v>1236</v>
      </c>
      <c r="H517" t="s">
        <v>15</v>
      </c>
    </row>
    <row r="518" spans="1:8" x14ac:dyDescent="0.2">
      <c r="A518" t="s">
        <v>353</v>
      </c>
      <c r="B518" t="s">
        <v>1579</v>
      </c>
      <c r="C518" t="s">
        <v>1092</v>
      </c>
      <c r="D518" t="s">
        <v>1223</v>
      </c>
      <c r="E518">
        <v>3100</v>
      </c>
      <c r="F518">
        <v>2200</v>
      </c>
      <c r="G518" t="s">
        <v>1236</v>
      </c>
      <c r="H518" t="s">
        <v>15</v>
      </c>
    </row>
    <row r="519" spans="1:8" x14ac:dyDescent="0.2">
      <c r="A519" t="s">
        <v>353</v>
      </c>
      <c r="B519" t="s">
        <v>1580</v>
      </c>
      <c r="C519" t="s">
        <v>1092</v>
      </c>
      <c r="D519" t="s">
        <v>1223</v>
      </c>
      <c r="E519">
        <v>1081.1821580000001</v>
      </c>
      <c r="F519">
        <v>616</v>
      </c>
      <c r="G519" t="s">
        <v>1236</v>
      </c>
      <c r="H519" t="s">
        <v>15</v>
      </c>
    </row>
    <row r="520" spans="1:8" x14ac:dyDescent="0.2">
      <c r="A520" t="s">
        <v>353</v>
      </c>
      <c r="B520" t="s">
        <v>1581</v>
      </c>
      <c r="C520" t="s">
        <v>1092</v>
      </c>
      <c r="D520" t="s">
        <v>1223</v>
      </c>
      <c r="E520">
        <v>799.76</v>
      </c>
      <c r="F520">
        <v>587</v>
      </c>
      <c r="G520" t="s">
        <v>1236</v>
      </c>
      <c r="H520" t="s">
        <v>15</v>
      </c>
    </row>
    <row r="521" spans="1:8" x14ac:dyDescent="0.2">
      <c r="A521" t="s">
        <v>353</v>
      </c>
      <c r="B521" t="s">
        <v>1582</v>
      </c>
      <c r="C521" t="s">
        <v>1092</v>
      </c>
      <c r="D521" t="s">
        <v>1223</v>
      </c>
      <c r="E521">
        <v>1764.36</v>
      </c>
      <c r="F521">
        <v>1263</v>
      </c>
      <c r="G521" t="s">
        <v>1236</v>
      </c>
      <c r="H521" t="s">
        <v>15</v>
      </c>
    </row>
    <row r="522" spans="1:8" x14ac:dyDescent="0.2">
      <c r="A522" t="s">
        <v>353</v>
      </c>
      <c r="B522" t="s">
        <v>1583</v>
      </c>
      <c r="C522" t="s">
        <v>1092</v>
      </c>
      <c r="D522" t="s">
        <v>1223</v>
      </c>
      <c r="E522">
        <v>2029.0909999999999</v>
      </c>
      <c r="F522">
        <v>1451</v>
      </c>
      <c r="G522" t="s">
        <v>1236</v>
      </c>
      <c r="H522" t="s">
        <v>15</v>
      </c>
    </row>
    <row r="523" spans="1:8" x14ac:dyDescent="0.2">
      <c r="A523" t="s">
        <v>353</v>
      </c>
      <c r="B523" t="s">
        <v>1584</v>
      </c>
      <c r="C523" t="s">
        <v>1092</v>
      </c>
      <c r="D523" t="s">
        <v>1223</v>
      </c>
      <c r="E523">
        <v>1270.471</v>
      </c>
      <c r="F523">
        <v>929</v>
      </c>
      <c r="G523" t="s">
        <v>1236</v>
      </c>
      <c r="H523" t="s">
        <v>15</v>
      </c>
    </row>
    <row r="524" spans="1:8" x14ac:dyDescent="0.2">
      <c r="A524" t="s">
        <v>353</v>
      </c>
      <c r="B524" t="s">
        <v>1585</v>
      </c>
      <c r="C524" t="s">
        <v>1092</v>
      </c>
      <c r="D524" t="s">
        <v>1223</v>
      </c>
      <c r="E524">
        <v>617.14</v>
      </c>
      <c r="F524">
        <v>489</v>
      </c>
      <c r="G524" t="s">
        <v>1236</v>
      </c>
      <c r="H524" t="s">
        <v>15</v>
      </c>
    </row>
    <row r="525" spans="1:8" x14ac:dyDescent="0.2">
      <c r="A525" t="s">
        <v>353</v>
      </c>
      <c r="B525" t="s">
        <v>1586</v>
      </c>
      <c r="C525" t="s">
        <v>1092</v>
      </c>
      <c r="D525" t="s">
        <v>1223</v>
      </c>
      <c r="E525">
        <v>2362.1709999999998</v>
      </c>
      <c r="F525">
        <v>1836</v>
      </c>
      <c r="G525" t="s">
        <v>1236</v>
      </c>
      <c r="H525" t="s">
        <v>15</v>
      </c>
    </row>
    <row r="526" spans="1:8" x14ac:dyDescent="0.2">
      <c r="A526" t="s">
        <v>353</v>
      </c>
      <c r="B526" t="s">
        <v>1587</v>
      </c>
      <c r="C526" t="s">
        <v>1092</v>
      </c>
      <c r="D526" t="s">
        <v>1223</v>
      </c>
      <c r="E526">
        <v>4800.9615160000003</v>
      </c>
      <c r="F526">
        <v>3007</v>
      </c>
      <c r="G526" t="s">
        <v>1236</v>
      </c>
      <c r="H526" t="s">
        <v>15</v>
      </c>
    </row>
    <row r="527" spans="1:8" x14ac:dyDescent="0.2">
      <c r="A527" t="s">
        <v>353</v>
      </c>
      <c r="B527" t="s">
        <v>1588</v>
      </c>
      <c r="C527" t="s">
        <v>1092</v>
      </c>
      <c r="D527" t="s">
        <v>1223</v>
      </c>
      <c r="E527">
        <v>1132.951</v>
      </c>
      <c r="F527">
        <v>830</v>
      </c>
      <c r="G527" t="s">
        <v>1236</v>
      </c>
      <c r="H527" t="s">
        <v>15</v>
      </c>
    </row>
    <row r="528" spans="1:8" x14ac:dyDescent="0.2">
      <c r="A528" t="s">
        <v>353</v>
      </c>
      <c r="B528" t="s">
        <v>1589</v>
      </c>
      <c r="C528" t="s">
        <v>1092</v>
      </c>
      <c r="D528" t="s">
        <v>1223</v>
      </c>
      <c r="E528">
        <v>318.82</v>
      </c>
      <c r="F528">
        <v>274</v>
      </c>
      <c r="G528" t="s">
        <v>1236</v>
      </c>
      <c r="H528" t="s">
        <v>15</v>
      </c>
    </row>
    <row r="529" spans="1:8" x14ac:dyDescent="0.2">
      <c r="A529" t="s">
        <v>353</v>
      </c>
      <c r="B529" t="s">
        <v>1590</v>
      </c>
      <c r="C529" t="s">
        <v>1092</v>
      </c>
      <c r="D529" t="s">
        <v>1223</v>
      </c>
      <c r="E529">
        <v>2497.511</v>
      </c>
      <c r="F529">
        <v>1816</v>
      </c>
      <c r="G529" t="s">
        <v>1236</v>
      </c>
      <c r="H529" t="s">
        <v>15</v>
      </c>
    </row>
    <row r="530" spans="1:8" x14ac:dyDescent="0.2">
      <c r="A530" t="s">
        <v>353</v>
      </c>
      <c r="B530" t="s">
        <v>1591</v>
      </c>
      <c r="C530" t="s">
        <v>1092</v>
      </c>
      <c r="D530" t="s">
        <v>1223</v>
      </c>
      <c r="E530">
        <v>2680.8880399999998</v>
      </c>
      <c r="F530">
        <v>1801</v>
      </c>
      <c r="G530" t="s">
        <v>1236</v>
      </c>
      <c r="H530" t="s">
        <v>15</v>
      </c>
    </row>
    <row r="531" spans="1:8" x14ac:dyDescent="0.2">
      <c r="A531" t="s">
        <v>353</v>
      </c>
      <c r="B531" t="s">
        <v>1592</v>
      </c>
      <c r="C531" t="s">
        <v>1092</v>
      </c>
      <c r="D531" t="s">
        <v>1223</v>
      </c>
      <c r="E531">
        <v>969.37900000000002</v>
      </c>
      <c r="F531">
        <v>240</v>
      </c>
      <c r="G531" t="s">
        <v>1236</v>
      </c>
      <c r="H531" t="s">
        <v>15</v>
      </c>
    </row>
    <row r="532" spans="1:8" x14ac:dyDescent="0.2">
      <c r="A532" t="s">
        <v>353</v>
      </c>
      <c r="B532" t="s">
        <v>1593</v>
      </c>
      <c r="C532" t="s">
        <v>1092</v>
      </c>
      <c r="D532" t="s">
        <v>1223</v>
      </c>
      <c r="E532">
        <v>3161</v>
      </c>
      <c r="F532">
        <v>2311</v>
      </c>
      <c r="G532" t="s">
        <v>1236</v>
      </c>
      <c r="H532" t="s">
        <v>15</v>
      </c>
    </row>
    <row r="533" spans="1:8" x14ac:dyDescent="0.2">
      <c r="A533" t="s">
        <v>353</v>
      </c>
      <c r="B533" t="s">
        <v>1594</v>
      </c>
      <c r="C533" t="s">
        <v>1092</v>
      </c>
      <c r="D533" t="s">
        <v>1223</v>
      </c>
      <c r="E533">
        <v>10097.843999999999</v>
      </c>
      <c r="F533">
        <v>6721</v>
      </c>
      <c r="G533" t="s">
        <v>1109</v>
      </c>
      <c r="H533" t="s">
        <v>15</v>
      </c>
    </row>
    <row r="534" spans="1:8" x14ac:dyDescent="0.2">
      <c r="A534" t="s">
        <v>353</v>
      </c>
      <c r="B534" t="s">
        <v>1595</v>
      </c>
      <c r="C534" t="s">
        <v>1092</v>
      </c>
      <c r="D534" t="s">
        <v>1223</v>
      </c>
      <c r="E534">
        <v>2033.376767</v>
      </c>
      <c r="F534">
        <v>1212</v>
      </c>
      <c r="G534" t="s">
        <v>1236</v>
      </c>
      <c r="H534" t="s">
        <v>15</v>
      </c>
    </row>
    <row r="535" spans="1:8" x14ac:dyDescent="0.2">
      <c r="A535" t="s">
        <v>353</v>
      </c>
      <c r="B535" t="s">
        <v>1596</v>
      </c>
      <c r="C535" t="s">
        <v>1092</v>
      </c>
      <c r="D535" t="s">
        <v>1223</v>
      </c>
      <c r="E535">
        <v>2169.256214</v>
      </c>
      <c r="F535">
        <v>1372</v>
      </c>
      <c r="G535" t="s">
        <v>1236</v>
      </c>
      <c r="H535" t="s">
        <v>15</v>
      </c>
    </row>
    <row r="536" spans="1:8" x14ac:dyDescent="0.2">
      <c r="A536" t="s">
        <v>353</v>
      </c>
      <c r="B536" t="s">
        <v>1597</v>
      </c>
      <c r="C536" t="s">
        <v>1092</v>
      </c>
      <c r="D536" t="s">
        <v>1223</v>
      </c>
      <c r="E536">
        <v>324.851</v>
      </c>
      <c r="F536">
        <v>260</v>
      </c>
      <c r="G536" t="s">
        <v>1236</v>
      </c>
      <c r="H536" t="s">
        <v>15</v>
      </c>
    </row>
    <row r="537" spans="1:8" x14ac:dyDescent="0.2">
      <c r="A537" t="s">
        <v>353</v>
      </c>
      <c r="B537" t="s">
        <v>1598</v>
      </c>
      <c r="C537" t="s">
        <v>1092</v>
      </c>
      <c r="D537" t="s">
        <v>1223</v>
      </c>
      <c r="E537">
        <v>1075.5</v>
      </c>
      <c r="F537">
        <v>776</v>
      </c>
      <c r="G537" t="s">
        <v>1236</v>
      </c>
      <c r="H537" t="s">
        <v>15</v>
      </c>
    </row>
    <row r="538" spans="1:8" x14ac:dyDescent="0.2">
      <c r="A538" t="s">
        <v>353</v>
      </c>
      <c r="B538" t="s">
        <v>1599</v>
      </c>
      <c r="C538" t="s">
        <v>1092</v>
      </c>
      <c r="D538" t="s">
        <v>1223</v>
      </c>
      <c r="E538">
        <v>1604.8309999999999</v>
      </c>
      <c r="F538">
        <v>1118</v>
      </c>
      <c r="G538" t="s">
        <v>1236</v>
      </c>
      <c r="H538" t="s">
        <v>15</v>
      </c>
    </row>
    <row r="539" spans="1:8" x14ac:dyDescent="0.2">
      <c r="A539" t="s">
        <v>353</v>
      </c>
      <c r="B539" t="s">
        <v>1600</v>
      </c>
      <c r="C539" t="s">
        <v>1092</v>
      </c>
      <c r="D539" t="s">
        <v>1223</v>
      </c>
      <c r="E539">
        <v>5034.989638</v>
      </c>
      <c r="F539">
        <v>3095</v>
      </c>
      <c r="G539" t="s">
        <v>1236</v>
      </c>
      <c r="H539" t="s">
        <v>15</v>
      </c>
    </row>
    <row r="540" spans="1:8" x14ac:dyDescent="0.2">
      <c r="A540" t="s">
        <v>353</v>
      </c>
      <c r="B540" t="s">
        <v>1099</v>
      </c>
      <c r="C540" t="s">
        <v>1100</v>
      </c>
      <c r="D540" t="s">
        <v>35</v>
      </c>
      <c r="E540">
        <v>145415.572644</v>
      </c>
      <c r="F540">
        <v>94825</v>
      </c>
      <c r="G540" t="s">
        <v>35</v>
      </c>
      <c r="H540" t="s">
        <v>15</v>
      </c>
    </row>
    <row r="541" spans="1:8" x14ac:dyDescent="0.2">
      <c r="A541" t="s">
        <v>139</v>
      </c>
      <c r="B541" t="s">
        <v>1601</v>
      </c>
      <c r="C541" t="s">
        <v>1092</v>
      </c>
      <c r="D541" t="s">
        <v>1223</v>
      </c>
      <c r="E541">
        <v>740178.28</v>
      </c>
      <c r="F541">
        <v>462116</v>
      </c>
      <c r="G541" t="s">
        <v>1109</v>
      </c>
      <c r="H541" t="s">
        <v>15</v>
      </c>
    </row>
    <row r="542" spans="1:8" x14ac:dyDescent="0.2">
      <c r="A542" t="s">
        <v>139</v>
      </c>
      <c r="B542" t="s">
        <v>1602</v>
      </c>
      <c r="C542" t="s">
        <v>1092</v>
      </c>
      <c r="D542" t="s">
        <v>1223</v>
      </c>
      <c r="E542">
        <v>42776</v>
      </c>
      <c r="F542">
        <v>29557</v>
      </c>
      <c r="G542" t="s">
        <v>1109</v>
      </c>
      <c r="H542" t="s">
        <v>15</v>
      </c>
    </row>
    <row r="543" spans="1:8" x14ac:dyDescent="0.2">
      <c r="A543" t="s">
        <v>139</v>
      </c>
      <c r="B543" t="s">
        <v>1603</v>
      </c>
      <c r="C543" t="s">
        <v>1092</v>
      </c>
      <c r="D543" t="s">
        <v>1223</v>
      </c>
      <c r="E543">
        <v>1977</v>
      </c>
      <c r="F543">
        <v>1396</v>
      </c>
      <c r="G543" t="s">
        <v>1236</v>
      </c>
      <c r="H543" t="s">
        <v>15</v>
      </c>
    </row>
    <row r="544" spans="1:8" x14ac:dyDescent="0.2">
      <c r="A544" t="s">
        <v>139</v>
      </c>
      <c r="B544" t="s">
        <v>1604</v>
      </c>
      <c r="C544" t="s">
        <v>1092</v>
      </c>
      <c r="D544" t="s">
        <v>1223</v>
      </c>
      <c r="E544">
        <v>148398</v>
      </c>
      <c r="F544">
        <v>79455</v>
      </c>
      <c r="G544" t="s">
        <v>1109</v>
      </c>
      <c r="H544" t="s">
        <v>15</v>
      </c>
    </row>
    <row r="545" spans="1:8" x14ac:dyDescent="0.2">
      <c r="A545" t="s">
        <v>139</v>
      </c>
      <c r="B545" t="s">
        <v>1605</v>
      </c>
      <c r="C545" t="s">
        <v>1092</v>
      </c>
      <c r="D545" t="s">
        <v>1223</v>
      </c>
      <c r="E545">
        <v>42559</v>
      </c>
      <c r="F545">
        <v>31811</v>
      </c>
      <c r="G545" t="s">
        <v>1109</v>
      </c>
      <c r="H545" t="s">
        <v>15</v>
      </c>
    </row>
    <row r="546" spans="1:8" x14ac:dyDescent="0.2">
      <c r="A546" t="s">
        <v>139</v>
      </c>
      <c r="B546" t="s">
        <v>1606</v>
      </c>
      <c r="C546" t="s">
        <v>1092</v>
      </c>
      <c r="D546" t="s">
        <v>1223</v>
      </c>
      <c r="E546">
        <v>29313</v>
      </c>
      <c r="F546">
        <v>22243</v>
      </c>
      <c r="G546" t="s">
        <v>1109</v>
      </c>
      <c r="H546" t="s">
        <v>15</v>
      </c>
    </row>
    <row r="547" spans="1:8" x14ac:dyDescent="0.2">
      <c r="A547" t="s">
        <v>139</v>
      </c>
      <c r="B547" t="s">
        <v>1607</v>
      </c>
      <c r="C547" t="s">
        <v>1092</v>
      </c>
      <c r="D547" t="s">
        <v>1223</v>
      </c>
      <c r="E547">
        <v>482664.95</v>
      </c>
      <c r="F547">
        <v>268884</v>
      </c>
      <c r="G547" t="s">
        <v>1109</v>
      </c>
      <c r="H547" t="s">
        <v>15</v>
      </c>
    </row>
    <row r="548" spans="1:8" x14ac:dyDescent="0.2">
      <c r="A548" t="s">
        <v>139</v>
      </c>
      <c r="B548" t="s">
        <v>1608</v>
      </c>
      <c r="C548" t="s">
        <v>1092</v>
      </c>
      <c r="D548" t="s">
        <v>1223</v>
      </c>
      <c r="E548">
        <v>19457.61</v>
      </c>
      <c r="F548">
        <v>14580</v>
      </c>
      <c r="G548" t="s">
        <v>1109</v>
      </c>
      <c r="H548" t="s">
        <v>15</v>
      </c>
    </row>
    <row r="549" spans="1:8" x14ac:dyDescent="0.2">
      <c r="A549" t="s">
        <v>139</v>
      </c>
      <c r="B549" t="s">
        <v>1099</v>
      </c>
      <c r="C549" t="s">
        <v>1100</v>
      </c>
      <c r="D549" t="s">
        <v>35</v>
      </c>
      <c r="E549">
        <v>1507323.84</v>
      </c>
      <c r="F549">
        <v>910042</v>
      </c>
      <c r="G549" t="s">
        <v>35</v>
      </c>
      <c r="H549" t="s">
        <v>15</v>
      </c>
    </row>
    <row r="550" spans="1:8" x14ac:dyDescent="0.2">
      <c r="A550" t="s">
        <v>161</v>
      </c>
      <c r="B550" t="s">
        <v>1609</v>
      </c>
      <c r="C550" t="s">
        <v>1092</v>
      </c>
      <c r="D550" t="s">
        <v>1096</v>
      </c>
      <c r="E550">
        <v>20361.156361000001</v>
      </c>
      <c r="F550">
        <v>22795</v>
      </c>
      <c r="G550" t="s">
        <v>1610</v>
      </c>
      <c r="H550" t="s">
        <v>15</v>
      </c>
    </row>
    <row r="551" spans="1:8" x14ac:dyDescent="0.2">
      <c r="A551" t="s">
        <v>161</v>
      </c>
      <c r="B551" t="s">
        <v>1099</v>
      </c>
      <c r="C551" t="s">
        <v>1100</v>
      </c>
      <c r="D551" t="s">
        <v>35</v>
      </c>
      <c r="E551">
        <v>20361.156361000001</v>
      </c>
      <c r="F551">
        <v>22795</v>
      </c>
      <c r="G551" t="s">
        <v>35</v>
      </c>
      <c r="H551" t="s">
        <v>15</v>
      </c>
    </row>
    <row r="552" spans="1:8" x14ac:dyDescent="0.2">
      <c r="A552" t="s">
        <v>1611</v>
      </c>
      <c r="B552" t="s">
        <v>1612</v>
      </c>
      <c r="C552" t="s">
        <v>1092</v>
      </c>
      <c r="D552" t="s">
        <v>1215</v>
      </c>
      <c r="E552">
        <v>15295.6209</v>
      </c>
      <c r="F552">
        <v>0</v>
      </c>
      <c r="G552" t="s">
        <v>1093</v>
      </c>
      <c r="H552" t="s">
        <v>15</v>
      </c>
    </row>
    <row r="553" spans="1:8" x14ac:dyDescent="0.2">
      <c r="A553" t="s">
        <v>1611</v>
      </c>
      <c r="B553" t="s">
        <v>1613</v>
      </c>
      <c r="C553" t="s">
        <v>1092</v>
      </c>
      <c r="D553" t="s">
        <v>1215</v>
      </c>
      <c r="E553">
        <v>35277.167999999998</v>
      </c>
      <c r="F553">
        <v>0</v>
      </c>
      <c r="G553" t="s">
        <v>1093</v>
      </c>
      <c r="H553" t="s">
        <v>15</v>
      </c>
    </row>
    <row r="554" spans="1:8" x14ac:dyDescent="0.2">
      <c r="A554" t="s">
        <v>1611</v>
      </c>
      <c r="B554" t="s">
        <v>1614</v>
      </c>
      <c r="C554" t="s">
        <v>1092</v>
      </c>
      <c r="D554" t="s">
        <v>1215</v>
      </c>
      <c r="E554">
        <v>40618.17</v>
      </c>
      <c r="F554">
        <v>0</v>
      </c>
      <c r="G554" t="s">
        <v>1093</v>
      </c>
      <c r="H554" t="s">
        <v>15</v>
      </c>
    </row>
    <row r="555" spans="1:8" x14ac:dyDescent="0.2">
      <c r="A555" t="s">
        <v>1611</v>
      </c>
      <c r="B555" t="s">
        <v>1615</v>
      </c>
      <c r="C555" t="s">
        <v>1092</v>
      </c>
      <c r="D555" t="s">
        <v>1096</v>
      </c>
      <c r="E555">
        <v>22548.566299999999</v>
      </c>
      <c r="F555">
        <v>0</v>
      </c>
      <c r="G555" t="s">
        <v>1093</v>
      </c>
      <c r="H555" t="s">
        <v>15</v>
      </c>
    </row>
    <row r="556" spans="1:8" x14ac:dyDescent="0.2">
      <c r="A556" t="s">
        <v>1611</v>
      </c>
      <c r="B556" t="s">
        <v>1616</v>
      </c>
      <c r="C556" t="s">
        <v>1092</v>
      </c>
      <c r="D556" t="s">
        <v>1215</v>
      </c>
      <c r="E556">
        <v>53271.556900000003</v>
      </c>
      <c r="F556">
        <v>0</v>
      </c>
      <c r="G556" t="s">
        <v>1093</v>
      </c>
      <c r="H556" t="s">
        <v>15</v>
      </c>
    </row>
    <row r="557" spans="1:8" x14ac:dyDescent="0.2">
      <c r="A557" t="s">
        <v>1611</v>
      </c>
      <c r="B557" t="s">
        <v>1099</v>
      </c>
      <c r="C557" t="s">
        <v>1100</v>
      </c>
      <c r="D557" t="s">
        <v>35</v>
      </c>
      <c r="E557">
        <v>167011.0821</v>
      </c>
      <c r="F557">
        <v>0</v>
      </c>
      <c r="G557" t="s">
        <v>35</v>
      </c>
      <c r="H557" t="s">
        <v>15</v>
      </c>
    </row>
    <row r="558" spans="1:8" x14ac:dyDescent="0.2">
      <c r="A558" t="s">
        <v>137</v>
      </c>
      <c r="B558" t="s">
        <v>1617</v>
      </c>
      <c r="C558" t="s">
        <v>1092</v>
      </c>
      <c r="D558" t="s">
        <v>1061</v>
      </c>
      <c r="E558">
        <v>96151.558999999994</v>
      </c>
      <c r="F558">
        <v>52667</v>
      </c>
      <c r="G558" t="s">
        <v>1109</v>
      </c>
      <c r="H558" t="s">
        <v>15</v>
      </c>
    </row>
    <row r="559" spans="1:8" x14ac:dyDescent="0.2">
      <c r="A559" t="s">
        <v>137</v>
      </c>
      <c r="B559" t="s">
        <v>1099</v>
      </c>
      <c r="C559" t="s">
        <v>1100</v>
      </c>
      <c r="D559" t="s">
        <v>35</v>
      </c>
      <c r="E559">
        <v>96151.558999999994</v>
      </c>
      <c r="F559">
        <v>52667</v>
      </c>
      <c r="G559" t="s">
        <v>35</v>
      </c>
      <c r="H559" t="s">
        <v>15</v>
      </c>
    </row>
    <row r="560" spans="1:8" x14ac:dyDescent="0.2">
      <c r="A560" t="s">
        <v>439</v>
      </c>
      <c r="B560" t="s">
        <v>1618</v>
      </c>
      <c r="C560" t="s">
        <v>1092</v>
      </c>
      <c r="D560" t="s">
        <v>1096</v>
      </c>
      <c r="E560">
        <v>10466.83</v>
      </c>
      <c r="F560">
        <v>0</v>
      </c>
      <c r="G560" t="s">
        <v>1107</v>
      </c>
      <c r="H560" t="s">
        <v>15</v>
      </c>
    </row>
    <row r="561" spans="1:8" x14ac:dyDescent="0.2">
      <c r="A561" t="s">
        <v>439</v>
      </c>
      <c r="B561" t="s">
        <v>1619</v>
      </c>
      <c r="C561" t="s">
        <v>1092</v>
      </c>
      <c r="D561" t="s">
        <v>1096</v>
      </c>
      <c r="E561">
        <v>4456.1710000000003</v>
      </c>
      <c r="F561">
        <v>0</v>
      </c>
      <c r="G561" t="s">
        <v>1107</v>
      </c>
      <c r="H561" t="s">
        <v>15</v>
      </c>
    </row>
    <row r="562" spans="1:8" x14ac:dyDescent="0.2">
      <c r="A562" t="s">
        <v>439</v>
      </c>
      <c r="B562" t="s">
        <v>1620</v>
      </c>
      <c r="C562" t="s">
        <v>1092</v>
      </c>
      <c r="D562" t="s">
        <v>1126</v>
      </c>
      <c r="E562">
        <v>0</v>
      </c>
      <c r="F562">
        <v>0</v>
      </c>
      <c r="G562" t="s">
        <v>1191</v>
      </c>
      <c r="H562" t="s">
        <v>15</v>
      </c>
    </row>
    <row r="563" spans="1:8" x14ac:dyDescent="0.2">
      <c r="A563" t="s">
        <v>439</v>
      </c>
      <c r="B563" t="s">
        <v>1621</v>
      </c>
      <c r="C563" t="s">
        <v>1092</v>
      </c>
      <c r="D563" t="s">
        <v>1126</v>
      </c>
      <c r="E563">
        <v>3418.9070000000002</v>
      </c>
      <c r="F563">
        <v>2352</v>
      </c>
      <c r="G563" t="s">
        <v>1236</v>
      </c>
      <c r="H563" t="s">
        <v>15</v>
      </c>
    </row>
    <row r="564" spans="1:8" x14ac:dyDescent="0.2">
      <c r="A564" t="s">
        <v>439</v>
      </c>
      <c r="B564" t="s">
        <v>1622</v>
      </c>
      <c r="C564" t="s">
        <v>1092</v>
      </c>
      <c r="D564" t="s">
        <v>1126</v>
      </c>
      <c r="E564">
        <v>85531.811000000002</v>
      </c>
      <c r="F564">
        <v>28588</v>
      </c>
      <c r="G564" t="s">
        <v>1109</v>
      </c>
      <c r="H564" t="s">
        <v>15</v>
      </c>
    </row>
    <row r="565" spans="1:8" x14ac:dyDescent="0.2">
      <c r="A565" t="s">
        <v>439</v>
      </c>
      <c r="B565" t="s">
        <v>1623</v>
      </c>
      <c r="C565" t="s">
        <v>1092</v>
      </c>
      <c r="D565" t="s">
        <v>1126</v>
      </c>
      <c r="E565">
        <v>532.58199999999999</v>
      </c>
      <c r="F565">
        <v>0</v>
      </c>
      <c r="G565" t="s">
        <v>1103</v>
      </c>
      <c r="H565" t="s">
        <v>15</v>
      </c>
    </row>
    <row r="566" spans="1:8" x14ac:dyDescent="0.2">
      <c r="A566" t="s">
        <v>439</v>
      </c>
      <c r="B566" t="s">
        <v>1624</v>
      </c>
      <c r="C566" t="s">
        <v>1092</v>
      </c>
      <c r="D566" t="s">
        <v>1126</v>
      </c>
      <c r="E566">
        <v>6419.3789999999999</v>
      </c>
      <c r="F566">
        <v>4165</v>
      </c>
      <c r="G566" t="s">
        <v>1236</v>
      </c>
      <c r="H566" t="s">
        <v>15</v>
      </c>
    </row>
    <row r="567" spans="1:8" x14ac:dyDescent="0.2">
      <c r="A567" t="s">
        <v>439</v>
      </c>
      <c r="B567" t="s">
        <v>1625</v>
      </c>
      <c r="C567" t="s">
        <v>1092</v>
      </c>
      <c r="D567" t="s">
        <v>1126</v>
      </c>
      <c r="E567">
        <v>4416.799</v>
      </c>
      <c r="F567">
        <v>2643</v>
      </c>
      <c r="G567" t="s">
        <v>1109</v>
      </c>
      <c r="H567" t="s">
        <v>15</v>
      </c>
    </row>
    <row r="568" spans="1:8" x14ac:dyDescent="0.2">
      <c r="A568" t="s">
        <v>439</v>
      </c>
      <c r="B568" t="s">
        <v>1626</v>
      </c>
      <c r="C568" t="s">
        <v>1092</v>
      </c>
      <c r="D568" t="s">
        <v>1126</v>
      </c>
      <c r="E568">
        <v>4909.7020000000002</v>
      </c>
      <c r="F568">
        <v>3182</v>
      </c>
      <c r="G568" t="s">
        <v>1236</v>
      </c>
      <c r="H568" t="s">
        <v>15</v>
      </c>
    </row>
    <row r="569" spans="1:8" x14ac:dyDescent="0.2">
      <c r="A569" t="s">
        <v>439</v>
      </c>
      <c r="B569" t="s">
        <v>1627</v>
      </c>
      <c r="C569" t="s">
        <v>1092</v>
      </c>
      <c r="D569" t="s">
        <v>1096</v>
      </c>
      <c r="E569">
        <v>1174</v>
      </c>
      <c r="F569">
        <v>3389</v>
      </c>
      <c r="G569" t="s">
        <v>1109</v>
      </c>
      <c r="H569" t="s">
        <v>15</v>
      </c>
    </row>
    <row r="570" spans="1:8" x14ac:dyDescent="0.2">
      <c r="A570" t="s">
        <v>439</v>
      </c>
      <c r="B570" t="s">
        <v>1628</v>
      </c>
      <c r="C570" t="s">
        <v>1092</v>
      </c>
      <c r="D570" t="s">
        <v>1126</v>
      </c>
      <c r="E570">
        <v>797.851</v>
      </c>
      <c r="F570">
        <v>525</v>
      </c>
      <c r="G570" t="s">
        <v>1236</v>
      </c>
      <c r="H570" t="s">
        <v>15</v>
      </c>
    </row>
    <row r="571" spans="1:8" x14ac:dyDescent="0.2">
      <c r="A571" t="s">
        <v>439</v>
      </c>
      <c r="B571" t="s">
        <v>1629</v>
      </c>
      <c r="C571" t="s">
        <v>1092</v>
      </c>
      <c r="D571" t="s">
        <v>1126</v>
      </c>
      <c r="E571">
        <v>2382.8380000000002</v>
      </c>
      <c r="F571">
        <v>1423</v>
      </c>
      <c r="G571" t="s">
        <v>1236</v>
      </c>
      <c r="H571" t="s">
        <v>15</v>
      </c>
    </row>
    <row r="572" spans="1:8" x14ac:dyDescent="0.2">
      <c r="A572" t="s">
        <v>439</v>
      </c>
      <c r="B572" t="s">
        <v>1630</v>
      </c>
      <c r="C572" t="s">
        <v>1092</v>
      </c>
      <c r="D572" t="s">
        <v>1126</v>
      </c>
      <c r="E572">
        <v>1039.136</v>
      </c>
      <c r="F572">
        <v>683</v>
      </c>
      <c r="G572" t="s">
        <v>1236</v>
      </c>
      <c r="H572" t="s">
        <v>15</v>
      </c>
    </row>
    <row r="573" spans="1:8" x14ac:dyDescent="0.2">
      <c r="A573" t="s">
        <v>439</v>
      </c>
      <c r="B573" t="s">
        <v>1099</v>
      </c>
      <c r="C573" t="s">
        <v>1100</v>
      </c>
      <c r="D573" t="s">
        <v>35</v>
      </c>
      <c r="E573">
        <v>125546.00599999999</v>
      </c>
      <c r="F573">
        <v>46950</v>
      </c>
      <c r="G573" t="s">
        <v>35</v>
      </c>
      <c r="H573" t="s">
        <v>15</v>
      </c>
    </row>
    <row r="574" spans="1:8" x14ac:dyDescent="0.2">
      <c r="A574" t="s">
        <v>1631</v>
      </c>
      <c r="B574" t="s">
        <v>1632</v>
      </c>
      <c r="C574" t="s">
        <v>1092</v>
      </c>
      <c r="D574" t="s">
        <v>1052</v>
      </c>
      <c r="E574">
        <v>11139.262000000001</v>
      </c>
      <c r="F574">
        <v>0</v>
      </c>
      <c r="G574" t="s">
        <v>1103</v>
      </c>
      <c r="H574" t="s">
        <v>15</v>
      </c>
    </row>
    <row r="575" spans="1:8" x14ac:dyDescent="0.2">
      <c r="A575" t="s">
        <v>1631</v>
      </c>
      <c r="B575" t="s">
        <v>1633</v>
      </c>
      <c r="C575" t="s">
        <v>1092</v>
      </c>
      <c r="D575" t="s">
        <v>1052</v>
      </c>
      <c r="E575">
        <v>1630.54</v>
      </c>
      <c r="F575">
        <v>0</v>
      </c>
      <c r="G575" t="s">
        <v>1103</v>
      </c>
      <c r="H575" t="s">
        <v>15</v>
      </c>
    </row>
    <row r="576" spans="1:8" x14ac:dyDescent="0.2">
      <c r="A576" t="s">
        <v>1631</v>
      </c>
      <c r="B576" t="s">
        <v>1634</v>
      </c>
      <c r="C576" t="s">
        <v>1092</v>
      </c>
      <c r="D576" t="s">
        <v>1096</v>
      </c>
      <c r="E576">
        <v>24748.21</v>
      </c>
      <c r="F576">
        <v>0</v>
      </c>
      <c r="G576" t="s">
        <v>1093</v>
      </c>
      <c r="H576" t="s">
        <v>15</v>
      </c>
    </row>
    <row r="577" spans="1:8" x14ac:dyDescent="0.2">
      <c r="A577" t="s">
        <v>1631</v>
      </c>
      <c r="B577" t="s">
        <v>1635</v>
      </c>
      <c r="C577" t="s">
        <v>1092</v>
      </c>
      <c r="D577" t="s">
        <v>1096</v>
      </c>
      <c r="E577">
        <v>30331.31</v>
      </c>
      <c r="F577">
        <v>0</v>
      </c>
      <c r="G577" t="s">
        <v>1093</v>
      </c>
      <c r="H577" t="s">
        <v>15</v>
      </c>
    </row>
    <row r="578" spans="1:8" x14ac:dyDescent="0.2">
      <c r="A578" t="s">
        <v>1631</v>
      </c>
      <c r="B578" t="s">
        <v>1099</v>
      </c>
      <c r="C578" t="s">
        <v>1100</v>
      </c>
      <c r="D578" t="s">
        <v>35</v>
      </c>
      <c r="E578">
        <v>67849.322</v>
      </c>
      <c r="F578">
        <v>0</v>
      </c>
      <c r="G578" t="s">
        <v>35</v>
      </c>
      <c r="H578" t="s">
        <v>15</v>
      </c>
    </row>
    <row r="579" spans="1:8" x14ac:dyDescent="0.2">
      <c r="A579" t="s">
        <v>181</v>
      </c>
      <c r="B579" t="s">
        <v>1636</v>
      </c>
      <c r="C579" t="s">
        <v>1092</v>
      </c>
      <c r="D579" t="s">
        <v>1058</v>
      </c>
      <c r="E579">
        <v>471048.34889000002</v>
      </c>
      <c r="F579">
        <v>30</v>
      </c>
      <c r="G579" t="s">
        <v>1093</v>
      </c>
      <c r="H579" t="s">
        <v>15</v>
      </c>
    </row>
    <row r="580" spans="1:8" x14ac:dyDescent="0.2">
      <c r="A580" t="s">
        <v>181</v>
      </c>
      <c r="B580" t="s">
        <v>1637</v>
      </c>
      <c r="C580" t="s">
        <v>1092</v>
      </c>
      <c r="D580" t="s">
        <v>1126</v>
      </c>
      <c r="E580">
        <v>453571.92391999997</v>
      </c>
      <c r="F580">
        <v>221593</v>
      </c>
      <c r="G580" t="s">
        <v>1109</v>
      </c>
      <c r="H580" t="s">
        <v>15</v>
      </c>
    </row>
    <row r="581" spans="1:8" x14ac:dyDescent="0.2">
      <c r="A581" t="s">
        <v>181</v>
      </c>
      <c r="B581" t="s">
        <v>1638</v>
      </c>
      <c r="C581" t="s">
        <v>1092</v>
      </c>
      <c r="D581" t="s">
        <v>1061</v>
      </c>
      <c r="E581">
        <v>533076.20603</v>
      </c>
      <c r="F581">
        <v>33</v>
      </c>
      <c r="G581" t="s">
        <v>1093</v>
      </c>
      <c r="H581" t="s">
        <v>15</v>
      </c>
    </row>
    <row r="582" spans="1:8" x14ac:dyDescent="0.2">
      <c r="A582" t="s">
        <v>181</v>
      </c>
      <c r="B582" t="s">
        <v>1639</v>
      </c>
      <c r="C582" t="s">
        <v>1092</v>
      </c>
      <c r="D582" t="s">
        <v>1061</v>
      </c>
      <c r="E582">
        <v>85483.296799999996</v>
      </c>
      <c r="F582">
        <v>40</v>
      </c>
      <c r="G582" t="s">
        <v>1103</v>
      </c>
      <c r="H582" t="s">
        <v>15</v>
      </c>
    </row>
    <row r="583" spans="1:8" x14ac:dyDescent="0.2">
      <c r="A583" t="s">
        <v>181</v>
      </c>
      <c r="B583" t="s">
        <v>1640</v>
      </c>
      <c r="C583" t="s">
        <v>1092</v>
      </c>
      <c r="D583" t="s">
        <v>1052</v>
      </c>
      <c r="E583">
        <v>73394.513189999998</v>
      </c>
      <c r="F583">
        <v>33</v>
      </c>
      <c r="G583" t="s">
        <v>1093</v>
      </c>
      <c r="H583" t="s">
        <v>15</v>
      </c>
    </row>
    <row r="584" spans="1:8" x14ac:dyDescent="0.2">
      <c r="A584" t="s">
        <v>181</v>
      </c>
      <c r="B584" t="s">
        <v>1641</v>
      </c>
      <c r="C584" t="s">
        <v>1092</v>
      </c>
      <c r="D584" t="s">
        <v>1096</v>
      </c>
      <c r="E584">
        <v>50734.303999999996</v>
      </c>
      <c r="F584">
        <v>28</v>
      </c>
      <c r="G584" t="s">
        <v>1093</v>
      </c>
      <c r="H584" t="s">
        <v>15</v>
      </c>
    </row>
    <row r="585" spans="1:8" x14ac:dyDescent="0.2">
      <c r="A585" t="s">
        <v>181</v>
      </c>
      <c r="B585" t="s">
        <v>1642</v>
      </c>
      <c r="C585" t="s">
        <v>1092</v>
      </c>
      <c r="D585" t="s">
        <v>1061</v>
      </c>
      <c r="E585">
        <v>214077</v>
      </c>
      <c r="F585">
        <v>118036</v>
      </c>
      <c r="G585" t="s">
        <v>1144</v>
      </c>
      <c r="H585" t="s">
        <v>15</v>
      </c>
    </row>
    <row r="586" spans="1:8" x14ac:dyDescent="0.2">
      <c r="A586" t="s">
        <v>181</v>
      </c>
      <c r="B586" t="s">
        <v>1643</v>
      </c>
      <c r="C586" t="s">
        <v>1092</v>
      </c>
      <c r="D586" t="s">
        <v>1061</v>
      </c>
      <c r="E586">
        <v>21814.121999999999</v>
      </c>
      <c r="F586">
        <v>19</v>
      </c>
      <c r="G586" t="s">
        <v>1093</v>
      </c>
      <c r="H586" t="s">
        <v>15</v>
      </c>
    </row>
    <row r="587" spans="1:8" x14ac:dyDescent="0.2">
      <c r="A587" t="s">
        <v>181</v>
      </c>
      <c r="B587" t="s">
        <v>1099</v>
      </c>
      <c r="C587" t="s">
        <v>1100</v>
      </c>
      <c r="D587" t="s">
        <v>35</v>
      </c>
      <c r="E587">
        <v>1903199.71483</v>
      </c>
      <c r="F587">
        <v>339812</v>
      </c>
      <c r="G587" t="s">
        <v>35</v>
      </c>
      <c r="H587" t="s">
        <v>15</v>
      </c>
    </row>
    <row r="588" spans="1:8" x14ac:dyDescent="0.2">
      <c r="A588" t="s">
        <v>557</v>
      </c>
      <c r="B588" t="s">
        <v>1644</v>
      </c>
      <c r="C588" t="s">
        <v>1092</v>
      </c>
      <c r="D588" t="s">
        <v>1126</v>
      </c>
      <c r="E588">
        <v>797.94763599999999</v>
      </c>
      <c r="F588">
        <v>816</v>
      </c>
      <c r="G588" t="s">
        <v>1236</v>
      </c>
      <c r="H588" t="s">
        <v>15</v>
      </c>
    </row>
    <row r="589" spans="1:8" x14ac:dyDescent="0.2">
      <c r="A589" t="s">
        <v>557</v>
      </c>
      <c r="B589" t="s">
        <v>1645</v>
      </c>
      <c r="C589" t="s">
        <v>1092</v>
      </c>
      <c r="D589" t="s">
        <v>1126</v>
      </c>
      <c r="E589">
        <v>754.02</v>
      </c>
      <c r="F589">
        <v>562</v>
      </c>
      <c r="G589" t="s">
        <v>1236</v>
      </c>
      <c r="H589" t="s">
        <v>15</v>
      </c>
    </row>
    <row r="590" spans="1:8" x14ac:dyDescent="0.2">
      <c r="A590" t="s">
        <v>557</v>
      </c>
      <c r="B590" t="s">
        <v>1646</v>
      </c>
      <c r="C590" t="s">
        <v>1092</v>
      </c>
      <c r="D590" t="s">
        <v>1126</v>
      </c>
      <c r="E590">
        <v>41597.447</v>
      </c>
      <c r="F590">
        <v>24746</v>
      </c>
      <c r="G590" t="s">
        <v>1109</v>
      </c>
      <c r="H590" t="s">
        <v>15</v>
      </c>
    </row>
    <row r="591" spans="1:8" x14ac:dyDescent="0.2">
      <c r="A591" t="s">
        <v>557</v>
      </c>
      <c r="B591" t="s">
        <v>1647</v>
      </c>
      <c r="C591" t="s">
        <v>1092</v>
      </c>
      <c r="D591" t="s">
        <v>1126</v>
      </c>
      <c r="E591">
        <v>411.54171400000001</v>
      </c>
      <c r="F591">
        <v>332</v>
      </c>
      <c r="G591" t="s">
        <v>1236</v>
      </c>
      <c r="H591" t="s">
        <v>15</v>
      </c>
    </row>
    <row r="592" spans="1:8" x14ac:dyDescent="0.2">
      <c r="A592" t="s">
        <v>557</v>
      </c>
      <c r="B592" t="s">
        <v>1648</v>
      </c>
      <c r="C592" t="s">
        <v>1092</v>
      </c>
      <c r="D592" t="s">
        <v>1126</v>
      </c>
      <c r="E592">
        <v>6233.6025900000004</v>
      </c>
      <c r="F592">
        <v>2722</v>
      </c>
      <c r="G592" t="s">
        <v>1236</v>
      </c>
      <c r="H592" t="s">
        <v>15</v>
      </c>
    </row>
    <row r="593" spans="1:8" x14ac:dyDescent="0.2">
      <c r="A593" t="s">
        <v>557</v>
      </c>
      <c r="B593" t="s">
        <v>1649</v>
      </c>
      <c r="C593" t="s">
        <v>1092</v>
      </c>
      <c r="D593" t="s">
        <v>1126</v>
      </c>
      <c r="E593">
        <v>761.38199999999995</v>
      </c>
      <c r="F593">
        <v>588</v>
      </c>
      <c r="G593" t="s">
        <v>1236</v>
      </c>
      <c r="H593" t="s">
        <v>15</v>
      </c>
    </row>
    <row r="594" spans="1:8" x14ac:dyDescent="0.2">
      <c r="A594" t="s">
        <v>557</v>
      </c>
      <c r="B594" t="s">
        <v>1650</v>
      </c>
      <c r="C594" t="s">
        <v>1092</v>
      </c>
      <c r="D594" t="s">
        <v>1126</v>
      </c>
      <c r="E594">
        <v>857.02800000000002</v>
      </c>
      <c r="F594">
        <v>707</v>
      </c>
      <c r="G594" t="s">
        <v>1236</v>
      </c>
      <c r="H594" t="s">
        <v>15</v>
      </c>
    </row>
    <row r="595" spans="1:8" x14ac:dyDescent="0.2">
      <c r="A595" t="s">
        <v>557</v>
      </c>
      <c r="B595" t="s">
        <v>1651</v>
      </c>
      <c r="C595" t="s">
        <v>1092</v>
      </c>
      <c r="D595" t="s">
        <v>1126</v>
      </c>
      <c r="E595">
        <v>403.98763600000001</v>
      </c>
      <c r="F595">
        <v>369</v>
      </c>
      <c r="G595" t="s">
        <v>1236</v>
      </c>
      <c r="H595" t="s">
        <v>15</v>
      </c>
    </row>
    <row r="596" spans="1:8" x14ac:dyDescent="0.2">
      <c r="A596" t="s">
        <v>557</v>
      </c>
      <c r="B596" t="s">
        <v>1652</v>
      </c>
      <c r="C596" t="s">
        <v>1092</v>
      </c>
      <c r="D596" t="s">
        <v>1126</v>
      </c>
      <c r="E596">
        <v>2326.8155999999999</v>
      </c>
      <c r="F596">
        <v>1531</v>
      </c>
      <c r="G596" t="s">
        <v>1236</v>
      </c>
      <c r="H596" t="s">
        <v>15</v>
      </c>
    </row>
    <row r="597" spans="1:8" x14ac:dyDescent="0.2">
      <c r="A597" t="s">
        <v>557</v>
      </c>
      <c r="B597" t="s">
        <v>1653</v>
      </c>
      <c r="C597" t="s">
        <v>1092</v>
      </c>
      <c r="D597" t="s">
        <v>1126</v>
      </c>
      <c r="E597">
        <v>2444.9929999999999</v>
      </c>
      <c r="F597">
        <v>1021</v>
      </c>
      <c r="G597" t="s">
        <v>1236</v>
      </c>
      <c r="H597" t="s">
        <v>15</v>
      </c>
    </row>
    <row r="598" spans="1:8" x14ac:dyDescent="0.2">
      <c r="A598" t="s">
        <v>557</v>
      </c>
      <c r="B598" t="s">
        <v>1654</v>
      </c>
      <c r="C598" t="s">
        <v>1092</v>
      </c>
      <c r="D598" t="s">
        <v>1126</v>
      </c>
      <c r="E598">
        <v>99.163917999999995</v>
      </c>
      <c r="F598">
        <v>159</v>
      </c>
      <c r="G598" t="s">
        <v>1236</v>
      </c>
      <c r="H598" t="s">
        <v>15</v>
      </c>
    </row>
    <row r="599" spans="1:8" x14ac:dyDescent="0.2">
      <c r="A599" t="s">
        <v>557</v>
      </c>
      <c r="B599" t="s">
        <v>1655</v>
      </c>
      <c r="C599" t="s">
        <v>1092</v>
      </c>
      <c r="D599" t="s">
        <v>1126</v>
      </c>
      <c r="E599">
        <v>549.81600000000003</v>
      </c>
      <c r="F599">
        <v>755</v>
      </c>
      <c r="G599" t="s">
        <v>1236</v>
      </c>
      <c r="H599" t="s">
        <v>15</v>
      </c>
    </row>
    <row r="600" spans="1:8" x14ac:dyDescent="0.2">
      <c r="A600" t="s">
        <v>557</v>
      </c>
      <c r="B600" t="s">
        <v>1656</v>
      </c>
      <c r="C600" t="s">
        <v>1092</v>
      </c>
      <c r="D600" t="s">
        <v>1126</v>
      </c>
      <c r="E600">
        <v>504.13200000000001</v>
      </c>
      <c r="F600">
        <v>451</v>
      </c>
      <c r="G600" t="s">
        <v>1236</v>
      </c>
      <c r="H600" t="s">
        <v>15</v>
      </c>
    </row>
    <row r="601" spans="1:8" x14ac:dyDescent="0.2">
      <c r="A601" t="s">
        <v>557</v>
      </c>
      <c r="B601" t="s">
        <v>1657</v>
      </c>
      <c r="C601" t="s">
        <v>1092</v>
      </c>
      <c r="D601" t="s">
        <v>1126</v>
      </c>
      <c r="E601">
        <v>99.590999999999994</v>
      </c>
      <c r="F601">
        <v>208</v>
      </c>
      <c r="G601" t="s">
        <v>1236</v>
      </c>
      <c r="H601" t="s">
        <v>15</v>
      </c>
    </row>
    <row r="602" spans="1:8" x14ac:dyDescent="0.2">
      <c r="A602" t="s">
        <v>557</v>
      </c>
      <c r="B602" t="s">
        <v>1658</v>
      </c>
      <c r="C602" t="s">
        <v>1092</v>
      </c>
      <c r="D602" t="s">
        <v>1126</v>
      </c>
      <c r="E602">
        <v>703.62763600000005</v>
      </c>
      <c r="F602">
        <v>553</v>
      </c>
      <c r="G602" t="s">
        <v>1236</v>
      </c>
      <c r="H602" t="s">
        <v>15</v>
      </c>
    </row>
    <row r="603" spans="1:8" x14ac:dyDescent="0.2">
      <c r="A603" t="s">
        <v>557</v>
      </c>
      <c r="B603" t="s">
        <v>1659</v>
      </c>
      <c r="C603" t="s">
        <v>1092</v>
      </c>
      <c r="D603" t="s">
        <v>1126</v>
      </c>
      <c r="E603">
        <v>4382.7190000000001</v>
      </c>
      <c r="F603">
        <v>3115</v>
      </c>
      <c r="G603" t="s">
        <v>1236</v>
      </c>
      <c r="H603" t="s">
        <v>15</v>
      </c>
    </row>
    <row r="604" spans="1:8" x14ac:dyDescent="0.2">
      <c r="A604" t="s">
        <v>557</v>
      </c>
      <c r="B604" t="s">
        <v>1660</v>
      </c>
      <c r="C604" t="s">
        <v>1092</v>
      </c>
      <c r="D604" t="s">
        <v>1126</v>
      </c>
      <c r="E604">
        <v>2214.3180000000002</v>
      </c>
      <c r="F604">
        <v>1176</v>
      </c>
      <c r="G604" t="s">
        <v>1236</v>
      </c>
      <c r="H604" t="s">
        <v>15</v>
      </c>
    </row>
    <row r="605" spans="1:8" x14ac:dyDescent="0.2">
      <c r="A605" t="s">
        <v>557</v>
      </c>
      <c r="B605" t="s">
        <v>1661</v>
      </c>
      <c r="C605" t="s">
        <v>1092</v>
      </c>
      <c r="D605" t="s">
        <v>1126</v>
      </c>
      <c r="E605">
        <v>751.49099999999999</v>
      </c>
      <c r="F605">
        <v>590</v>
      </c>
      <c r="G605" t="s">
        <v>1236</v>
      </c>
      <c r="H605" t="s">
        <v>15</v>
      </c>
    </row>
    <row r="606" spans="1:8" x14ac:dyDescent="0.2">
      <c r="A606" t="s">
        <v>557</v>
      </c>
      <c r="B606" t="s">
        <v>1662</v>
      </c>
      <c r="C606" t="s">
        <v>1092</v>
      </c>
      <c r="D606" t="s">
        <v>1126</v>
      </c>
      <c r="E606">
        <v>979.33418099999994</v>
      </c>
      <c r="F606">
        <v>791</v>
      </c>
      <c r="G606" t="s">
        <v>1236</v>
      </c>
      <c r="H606" t="s">
        <v>15</v>
      </c>
    </row>
    <row r="607" spans="1:8" x14ac:dyDescent="0.2">
      <c r="A607" t="s">
        <v>557</v>
      </c>
      <c r="B607" t="s">
        <v>1663</v>
      </c>
      <c r="C607" t="s">
        <v>1092</v>
      </c>
      <c r="D607" t="s">
        <v>1126</v>
      </c>
      <c r="E607">
        <v>303.02228600000001</v>
      </c>
      <c r="F607">
        <v>255</v>
      </c>
      <c r="G607" t="s">
        <v>1236</v>
      </c>
      <c r="H607" t="s">
        <v>15</v>
      </c>
    </row>
    <row r="608" spans="1:8" x14ac:dyDescent="0.2">
      <c r="A608" t="s">
        <v>557</v>
      </c>
      <c r="B608" t="s">
        <v>1664</v>
      </c>
      <c r="C608" t="s">
        <v>1092</v>
      </c>
      <c r="D608" t="s">
        <v>1126</v>
      </c>
      <c r="E608">
        <v>719.90072699999996</v>
      </c>
      <c r="F608">
        <v>562</v>
      </c>
      <c r="G608" t="s">
        <v>1236</v>
      </c>
      <c r="H608" t="s">
        <v>15</v>
      </c>
    </row>
    <row r="609" spans="1:8" x14ac:dyDescent="0.2">
      <c r="A609" t="s">
        <v>557</v>
      </c>
      <c r="B609" t="s">
        <v>1665</v>
      </c>
      <c r="C609" t="s">
        <v>1092</v>
      </c>
      <c r="D609" t="s">
        <v>1126</v>
      </c>
      <c r="E609">
        <v>756.53828599999997</v>
      </c>
      <c r="F609">
        <v>577</v>
      </c>
      <c r="G609" t="s">
        <v>1236</v>
      </c>
      <c r="H609" t="s">
        <v>15</v>
      </c>
    </row>
    <row r="610" spans="1:8" x14ac:dyDescent="0.2">
      <c r="A610" t="s">
        <v>557</v>
      </c>
      <c r="B610" t="s">
        <v>1666</v>
      </c>
      <c r="C610" t="s">
        <v>1092</v>
      </c>
      <c r="D610" t="s">
        <v>1126</v>
      </c>
      <c r="E610">
        <v>3390.4268480000001</v>
      </c>
      <c r="F610">
        <v>2356</v>
      </c>
      <c r="G610" t="s">
        <v>1236</v>
      </c>
      <c r="H610" t="s">
        <v>15</v>
      </c>
    </row>
    <row r="611" spans="1:8" x14ac:dyDescent="0.2">
      <c r="A611" t="s">
        <v>557</v>
      </c>
      <c r="B611" t="s">
        <v>1667</v>
      </c>
      <c r="C611" t="s">
        <v>1092</v>
      </c>
      <c r="D611" t="s">
        <v>1126</v>
      </c>
      <c r="E611">
        <v>1230.545302</v>
      </c>
      <c r="F611">
        <v>698</v>
      </c>
      <c r="G611" t="s">
        <v>1236</v>
      </c>
      <c r="H611" t="s">
        <v>15</v>
      </c>
    </row>
    <row r="612" spans="1:8" x14ac:dyDescent="0.2">
      <c r="A612" t="s">
        <v>557</v>
      </c>
      <c r="B612" t="s">
        <v>1668</v>
      </c>
      <c r="C612" t="s">
        <v>1092</v>
      </c>
      <c r="D612" t="s">
        <v>1126</v>
      </c>
      <c r="E612">
        <v>21361.892</v>
      </c>
      <c r="F612">
        <v>10687</v>
      </c>
      <c r="G612" t="s">
        <v>1109</v>
      </c>
      <c r="H612" t="s">
        <v>15</v>
      </c>
    </row>
    <row r="613" spans="1:8" x14ac:dyDescent="0.2">
      <c r="A613" t="s">
        <v>557</v>
      </c>
      <c r="B613" t="s">
        <v>1669</v>
      </c>
      <c r="C613" t="s">
        <v>1092</v>
      </c>
      <c r="D613" t="s">
        <v>1126</v>
      </c>
      <c r="E613">
        <v>409.49236400000001</v>
      </c>
      <c r="F613">
        <v>363</v>
      </c>
      <c r="G613" t="s">
        <v>1236</v>
      </c>
      <c r="H613" t="s">
        <v>15</v>
      </c>
    </row>
    <row r="614" spans="1:8" x14ac:dyDescent="0.2">
      <c r="A614" t="s">
        <v>557</v>
      </c>
      <c r="B614" t="s">
        <v>1670</v>
      </c>
      <c r="C614" t="s">
        <v>1092</v>
      </c>
      <c r="D614" t="s">
        <v>1126</v>
      </c>
      <c r="E614">
        <v>846.36599999999999</v>
      </c>
      <c r="F614">
        <v>465</v>
      </c>
      <c r="G614" t="s">
        <v>1236</v>
      </c>
      <c r="H614" t="s">
        <v>15</v>
      </c>
    </row>
    <row r="615" spans="1:8" x14ac:dyDescent="0.2">
      <c r="A615" t="s">
        <v>557</v>
      </c>
      <c r="B615" t="s">
        <v>1671</v>
      </c>
      <c r="C615" t="s">
        <v>1092</v>
      </c>
      <c r="D615" t="s">
        <v>1126</v>
      </c>
      <c r="E615">
        <v>949.75199999999995</v>
      </c>
      <c r="F615">
        <v>801</v>
      </c>
      <c r="G615" t="s">
        <v>1236</v>
      </c>
      <c r="H615" t="s">
        <v>15</v>
      </c>
    </row>
    <row r="616" spans="1:8" x14ac:dyDescent="0.2">
      <c r="A616" t="s">
        <v>557</v>
      </c>
      <c r="B616" t="s">
        <v>1672</v>
      </c>
      <c r="C616" t="s">
        <v>1092</v>
      </c>
      <c r="D616" t="s">
        <v>1126</v>
      </c>
      <c r="E616">
        <v>938.41854499999999</v>
      </c>
      <c r="F616">
        <v>638</v>
      </c>
      <c r="G616" t="s">
        <v>1236</v>
      </c>
      <c r="H616" t="s">
        <v>15</v>
      </c>
    </row>
    <row r="617" spans="1:8" x14ac:dyDescent="0.2">
      <c r="A617" t="s">
        <v>557</v>
      </c>
      <c r="B617" t="s">
        <v>1673</v>
      </c>
      <c r="C617" t="s">
        <v>1092</v>
      </c>
      <c r="D617" t="s">
        <v>1126</v>
      </c>
      <c r="E617">
        <v>841.36690899999996</v>
      </c>
      <c r="F617">
        <v>710</v>
      </c>
      <c r="G617" t="s">
        <v>1236</v>
      </c>
      <c r="H617" t="s">
        <v>15</v>
      </c>
    </row>
    <row r="618" spans="1:8" x14ac:dyDescent="0.2">
      <c r="A618" t="s">
        <v>557</v>
      </c>
      <c r="B618" t="s">
        <v>1674</v>
      </c>
      <c r="C618" t="s">
        <v>1092</v>
      </c>
      <c r="D618" t="s">
        <v>1126</v>
      </c>
      <c r="E618">
        <v>549.58199999999999</v>
      </c>
      <c r="F618">
        <v>403</v>
      </c>
      <c r="G618" t="s">
        <v>1236</v>
      </c>
      <c r="H618" t="s">
        <v>15</v>
      </c>
    </row>
    <row r="619" spans="1:8" x14ac:dyDescent="0.2">
      <c r="A619" t="s">
        <v>557</v>
      </c>
      <c r="B619" t="s">
        <v>1675</v>
      </c>
      <c r="C619" t="s">
        <v>1092</v>
      </c>
      <c r="D619" t="s">
        <v>1126</v>
      </c>
      <c r="E619">
        <v>869.45333300000004</v>
      </c>
      <c r="F619">
        <v>742</v>
      </c>
      <c r="G619" t="s">
        <v>1236</v>
      </c>
      <c r="H619" t="s">
        <v>15</v>
      </c>
    </row>
    <row r="620" spans="1:8" x14ac:dyDescent="0.2">
      <c r="A620" t="s">
        <v>557</v>
      </c>
      <c r="B620" t="s">
        <v>1676</v>
      </c>
      <c r="C620" t="s">
        <v>1092</v>
      </c>
      <c r="D620" t="s">
        <v>1126</v>
      </c>
      <c r="E620">
        <v>1171.288364</v>
      </c>
      <c r="F620">
        <v>871</v>
      </c>
      <c r="G620" t="s">
        <v>1236</v>
      </c>
      <c r="H620" t="s">
        <v>15</v>
      </c>
    </row>
    <row r="621" spans="1:8" x14ac:dyDescent="0.2">
      <c r="A621" t="s">
        <v>557</v>
      </c>
      <c r="B621" t="s">
        <v>1677</v>
      </c>
      <c r="C621" t="s">
        <v>1092</v>
      </c>
      <c r="D621" t="s">
        <v>1126</v>
      </c>
      <c r="E621">
        <v>1807.335429</v>
      </c>
      <c r="F621">
        <v>1425</v>
      </c>
      <c r="G621" t="s">
        <v>1236</v>
      </c>
      <c r="H621" t="s">
        <v>15</v>
      </c>
    </row>
    <row r="622" spans="1:8" x14ac:dyDescent="0.2">
      <c r="A622" t="s">
        <v>557</v>
      </c>
      <c r="B622" t="s">
        <v>1678</v>
      </c>
      <c r="C622" t="s">
        <v>1092</v>
      </c>
      <c r="D622" t="s">
        <v>1126</v>
      </c>
      <c r="E622">
        <v>4072.6946670000002</v>
      </c>
      <c r="F622">
        <v>2754</v>
      </c>
      <c r="G622" t="s">
        <v>1236</v>
      </c>
      <c r="H622" t="s">
        <v>15</v>
      </c>
    </row>
    <row r="623" spans="1:8" x14ac:dyDescent="0.2">
      <c r="A623" t="s">
        <v>557</v>
      </c>
      <c r="B623" t="s">
        <v>1679</v>
      </c>
      <c r="C623" t="s">
        <v>1092</v>
      </c>
      <c r="D623" t="s">
        <v>1126</v>
      </c>
      <c r="E623">
        <v>662.91272700000002</v>
      </c>
      <c r="F623">
        <v>774</v>
      </c>
      <c r="G623" t="s">
        <v>1236</v>
      </c>
      <c r="H623" t="s">
        <v>15</v>
      </c>
    </row>
    <row r="624" spans="1:8" x14ac:dyDescent="0.2">
      <c r="A624" t="s">
        <v>557</v>
      </c>
      <c r="B624" t="s">
        <v>1680</v>
      </c>
      <c r="C624" t="s">
        <v>1092</v>
      </c>
      <c r="D624" t="s">
        <v>1126</v>
      </c>
      <c r="E624">
        <v>887.54072699999995</v>
      </c>
      <c r="F624">
        <v>641</v>
      </c>
      <c r="G624" t="s">
        <v>1236</v>
      </c>
      <c r="H624" t="s">
        <v>15</v>
      </c>
    </row>
    <row r="625" spans="1:8" x14ac:dyDescent="0.2">
      <c r="A625" t="s">
        <v>557</v>
      </c>
      <c r="B625" t="s">
        <v>1681</v>
      </c>
      <c r="C625" t="s">
        <v>1092</v>
      </c>
      <c r="D625" t="s">
        <v>1126</v>
      </c>
      <c r="E625">
        <v>2918.635636</v>
      </c>
      <c r="F625">
        <v>2151</v>
      </c>
      <c r="G625" t="s">
        <v>1236</v>
      </c>
      <c r="H625" t="s">
        <v>15</v>
      </c>
    </row>
    <row r="626" spans="1:8" x14ac:dyDescent="0.2">
      <c r="A626" t="s">
        <v>557</v>
      </c>
      <c r="B626" t="s">
        <v>1682</v>
      </c>
      <c r="C626" t="s">
        <v>1092</v>
      </c>
      <c r="D626" t="s">
        <v>1126</v>
      </c>
      <c r="E626">
        <v>634.21349999999995</v>
      </c>
      <c r="F626">
        <v>453</v>
      </c>
      <c r="G626" t="s">
        <v>1236</v>
      </c>
      <c r="H626" t="s">
        <v>15</v>
      </c>
    </row>
    <row r="627" spans="1:8" x14ac:dyDescent="0.2">
      <c r="A627" t="s">
        <v>557</v>
      </c>
      <c r="B627" t="s">
        <v>1683</v>
      </c>
      <c r="C627" t="s">
        <v>1092</v>
      </c>
      <c r="D627" t="s">
        <v>1126</v>
      </c>
      <c r="E627">
        <v>256.98149999999998</v>
      </c>
      <c r="F627">
        <v>256</v>
      </c>
      <c r="G627" t="s">
        <v>1236</v>
      </c>
      <c r="H627" t="s">
        <v>15</v>
      </c>
    </row>
    <row r="628" spans="1:8" x14ac:dyDescent="0.2">
      <c r="A628" t="s">
        <v>557</v>
      </c>
      <c r="B628" t="s">
        <v>1684</v>
      </c>
      <c r="C628" t="s">
        <v>1092</v>
      </c>
      <c r="D628" t="s">
        <v>1126</v>
      </c>
      <c r="E628">
        <v>68.569999999999993</v>
      </c>
      <c r="F628">
        <v>43</v>
      </c>
      <c r="G628" t="s">
        <v>1236</v>
      </c>
      <c r="H628" t="s">
        <v>15</v>
      </c>
    </row>
    <row r="629" spans="1:8" x14ac:dyDescent="0.2">
      <c r="A629" t="s">
        <v>557</v>
      </c>
      <c r="B629" t="s">
        <v>1685</v>
      </c>
      <c r="C629" t="s">
        <v>1092</v>
      </c>
      <c r="D629" t="s">
        <v>1126</v>
      </c>
      <c r="E629">
        <v>676.77490899999998</v>
      </c>
      <c r="F629">
        <v>550</v>
      </c>
      <c r="G629" t="s">
        <v>1236</v>
      </c>
      <c r="H629" t="s">
        <v>15</v>
      </c>
    </row>
    <row r="630" spans="1:8" x14ac:dyDescent="0.2">
      <c r="A630" t="s">
        <v>557</v>
      </c>
      <c r="B630" t="s">
        <v>1686</v>
      </c>
      <c r="C630" t="s">
        <v>1092</v>
      </c>
      <c r="D630" t="s">
        <v>1126</v>
      </c>
      <c r="E630">
        <v>1443.4839999999999</v>
      </c>
      <c r="F630">
        <v>923</v>
      </c>
      <c r="G630" t="s">
        <v>1236</v>
      </c>
      <c r="H630" t="s">
        <v>15</v>
      </c>
    </row>
    <row r="631" spans="1:8" x14ac:dyDescent="0.2">
      <c r="A631" t="s">
        <v>557</v>
      </c>
      <c r="B631" t="s">
        <v>1687</v>
      </c>
      <c r="C631" t="s">
        <v>1092</v>
      </c>
      <c r="D631" t="s">
        <v>1126</v>
      </c>
      <c r="E631">
        <v>847.73400000000004</v>
      </c>
      <c r="F631">
        <v>642</v>
      </c>
      <c r="G631" t="s">
        <v>1236</v>
      </c>
      <c r="H631" t="s">
        <v>15</v>
      </c>
    </row>
    <row r="632" spans="1:8" x14ac:dyDescent="0.2">
      <c r="A632" t="s">
        <v>557</v>
      </c>
      <c r="B632" t="s">
        <v>1688</v>
      </c>
      <c r="C632" t="s">
        <v>1092</v>
      </c>
      <c r="D632" t="s">
        <v>1126</v>
      </c>
      <c r="E632">
        <v>2124.672</v>
      </c>
      <c r="F632">
        <v>1295</v>
      </c>
      <c r="G632" t="s">
        <v>1236</v>
      </c>
      <c r="H632" t="s">
        <v>15</v>
      </c>
    </row>
    <row r="633" spans="1:8" x14ac:dyDescent="0.2">
      <c r="A633" t="s">
        <v>557</v>
      </c>
      <c r="B633" t="s">
        <v>1099</v>
      </c>
      <c r="C633" t="s">
        <v>1100</v>
      </c>
      <c r="D633" t="s">
        <v>35</v>
      </c>
      <c r="E633">
        <v>117612.55197</v>
      </c>
      <c r="F633">
        <v>73227</v>
      </c>
      <c r="G633" t="s">
        <v>35</v>
      </c>
      <c r="H633" t="s">
        <v>15</v>
      </c>
    </row>
    <row r="634" spans="1:8" x14ac:dyDescent="0.2">
      <c r="A634" t="s">
        <v>105</v>
      </c>
      <c r="B634" t="s">
        <v>1689</v>
      </c>
      <c r="C634" t="s">
        <v>1092</v>
      </c>
      <c r="D634" t="s">
        <v>1096</v>
      </c>
      <c r="E634">
        <v>24559.660967</v>
      </c>
      <c r="F634">
        <v>4</v>
      </c>
      <c r="G634" t="s">
        <v>1093</v>
      </c>
      <c r="H634" t="s">
        <v>15</v>
      </c>
    </row>
    <row r="635" spans="1:8" x14ac:dyDescent="0.2">
      <c r="A635" t="s">
        <v>105</v>
      </c>
      <c r="B635" t="s">
        <v>1099</v>
      </c>
      <c r="C635" t="s">
        <v>1100</v>
      </c>
      <c r="D635" t="s">
        <v>35</v>
      </c>
      <c r="E635">
        <v>24559.660967</v>
      </c>
      <c r="F635">
        <v>4</v>
      </c>
      <c r="G635" t="s">
        <v>35</v>
      </c>
      <c r="H635" t="s">
        <v>15</v>
      </c>
    </row>
    <row r="636" spans="1:8" x14ac:dyDescent="0.2">
      <c r="A636" t="s">
        <v>1690</v>
      </c>
      <c r="B636" t="s">
        <v>1691</v>
      </c>
      <c r="C636" t="s">
        <v>1092</v>
      </c>
      <c r="D636" t="s">
        <v>1061</v>
      </c>
      <c r="E636">
        <v>204101.09450000001</v>
      </c>
      <c r="F636">
        <v>26</v>
      </c>
      <c r="G636" t="s">
        <v>1103</v>
      </c>
      <c r="H636" t="s">
        <v>15</v>
      </c>
    </row>
    <row r="637" spans="1:8" x14ac:dyDescent="0.2">
      <c r="A637" t="s">
        <v>1690</v>
      </c>
      <c r="B637" t="s">
        <v>1099</v>
      </c>
      <c r="C637" t="s">
        <v>1100</v>
      </c>
      <c r="D637" t="s">
        <v>35</v>
      </c>
      <c r="E637">
        <v>204101.09450000001</v>
      </c>
      <c r="F637">
        <v>26</v>
      </c>
      <c r="G637" t="s">
        <v>35</v>
      </c>
      <c r="H637" t="s">
        <v>15</v>
      </c>
    </row>
    <row r="638" spans="1:8" x14ac:dyDescent="0.2">
      <c r="A638" t="s">
        <v>1692</v>
      </c>
      <c r="B638" t="s">
        <v>1693</v>
      </c>
      <c r="C638" t="s">
        <v>1092</v>
      </c>
      <c r="D638" t="s">
        <v>1058</v>
      </c>
      <c r="E638">
        <v>534637.09100000001</v>
      </c>
      <c r="F638">
        <v>119</v>
      </c>
      <c r="G638" t="s">
        <v>1103</v>
      </c>
      <c r="H638" t="s">
        <v>15</v>
      </c>
    </row>
    <row r="639" spans="1:8" x14ac:dyDescent="0.2">
      <c r="A639" t="s">
        <v>1692</v>
      </c>
      <c r="B639" t="s">
        <v>1099</v>
      </c>
      <c r="C639" t="s">
        <v>1100</v>
      </c>
      <c r="D639" t="s">
        <v>35</v>
      </c>
      <c r="E639">
        <v>534637.09100000001</v>
      </c>
      <c r="F639">
        <v>119</v>
      </c>
      <c r="G639" t="s">
        <v>35</v>
      </c>
      <c r="H639" t="s">
        <v>15</v>
      </c>
    </row>
    <row r="640" spans="1:8" x14ac:dyDescent="0.2">
      <c r="A640" t="s">
        <v>1694</v>
      </c>
      <c r="B640" t="s">
        <v>1695</v>
      </c>
      <c r="C640" t="s">
        <v>1092</v>
      </c>
      <c r="D640" t="s">
        <v>1096</v>
      </c>
      <c r="E640">
        <v>117087.976</v>
      </c>
      <c r="F640">
        <v>54</v>
      </c>
      <c r="G640" t="s">
        <v>1093</v>
      </c>
      <c r="H640" t="s">
        <v>15</v>
      </c>
    </row>
    <row r="641" spans="1:8" x14ac:dyDescent="0.2">
      <c r="A641" t="s">
        <v>1694</v>
      </c>
      <c r="B641" t="s">
        <v>1099</v>
      </c>
      <c r="C641" t="s">
        <v>1100</v>
      </c>
      <c r="D641" t="s">
        <v>35</v>
      </c>
      <c r="E641">
        <v>117087.976</v>
      </c>
      <c r="F641">
        <v>54</v>
      </c>
      <c r="G641" t="s">
        <v>35</v>
      </c>
      <c r="H641" t="s">
        <v>15</v>
      </c>
    </row>
    <row r="642" spans="1:8" x14ac:dyDescent="0.2">
      <c r="A642" t="s">
        <v>57</v>
      </c>
      <c r="B642" t="s">
        <v>1696</v>
      </c>
      <c r="C642" t="s">
        <v>1092</v>
      </c>
      <c r="D642" t="s">
        <v>1058</v>
      </c>
      <c r="E642">
        <v>148575.81554800001</v>
      </c>
      <c r="F642">
        <v>83961</v>
      </c>
      <c r="G642" t="s">
        <v>1144</v>
      </c>
      <c r="H642" t="s">
        <v>15</v>
      </c>
    </row>
    <row r="643" spans="1:8" x14ac:dyDescent="0.2">
      <c r="A643" t="s">
        <v>57</v>
      </c>
      <c r="B643" t="s">
        <v>1099</v>
      </c>
      <c r="C643" t="s">
        <v>1100</v>
      </c>
      <c r="D643" t="s">
        <v>35</v>
      </c>
      <c r="E643">
        <v>148575.81554800001</v>
      </c>
      <c r="F643">
        <v>83961</v>
      </c>
      <c r="G643" t="s">
        <v>35</v>
      </c>
      <c r="H643" t="s">
        <v>15</v>
      </c>
    </row>
    <row r="644" spans="1:8" x14ac:dyDescent="0.2">
      <c r="A644" t="s">
        <v>1697</v>
      </c>
      <c r="B644" t="s">
        <v>1698</v>
      </c>
      <c r="C644" t="s">
        <v>1092</v>
      </c>
      <c r="D644" t="s">
        <v>1058</v>
      </c>
      <c r="E644">
        <v>180287.022</v>
      </c>
      <c r="F644">
        <v>17</v>
      </c>
      <c r="G644" t="s">
        <v>1103</v>
      </c>
      <c r="H644" t="s">
        <v>15</v>
      </c>
    </row>
    <row r="645" spans="1:8" x14ac:dyDescent="0.2">
      <c r="A645" t="s">
        <v>1697</v>
      </c>
      <c r="B645" t="s">
        <v>1099</v>
      </c>
      <c r="C645" t="s">
        <v>1100</v>
      </c>
      <c r="D645" t="s">
        <v>35</v>
      </c>
      <c r="E645">
        <v>180287.022</v>
      </c>
      <c r="F645">
        <v>17</v>
      </c>
      <c r="G645" t="s">
        <v>35</v>
      </c>
      <c r="H645" t="s">
        <v>15</v>
      </c>
    </row>
    <row r="646" spans="1:8" x14ac:dyDescent="0.2">
      <c r="A646" t="s">
        <v>1699</v>
      </c>
      <c r="B646" t="s">
        <v>1700</v>
      </c>
      <c r="C646" t="s">
        <v>1092</v>
      </c>
      <c r="D646" t="s">
        <v>1061</v>
      </c>
      <c r="E646">
        <v>36774.314637000003</v>
      </c>
      <c r="F646">
        <v>17</v>
      </c>
      <c r="G646" t="s">
        <v>1103</v>
      </c>
      <c r="H646" t="s">
        <v>15</v>
      </c>
    </row>
    <row r="647" spans="1:8" x14ac:dyDescent="0.2">
      <c r="A647" t="s">
        <v>1699</v>
      </c>
      <c r="B647" t="s">
        <v>1701</v>
      </c>
      <c r="C647" t="s">
        <v>1092</v>
      </c>
      <c r="D647" t="s">
        <v>1126</v>
      </c>
      <c r="E647">
        <v>849.56549099999995</v>
      </c>
      <c r="F647">
        <v>0</v>
      </c>
      <c r="G647" t="s">
        <v>1103</v>
      </c>
      <c r="H647" t="s">
        <v>15</v>
      </c>
    </row>
    <row r="648" spans="1:8" x14ac:dyDescent="0.2">
      <c r="A648" t="s">
        <v>1699</v>
      </c>
      <c r="B648" t="s">
        <v>1702</v>
      </c>
      <c r="C648" t="s">
        <v>1092</v>
      </c>
      <c r="D648" t="s">
        <v>1061</v>
      </c>
      <c r="E648">
        <v>61829.115157</v>
      </c>
      <c r="F648">
        <v>17</v>
      </c>
      <c r="G648" t="s">
        <v>1103</v>
      </c>
      <c r="H648" t="s">
        <v>15</v>
      </c>
    </row>
    <row r="649" spans="1:8" x14ac:dyDescent="0.2">
      <c r="A649" t="s">
        <v>1699</v>
      </c>
      <c r="B649" t="s">
        <v>1703</v>
      </c>
      <c r="C649" t="s">
        <v>1092</v>
      </c>
      <c r="D649" t="s">
        <v>1215</v>
      </c>
      <c r="E649">
        <v>1857.284701</v>
      </c>
      <c r="F649">
        <v>0</v>
      </c>
      <c r="G649" t="s">
        <v>1103</v>
      </c>
      <c r="H649" t="s">
        <v>15</v>
      </c>
    </row>
    <row r="650" spans="1:8" x14ac:dyDescent="0.2">
      <c r="A650" t="s">
        <v>1699</v>
      </c>
      <c r="B650" t="s">
        <v>1704</v>
      </c>
      <c r="C650" t="s">
        <v>1092</v>
      </c>
      <c r="D650" t="s">
        <v>1096</v>
      </c>
      <c r="E650">
        <v>27832.592128</v>
      </c>
      <c r="F650">
        <v>2</v>
      </c>
      <c r="G650" t="s">
        <v>1103</v>
      </c>
      <c r="H650" t="s">
        <v>15</v>
      </c>
    </row>
    <row r="651" spans="1:8" x14ac:dyDescent="0.2">
      <c r="A651" t="s">
        <v>1699</v>
      </c>
      <c r="B651" t="s">
        <v>1705</v>
      </c>
      <c r="C651" t="s">
        <v>1092</v>
      </c>
      <c r="D651" t="s">
        <v>1215</v>
      </c>
      <c r="E651">
        <v>8452.2568759999995</v>
      </c>
      <c r="F651">
        <v>2</v>
      </c>
      <c r="G651" t="s">
        <v>1103</v>
      </c>
      <c r="H651" t="s">
        <v>15</v>
      </c>
    </row>
    <row r="652" spans="1:8" x14ac:dyDescent="0.2">
      <c r="A652" t="s">
        <v>1699</v>
      </c>
      <c r="B652" t="s">
        <v>1099</v>
      </c>
      <c r="C652" t="s">
        <v>1100</v>
      </c>
      <c r="D652" t="s">
        <v>35</v>
      </c>
      <c r="E652">
        <v>137595.12899</v>
      </c>
      <c r="F652">
        <v>38</v>
      </c>
      <c r="G652" t="s">
        <v>35</v>
      </c>
      <c r="H652" t="s">
        <v>15</v>
      </c>
    </row>
    <row r="653" spans="1:8" x14ac:dyDescent="0.2">
      <c r="A653" t="s">
        <v>53</v>
      </c>
      <c r="B653" t="s">
        <v>1706</v>
      </c>
      <c r="C653" t="s">
        <v>1092</v>
      </c>
      <c r="D653" t="s">
        <v>1058</v>
      </c>
      <c r="E653">
        <v>7260315.4809999997</v>
      </c>
      <c r="F653">
        <v>7043816</v>
      </c>
      <c r="G653" t="s">
        <v>1111</v>
      </c>
      <c r="H653" t="s">
        <v>15</v>
      </c>
    </row>
    <row r="654" spans="1:8" x14ac:dyDescent="0.2">
      <c r="A654" t="s">
        <v>53</v>
      </c>
      <c r="B654" t="s">
        <v>1099</v>
      </c>
      <c r="C654" t="s">
        <v>1100</v>
      </c>
      <c r="D654" t="s">
        <v>35</v>
      </c>
      <c r="E654">
        <v>7260315.4809999997</v>
      </c>
      <c r="F654">
        <v>7043816</v>
      </c>
      <c r="G654" t="s">
        <v>35</v>
      </c>
      <c r="H654" t="s">
        <v>15</v>
      </c>
    </row>
    <row r="655" spans="1:8" x14ac:dyDescent="0.2">
      <c r="A655" t="s">
        <v>87</v>
      </c>
      <c r="B655" t="s">
        <v>1707</v>
      </c>
      <c r="C655" t="s">
        <v>1092</v>
      </c>
      <c r="D655" t="s">
        <v>1061</v>
      </c>
      <c r="E655">
        <v>197665.832998</v>
      </c>
      <c r="F655">
        <v>86</v>
      </c>
      <c r="G655" t="s">
        <v>1103</v>
      </c>
      <c r="H655" t="s">
        <v>15</v>
      </c>
    </row>
    <row r="656" spans="1:8" x14ac:dyDescent="0.2">
      <c r="A656" t="s">
        <v>87</v>
      </c>
      <c r="B656" t="s">
        <v>1708</v>
      </c>
      <c r="C656" t="s">
        <v>1092</v>
      </c>
      <c r="D656" t="s">
        <v>1126</v>
      </c>
      <c r="E656">
        <v>185373</v>
      </c>
      <c r="F656">
        <v>115984</v>
      </c>
      <c r="G656" t="s">
        <v>1109</v>
      </c>
      <c r="H656" t="s">
        <v>15</v>
      </c>
    </row>
    <row r="657" spans="1:8" x14ac:dyDescent="0.2">
      <c r="A657" t="s">
        <v>87</v>
      </c>
      <c r="B657" t="s">
        <v>1709</v>
      </c>
      <c r="C657" t="s">
        <v>1092</v>
      </c>
      <c r="D657" t="s">
        <v>1061</v>
      </c>
      <c r="E657">
        <v>78322.600000000006</v>
      </c>
      <c r="F657">
        <v>53337</v>
      </c>
      <c r="G657" t="s">
        <v>1109</v>
      </c>
      <c r="H657" t="s">
        <v>15</v>
      </c>
    </row>
    <row r="658" spans="1:8" x14ac:dyDescent="0.2">
      <c r="A658" t="s">
        <v>87</v>
      </c>
      <c r="B658" t="s">
        <v>1099</v>
      </c>
      <c r="C658" t="s">
        <v>1100</v>
      </c>
      <c r="D658" t="s">
        <v>35</v>
      </c>
      <c r="E658">
        <v>461361.432998</v>
      </c>
      <c r="F658">
        <v>169407</v>
      </c>
      <c r="G658" t="s">
        <v>35</v>
      </c>
      <c r="H658" t="s">
        <v>15</v>
      </c>
    </row>
    <row r="659" spans="1:8" x14ac:dyDescent="0.2">
      <c r="A659" t="s">
        <v>1710</v>
      </c>
      <c r="B659" t="s">
        <v>1711</v>
      </c>
      <c r="C659" t="s">
        <v>1092</v>
      </c>
      <c r="D659" t="s">
        <v>1064</v>
      </c>
      <c r="E659">
        <v>551912.0736</v>
      </c>
      <c r="F659">
        <v>185</v>
      </c>
      <c r="G659" t="s">
        <v>1093</v>
      </c>
      <c r="H659" t="s">
        <v>15</v>
      </c>
    </row>
    <row r="660" spans="1:8" x14ac:dyDescent="0.2">
      <c r="A660" t="s">
        <v>1710</v>
      </c>
      <c r="B660" t="s">
        <v>1712</v>
      </c>
      <c r="C660" t="s">
        <v>1092</v>
      </c>
      <c r="D660" t="s">
        <v>1064</v>
      </c>
      <c r="E660">
        <v>208639.42980400001</v>
      </c>
      <c r="F660">
        <v>87</v>
      </c>
      <c r="G660" t="s">
        <v>1093</v>
      </c>
      <c r="H660" t="s">
        <v>15</v>
      </c>
    </row>
    <row r="661" spans="1:8" x14ac:dyDescent="0.2">
      <c r="A661" t="s">
        <v>1710</v>
      </c>
      <c r="B661" t="s">
        <v>1713</v>
      </c>
      <c r="C661" t="s">
        <v>1092</v>
      </c>
      <c r="D661" t="s">
        <v>1064</v>
      </c>
      <c r="E661">
        <v>231387.703094</v>
      </c>
      <c r="F661">
        <v>77</v>
      </c>
      <c r="G661" t="s">
        <v>1093</v>
      </c>
      <c r="H661" t="s">
        <v>15</v>
      </c>
    </row>
    <row r="662" spans="1:8" x14ac:dyDescent="0.2">
      <c r="A662" t="s">
        <v>1710</v>
      </c>
      <c r="B662" t="s">
        <v>1099</v>
      </c>
      <c r="C662" t="s">
        <v>1100</v>
      </c>
      <c r="D662" t="s">
        <v>35</v>
      </c>
      <c r="E662">
        <v>991939.20649799996</v>
      </c>
      <c r="F662">
        <v>349</v>
      </c>
      <c r="G662" t="s">
        <v>35</v>
      </c>
      <c r="H662" t="s">
        <v>15</v>
      </c>
    </row>
    <row r="663" spans="1:8" x14ac:dyDescent="0.2">
      <c r="A663" t="s">
        <v>1714</v>
      </c>
      <c r="B663" t="s">
        <v>1715</v>
      </c>
      <c r="C663" t="s">
        <v>1092</v>
      </c>
      <c r="D663" t="s">
        <v>1052</v>
      </c>
      <c r="E663">
        <v>305275.16700000002</v>
      </c>
      <c r="F663">
        <v>103</v>
      </c>
      <c r="G663" t="s">
        <v>1093</v>
      </c>
      <c r="H663" t="s">
        <v>15</v>
      </c>
    </row>
    <row r="664" spans="1:8" x14ac:dyDescent="0.2">
      <c r="A664" t="s">
        <v>1714</v>
      </c>
      <c r="B664" t="s">
        <v>1099</v>
      </c>
      <c r="C664" t="s">
        <v>1100</v>
      </c>
      <c r="D664" t="s">
        <v>35</v>
      </c>
      <c r="E664">
        <v>305275.16700000002</v>
      </c>
      <c r="F664">
        <v>103</v>
      </c>
      <c r="G664" t="s">
        <v>35</v>
      </c>
      <c r="H664" t="s">
        <v>15</v>
      </c>
    </row>
    <row r="665" spans="1:8" x14ac:dyDescent="0.2">
      <c r="A665" t="s">
        <v>249</v>
      </c>
      <c r="B665" t="s">
        <v>1716</v>
      </c>
      <c r="C665" t="s">
        <v>1092</v>
      </c>
      <c r="D665" t="s">
        <v>1052</v>
      </c>
      <c r="E665">
        <v>1911</v>
      </c>
      <c r="F665">
        <v>1325</v>
      </c>
      <c r="G665" t="s">
        <v>1236</v>
      </c>
      <c r="H665" t="s">
        <v>15</v>
      </c>
    </row>
    <row r="666" spans="1:8" x14ac:dyDescent="0.2">
      <c r="A666" t="s">
        <v>249</v>
      </c>
      <c r="B666" t="s">
        <v>1717</v>
      </c>
      <c r="C666" t="s">
        <v>1092</v>
      </c>
      <c r="D666" t="s">
        <v>1058</v>
      </c>
      <c r="E666">
        <v>105240.50773</v>
      </c>
      <c r="F666">
        <v>63830</v>
      </c>
      <c r="G666" t="s">
        <v>1109</v>
      </c>
      <c r="H666" t="s">
        <v>15</v>
      </c>
    </row>
    <row r="667" spans="1:8" x14ac:dyDescent="0.2">
      <c r="A667" t="s">
        <v>249</v>
      </c>
      <c r="B667" t="s">
        <v>1718</v>
      </c>
      <c r="C667" t="s">
        <v>1092</v>
      </c>
      <c r="D667" t="s">
        <v>1058</v>
      </c>
      <c r="E667">
        <v>646</v>
      </c>
      <c r="F667">
        <v>455</v>
      </c>
      <c r="G667" t="s">
        <v>1109</v>
      </c>
      <c r="H667" t="s">
        <v>15</v>
      </c>
    </row>
    <row r="668" spans="1:8" x14ac:dyDescent="0.2">
      <c r="A668" t="s">
        <v>249</v>
      </c>
      <c r="B668" t="s">
        <v>1719</v>
      </c>
      <c r="C668" t="s">
        <v>1092</v>
      </c>
      <c r="D668" t="s">
        <v>1096</v>
      </c>
      <c r="E668">
        <v>116734.33554</v>
      </c>
      <c r="F668">
        <v>72327</v>
      </c>
      <c r="G668" t="s">
        <v>1109</v>
      </c>
      <c r="H668" t="s">
        <v>15</v>
      </c>
    </row>
    <row r="669" spans="1:8" x14ac:dyDescent="0.2">
      <c r="A669" t="s">
        <v>249</v>
      </c>
      <c r="B669" t="s">
        <v>1720</v>
      </c>
      <c r="C669" t="s">
        <v>1092</v>
      </c>
      <c r="D669" t="s">
        <v>1052</v>
      </c>
      <c r="E669">
        <v>5291.3927999999996</v>
      </c>
      <c r="F669">
        <v>3558</v>
      </c>
      <c r="G669" t="s">
        <v>1236</v>
      </c>
      <c r="H669" t="s">
        <v>15</v>
      </c>
    </row>
    <row r="670" spans="1:8" x14ac:dyDescent="0.2">
      <c r="A670" t="s">
        <v>249</v>
      </c>
      <c r="B670" t="s">
        <v>1721</v>
      </c>
      <c r="C670" t="s">
        <v>1092</v>
      </c>
      <c r="D670" t="s">
        <v>1058</v>
      </c>
      <c r="E670">
        <v>4293131.0233100001</v>
      </c>
      <c r="F670">
        <v>1626</v>
      </c>
      <c r="G670" t="s">
        <v>1107</v>
      </c>
      <c r="H670" t="s">
        <v>15</v>
      </c>
    </row>
    <row r="671" spans="1:8" x14ac:dyDescent="0.2">
      <c r="A671" t="s">
        <v>249</v>
      </c>
      <c r="B671" t="s">
        <v>1722</v>
      </c>
      <c r="C671" t="s">
        <v>1092</v>
      </c>
      <c r="D671" t="s">
        <v>1096</v>
      </c>
      <c r="E671">
        <v>22823.766456000001</v>
      </c>
      <c r="F671">
        <v>17317</v>
      </c>
      <c r="G671" t="s">
        <v>1109</v>
      </c>
      <c r="H671" t="s">
        <v>15</v>
      </c>
    </row>
    <row r="672" spans="1:8" x14ac:dyDescent="0.2">
      <c r="A672" t="s">
        <v>249</v>
      </c>
      <c r="B672" t="s">
        <v>1099</v>
      </c>
      <c r="C672" t="s">
        <v>1100</v>
      </c>
      <c r="D672" t="s">
        <v>35</v>
      </c>
      <c r="E672">
        <v>4545778.0258360002</v>
      </c>
      <c r="F672">
        <v>160438</v>
      </c>
      <c r="G672" t="s">
        <v>35</v>
      </c>
      <c r="H672" t="s">
        <v>15</v>
      </c>
    </row>
    <row r="673" spans="1:8" x14ac:dyDescent="0.2">
      <c r="A673" t="s">
        <v>1723</v>
      </c>
      <c r="B673" t="s">
        <v>1724</v>
      </c>
      <c r="C673" t="s">
        <v>1092</v>
      </c>
      <c r="D673" t="s">
        <v>1096</v>
      </c>
      <c r="E673">
        <v>126530.625</v>
      </c>
      <c r="F673">
        <v>93</v>
      </c>
      <c r="G673" t="s">
        <v>1093</v>
      </c>
      <c r="H673" t="s">
        <v>15</v>
      </c>
    </row>
    <row r="674" spans="1:8" x14ac:dyDescent="0.2">
      <c r="A674" t="s">
        <v>1723</v>
      </c>
      <c r="B674" t="s">
        <v>1725</v>
      </c>
      <c r="C674" t="s">
        <v>1092</v>
      </c>
      <c r="D674" t="s">
        <v>1052</v>
      </c>
      <c r="E674">
        <v>174424.603</v>
      </c>
      <c r="F674">
        <v>64</v>
      </c>
      <c r="G674" t="s">
        <v>1093</v>
      </c>
      <c r="H674" t="s">
        <v>15</v>
      </c>
    </row>
    <row r="675" spans="1:8" x14ac:dyDescent="0.2">
      <c r="A675" t="s">
        <v>1723</v>
      </c>
      <c r="B675" t="s">
        <v>1726</v>
      </c>
      <c r="C675" t="s">
        <v>1092</v>
      </c>
      <c r="D675" t="s">
        <v>1096</v>
      </c>
      <c r="E675">
        <v>41487.277000000002</v>
      </c>
      <c r="F675">
        <v>50</v>
      </c>
      <c r="G675" t="s">
        <v>1093</v>
      </c>
      <c r="H675" t="s">
        <v>15</v>
      </c>
    </row>
    <row r="676" spans="1:8" x14ac:dyDescent="0.2">
      <c r="A676" t="s">
        <v>1723</v>
      </c>
      <c r="B676" t="s">
        <v>1727</v>
      </c>
      <c r="C676" t="s">
        <v>1092</v>
      </c>
      <c r="D676" t="s">
        <v>1096</v>
      </c>
      <c r="E676">
        <v>240639.21</v>
      </c>
      <c r="F676">
        <v>72</v>
      </c>
      <c r="G676" t="s">
        <v>1093</v>
      </c>
      <c r="H676" t="s">
        <v>15</v>
      </c>
    </row>
    <row r="677" spans="1:8" x14ac:dyDescent="0.2">
      <c r="A677" t="s">
        <v>1723</v>
      </c>
      <c r="B677" t="s">
        <v>1728</v>
      </c>
      <c r="C677" t="s">
        <v>1092</v>
      </c>
      <c r="D677" t="s">
        <v>1096</v>
      </c>
      <c r="E677">
        <v>0</v>
      </c>
      <c r="F677">
        <v>4</v>
      </c>
      <c r="G677" t="s">
        <v>1191</v>
      </c>
      <c r="H677" t="s">
        <v>15</v>
      </c>
    </row>
    <row r="678" spans="1:8" x14ac:dyDescent="0.2">
      <c r="A678" t="s">
        <v>1723</v>
      </c>
      <c r="B678" t="s">
        <v>1729</v>
      </c>
      <c r="C678" t="s">
        <v>1092</v>
      </c>
      <c r="D678" t="s">
        <v>1096</v>
      </c>
      <c r="E678">
        <v>10069.187</v>
      </c>
      <c r="F678">
        <v>6</v>
      </c>
      <c r="G678" t="s">
        <v>1107</v>
      </c>
      <c r="H678" t="s">
        <v>15</v>
      </c>
    </row>
    <row r="679" spans="1:8" x14ac:dyDescent="0.2">
      <c r="A679" t="s">
        <v>1723</v>
      </c>
      <c r="B679" t="s">
        <v>1730</v>
      </c>
      <c r="C679" t="s">
        <v>1092</v>
      </c>
      <c r="D679" t="s">
        <v>1096</v>
      </c>
      <c r="E679">
        <v>7122.4620000000004</v>
      </c>
      <c r="F679">
        <v>8</v>
      </c>
      <c r="G679" t="s">
        <v>1107</v>
      </c>
      <c r="H679" t="s">
        <v>15</v>
      </c>
    </row>
    <row r="680" spans="1:8" x14ac:dyDescent="0.2">
      <c r="A680" t="s">
        <v>1723</v>
      </c>
      <c r="B680" t="s">
        <v>1731</v>
      </c>
      <c r="C680" t="s">
        <v>1092</v>
      </c>
      <c r="D680" t="s">
        <v>1061</v>
      </c>
      <c r="E680">
        <v>212882.84700000001</v>
      </c>
      <c r="F680">
        <v>97</v>
      </c>
      <c r="G680" t="s">
        <v>1103</v>
      </c>
      <c r="H680" t="s">
        <v>15</v>
      </c>
    </row>
    <row r="681" spans="1:8" x14ac:dyDescent="0.2">
      <c r="A681" t="s">
        <v>1723</v>
      </c>
      <c r="B681" t="s">
        <v>1732</v>
      </c>
      <c r="C681" t="s">
        <v>1092</v>
      </c>
      <c r="D681" t="s">
        <v>1126</v>
      </c>
      <c r="E681">
        <v>72327.66</v>
      </c>
      <c r="F681">
        <v>42</v>
      </c>
      <c r="G681" t="s">
        <v>1107</v>
      </c>
      <c r="H681" t="s">
        <v>15</v>
      </c>
    </row>
    <row r="682" spans="1:8" x14ac:dyDescent="0.2">
      <c r="A682" t="s">
        <v>1723</v>
      </c>
      <c r="B682" t="s">
        <v>1733</v>
      </c>
      <c r="C682" t="s">
        <v>1092</v>
      </c>
      <c r="D682" t="s">
        <v>1096</v>
      </c>
      <c r="E682">
        <v>447249.973</v>
      </c>
      <c r="F682">
        <v>194</v>
      </c>
      <c r="G682" t="s">
        <v>1093</v>
      </c>
      <c r="H682" t="s">
        <v>15</v>
      </c>
    </row>
    <row r="683" spans="1:8" x14ac:dyDescent="0.2">
      <c r="A683" t="s">
        <v>1723</v>
      </c>
      <c r="B683" t="s">
        <v>1734</v>
      </c>
      <c r="C683" t="s">
        <v>1092</v>
      </c>
      <c r="D683" t="s">
        <v>1058</v>
      </c>
      <c r="E683">
        <v>259081.54399999999</v>
      </c>
      <c r="F683">
        <v>123</v>
      </c>
      <c r="G683" t="s">
        <v>1093</v>
      </c>
      <c r="H683" t="s">
        <v>15</v>
      </c>
    </row>
    <row r="684" spans="1:8" x14ac:dyDescent="0.2">
      <c r="A684" t="s">
        <v>1723</v>
      </c>
      <c r="B684" t="s">
        <v>1735</v>
      </c>
      <c r="C684" t="s">
        <v>1092</v>
      </c>
      <c r="D684" t="s">
        <v>1058</v>
      </c>
      <c r="E684">
        <v>5224.902</v>
      </c>
      <c r="F684">
        <v>3</v>
      </c>
      <c r="G684" t="s">
        <v>1107</v>
      </c>
      <c r="H684" t="s">
        <v>15</v>
      </c>
    </row>
    <row r="685" spans="1:8" x14ac:dyDescent="0.2">
      <c r="A685" t="s">
        <v>1723</v>
      </c>
      <c r="B685" t="s">
        <v>1736</v>
      </c>
      <c r="C685" t="s">
        <v>1092</v>
      </c>
      <c r="D685" t="s">
        <v>1096</v>
      </c>
      <c r="E685">
        <v>5529.7809999999999</v>
      </c>
      <c r="F685">
        <v>7</v>
      </c>
      <c r="G685" t="s">
        <v>1107</v>
      </c>
      <c r="H685" t="s">
        <v>15</v>
      </c>
    </row>
    <row r="686" spans="1:8" x14ac:dyDescent="0.2">
      <c r="A686" t="s">
        <v>1723</v>
      </c>
      <c r="B686" t="s">
        <v>1737</v>
      </c>
      <c r="C686" t="s">
        <v>1092</v>
      </c>
      <c r="D686" t="s">
        <v>1096</v>
      </c>
      <c r="E686">
        <v>63169.353999999999</v>
      </c>
      <c r="F686">
        <v>43</v>
      </c>
      <c r="G686" t="s">
        <v>1093</v>
      </c>
      <c r="H686" t="s">
        <v>15</v>
      </c>
    </row>
    <row r="687" spans="1:8" x14ac:dyDescent="0.2">
      <c r="A687" t="s">
        <v>1723</v>
      </c>
      <c r="B687" t="s">
        <v>1738</v>
      </c>
      <c r="C687" t="s">
        <v>1092</v>
      </c>
      <c r="D687" t="s">
        <v>1096</v>
      </c>
      <c r="E687">
        <v>85127.048999999999</v>
      </c>
      <c r="F687">
        <v>54</v>
      </c>
      <c r="G687" t="s">
        <v>1093</v>
      </c>
      <c r="H687" t="s">
        <v>15</v>
      </c>
    </row>
    <row r="688" spans="1:8" x14ac:dyDescent="0.2">
      <c r="A688" t="s">
        <v>1723</v>
      </c>
      <c r="B688" t="s">
        <v>1099</v>
      </c>
      <c r="C688" t="s">
        <v>1100</v>
      </c>
      <c r="D688" t="s">
        <v>35</v>
      </c>
      <c r="E688">
        <v>1750866.4739999999</v>
      </c>
      <c r="F688">
        <v>860</v>
      </c>
      <c r="G688" t="s">
        <v>35</v>
      </c>
      <c r="H688" t="s">
        <v>15</v>
      </c>
    </row>
    <row r="689" spans="1:8" x14ac:dyDescent="0.2">
      <c r="A689" t="s">
        <v>1739</v>
      </c>
      <c r="B689" t="s">
        <v>1740</v>
      </c>
      <c r="C689" t="s">
        <v>1092</v>
      </c>
      <c r="D689" t="s">
        <v>1058</v>
      </c>
      <c r="E689">
        <v>541185.60699999996</v>
      </c>
      <c r="F689">
        <v>88</v>
      </c>
      <c r="G689" t="s">
        <v>1093</v>
      </c>
      <c r="H689" t="s">
        <v>15</v>
      </c>
    </row>
    <row r="690" spans="1:8" x14ac:dyDescent="0.2">
      <c r="A690" t="s">
        <v>1739</v>
      </c>
      <c r="B690" t="s">
        <v>1741</v>
      </c>
      <c r="C690" t="s">
        <v>1092</v>
      </c>
      <c r="D690" t="s">
        <v>1058</v>
      </c>
      <c r="E690">
        <v>287674.85600000003</v>
      </c>
      <c r="F690">
        <v>30</v>
      </c>
      <c r="G690" t="s">
        <v>1093</v>
      </c>
      <c r="H690" t="s">
        <v>15</v>
      </c>
    </row>
    <row r="691" spans="1:8" x14ac:dyDescent="0.2">
      <c r="A691" t="s">
        <v>1739</v>
      </c>
      <c r="B691" t="s">
        <v>1742</v>
      </c>
      <c r="C691" t="s">
        <v>1092</v>
      </c>
      <c r="D691" t="s">
        <v>1061</v>
      </c>
      <c r="E691">
        <v>1542.2629999999999</v>
      </c>
      <c r="F691">
        <v>13214</v>
      </c>
      <c r="G691" t="s">
        <v>1093</v>
      </c>
      <c r="H691" t="s">
        <v>15</v>
      </c>
    </row>
    <row r="692" spans="1:8" x14ac:dyDescent="0.2">
      <c r="A692" t="s">
        <v>1739</v>
      </c>
      <c r="B692" t="s">
        <v>1743</v>
      </c>
      <c r="C692" t="s">
        <v>1092</v>
      </c>
      <c r="D692" t="s">
        <v>1058</v>
      </c>
      <c r="E692">
        <v>315065.435</v>
      </c>
      <c r="F692">
        <v>84</v>
      </c>
      <c r="G692" t="s">
        <v>1093</v>
      </c>
      <c r="H692" t="s">
        <v>15</v>
      </c>
    </row>
    <row r="693" spans="1:8" x14ac:dyDescent="0.2">
      <c r="A693" t="s">
        <v>1739</v>
      </c>
      <c r="B693" t="s">
        <v>1744</v>
      </c>
      <c r="C693" t="s">
        <v>1092</v>
      </c>
      <c r="D693" t="s">
        <v>1096</v>
      </c>
      <c r="E693">
        <v>487520</v>
      </c>
      <c r="F693">
        <v>154</v>
      </c>
      <c r="G693" t="s">
        <v>1093</v>
      </c>
      <c r="H693" t="s">
        <v>15</v>
      </c>
    </row>
    <row r="694" spans="1:8" x14ac:dyDescent="0.2">
      <c r="A694" t="s">
        <v>1739</v>
      </c>
      <c r="B694" t="s">
        <v>1745</v>
      </c>
      <c r="C694" t="s">
        <v>1092</v>
      </c>
      <c r="D694" t="s">
        <v>1058</v>
      </c>
      <c r="E694">
        <v>711849.05847000005</v>
      </c>
      <c r="F694">
        <v>174</v>
      </c>
      <c r="G694" t="s">
        <v>1093</v>
      </c>
      <c r="H694" t="s">
        <v>15</v>
      </c>
    </row>
    <row r="695" spans="1:8" x14ac:dyDescent="0.2">
      <c r="A695" t="s">
        <v>1739</v>
      </c>
      <c r="B695" t="s">
        <v>1099</v>
      </c>
      <c r="C695" t="s">
        <v>1100</v>
      </c>
      <c r="D695" t="s">
        <v>35</v>
      </c>
      <c r="E695">
        <v>2344837.2194699999</v>
      </c>
      <c r="F695">
        <v>13744</v>
      </c>
      <c r="G695" t="s">
        <v>35</v>
      </c>
      <c r="H695" t="s">
        <v>15</v>
      </c>
    </row>
    <row r="696" spans="1:8" x14ac:dyDescent="0.2">
      <c r="A696" t="s">
        <v>1746</v>
      </c>
      <c r="B696" t="s">
        <v>1747</v>
      </c>
      <c r="C696" t="s">
        <v>1092</v>
      </c>
      <c r="D696" t="s">
        <v>1126</v>
      </c>
      <c r="E696">
        <v>84581</v>
      </c>
      <c r="F696">
        <v>22</v>
      </c>
      <c r="G696" t="s">
        <v>1093</v>
      </c>
      <c r="H696" t="s">
        <v>15</v>
      </c>
    </row>
    <row r="697" spans="1:8" x14ac:dyDescent="0.2">
      <c r="A697" t="s">
        <v>1746</v>
      </c>
      <c r="B697" t="s">
        <v>1099</v>
      </c>
      <c r="C697" t="s">
        <v>1100</v>
      </c>
      <c r="D697" t="s">
        <v>35</v>
      </c>
      <c r="E697">
        <v>84581</v>
      </c>
      <c r="F697">
        <v>22</v>
      </c>
      <c r="G697" t="s">
        <v>35</v>
      </c>
      <c r="H697" t="s">
        <v>15</v>
      </c>
    </row>
    <row r="698" spans="1:8" x14ac:dyDescent="0.2">
      <c r="A698" t="s">
        <v>1748</v>
      </c>
      <c r="B698" t="s">
        <v>1749</v>
      </c>
      <c r="C698" t="s">
        <v>1092</v>
      </c>
      <c r="D698" t="s">
        <v>1126</v>
      </c>
      <c r="E698">
        <v>87111</v>
      </c>
      <c r="F698">
        <v>7</v>
      </c>
      <c r="G698" t="s">
        <v>1103</v>
      </c>
      <c r="H698" t="s">
        <v>15</v>
      </c>
    </row>
    <row r="699" spans="1:8" x14ac:dyDescent="0.2">
      <c r="A699" t="s">
        <v>1748</v>
      </c>
      <c r="B699" t="s">
        <v>1099</v>
      </c>
      <c r="C699" t="s">
        <v>1100</v>
      </c>
      <c r="D699" t="s">
        <v>35</v>
      </c>
      <c r="E699">
        <v>87111</v>
      </c>
      <c r="F699">
        <v>7</v>
      </c>
      <c r="G699" t="s">
        <v>35</v>
      </c>
      <c r="H699" t="s">
        <v>15</v>
      </c>
    </row>
    <row r="700" spans="1:8" x14ac:dyDescent="0.2">
      <c r="A700" t="s">
        <v>36</v>
      </c>
      <c r="B700" t="s">
        <v>1750</v>
      </c>
      <c r="C700" t="s">
        <v>1092</v>
      </c>
      <c r="D700" t="s">
        <v>1061</v>
      </c>
      <c r="E700">
        <v>8052412.6509999996</v>
      </c>
      <c r="F700">
        <v>6975068</v>
      </c>
      <c r="G700" t="s">
        <v>1111</v>
      </c>
      <c r="H700" t="s">
        <v>15</v>
      </c>
    </row>
    <row r="701" spans="1:8" x14ac:dyDescent="0.2">
      <c r="A701" t="s">
        <v>36</v>
      </c>
      <c r="B701" t="s">
        <v>1751</v>
      </c>
      <c r="C701" t="s">
        <v>1092</v>
      </c>
      <c r="D701" t="s">
        <v>1061</v>
      </c>
      <c r="E701">
        <v>12558912.146</v>
      </c>
      <c r="F701">
        <v>10890624</v>
      </c>
      <c r="G701" t="s">
        <v>1111</v>
      </c>
      <c r="H701" t="s">
        <v>15</v>
      </c>
    </row>
    <row r="702" spans="1:8" x14ac:dyDescent="0.2">
      <c r="A702" t="s">
        <v>36</v>
      </c>
      <c r="B702" t="s">
        <v>1099</v>
      </c>
      <c r="C702" t="s">
        <v>1100</v>
      </c>
      <c r="D702" t="s">
        <v>35</v>
      </c>
      <c r="E702">
        <v>20611324.796999998</v>
      </c>
      <c r="F702">
        <v>17865692</v>
      </c>
      <c r="G702" t="s">
        <v>35</v>
      </c>
      <c r="H702" t="s">
        <v>15</v>
      </c>
    </row>
    <row r="703" spans="1:8" x14ac:dyDescent="0.2">
      <c r="A703" t="s">
        <v>1752</v>
      </c>
      <c r="B703" t="s">
        <v>1753</v>
      </c>
      <c r="C703" t="s">
        <v>1092</v>
      </c>
      <c r="D703" t="s">
        <v>1096</v>
      </c>
      <c r="E703">
        <v>1571883.3768</v>
      </c>
      <c r="F703">
        <v>105</v>
      </c>
      <c r="G703" t="s">
        <v>1093</v>
      </c>
      <c r="H703" t="s">
        <v>15</v>
      </c>
    </row>
    <row r="704" spans="1:8" x14ac:dyDescent="0.2">
      <c r="A704" t="s">
        <v>1752</v>
      </c>
      <c r="B704" t="s">
        <v>1099</v>
      </c>
      <c r="C704" t="s">
        <v>1100</v>
      </c>
      <c r="D704" t="s">
        <v>35</v>
      </c>
      <c r="E704">
        <v>1571883.3768</v>
      </c>
      <c r="F704">
        <v>105</v>
      </c>
      <c r="G704" t="s">
        <v>35</v>
      </c>
      <c r="H704" t="s">
        <v>15</v>
      </c>
    </row>
    <row r="705" spans="1:8" x14ac:dyDescent="0.2">
      <c r="A705" t="s">
        <v>1754</v>
      </c>
      <c r="B705" t="s">
        <v>1755</v>
      </c>
      <c r="C705" t="s">
        <v>1092</v>
      </c>
      <c r="D705" t="s">
        <v>1058</v>
      </c>
      <c r="E705">
        <v>174871.20190799999</v>
      </c>
      <c r="F705">
        <v>18</v>
      </c>
      <c r="G705" t="s">
        <v>1103</v>
      </c>
      <c r="H705" t="s">
        <v>15</v>
      </c>
    </row>
    <row r="706" spans="1:8" x14ac:dyDescent="0.2">
      <c r="A706" t="s">
        <v>1754</v>
      </c>
      <c r="B706" t="s">
        <v>1099</v>
      </c>
      <c r="C706" t="s">
        <v>1100</v>
      </c>
      <c r="D706" t="s">
        <v>35</v>
      </c>
      <c r="E706">
        <v>174871.20190799999</v>
      </c>
      <c r="F706">
        <v>18</v>
      </c>
      <c r="G706" t="s">
        <v>35</v>
      </c>
      <c r="H706" t="s">
        <v>15</v>
      </c>
    </row>
    <row r="707" spans="1:8" x14ac:dyDescent="0.2">
      <c r="A707" t="s">
        <v>1756</v>
      </c>
      <c r="B707" t="s">
        <v>1757</v>
      </c>
      <c r="C707" t="s">
        <v>1092</v>
      </c>
      <c r="D707" t="s">
        <v>1126</v>
      </c>
      <c r="E707">
        <v>245221.36900000001</v>
      </c>
      <c r="F707">
        <v>34</v>
      </c>
      <c r="G707" t="s">
        <v>1103</v>
      </c>
      <c r="H707" t="s">
        <v>15</v>
      </c>
    </row>
    <row r="708" spans="1:8" x14ac:dyDescent="0.2">
      <c r="A708" t="s">
        <v>1756</v>
      </c>
      <c r="B708" t="s">
        <v>1099</v>
      </c>
      <c r="C708" t="s">
        <v>1100</v>
      </c>
      <c r="D708" t="s">
        <v>35</v>
      </c>
      <c r="E708">
        <v>245221.36900000001</v>
      </c>
      <c r="F708">
        <v>34</v>
      </c>
      <c r="G708" t="s">
        <v>35</v>
      </c>
      <c r="H708" t="s">
        <v>15</v>
      </c>
    </row>
    <row r="709" spans="1:8" x14ac:dyDescent="0.2">
      <c r="A709" t="s">
        <v>1758</v>
      </c>
      <c r="B709" t="s">
        <v>1759</v>
      </c>
      <c r="C709" t="s">
        <v>1092</v>
      </c>
      <c r="D709" t="s">
        <v>1058</v>
      </c>
      <c r="E709">
        <v>428212.068998</v>
      </c>
      <c r="F709">
        <v>58</v>
      </c>
      <c r="G709" t="s">
        <v>1103</v>
      </c>
      <c r="H709" t="s">
        <v>15</v>
      </c>
    </row>
    <row r="710" spans="1:8" x14ac:dyDescent="0.2">
      <c r="A710" t="s">
        <v>1758</v>
      </c>
      <c r="B710" t="s">
        <v>1099</v>
      </c>
      <c r="C710" t="s">
        <v>1100</v>
      </c>
      <c r="D710" t="s">
        <v>35</v>
      </c>
      <c r="E710">
        <v>428212.068998</v>
      </c>
      <c r="F710">
        <v>58</v>
      </c>
      <c r="G710" t="s">
        <v>35</v>
      </c>
      <c r="H710" t="s">
        <v>15</v>
      </c>
    </row>
    <row r="711" spans="1:8" x14ac:dyDescent="0.2">
      <c r="A711" t="s">
        <v>151</v>
      </c>
      <c r="B711" t="s">
        <v>1760</v>
      </c>
      <c r="C711" t="s">
        <v>1092</v>
      </c>
      <c r="D711" t="s">
        <v>1052</v>
      </c>
      <c r="E711">
        <v>14205.69</v>
      </c>
      <c r="F711">
        <v>12596</v>
      </c>
      <c r="G711" t="s">
        <v>1109</v>
      </c>
      <c r="H711" t="s">
        <v>15</v>
      </c>
    </row>
    <row r="712" spans="1:8" x14ac:dyDescent="0.2">
      <c r="A712" t="s">
        <v>151</v>
      </c>
      <c r="B712" t="s">
        <v>1761</v>
      </c>
      <c r="C712" t="s">
        <v>1092</v>
      </c>
      <c r="D712" t="s">
        <v>1052</v>
      </c>
      <c r="E712">
        <v>91371.001000000004</v>
      </c>
      <c r="F712">
        <v>90907</v>
      </c>
      <c r="G712" t="s">
        <v>1109</v>
      </c>
      <c r="H712" t="s">
        <v>15</v>
      </c>
    </row>
    <row r="713" spans="1:8" x14ac:dyDescent="0.2">
      <c r="A713" t="s">
        <v>151</v>
      </c>
      <c r="B713" t="s">
        <v>1762</v>
      </c>
      <c r="C713" t="s">
        <v>1092</v>
      </c>
      <c r="D713" t="s">
        <v>1052</v>
      </c>
      <c r="E713">
        <v>419.67867999999999</v>
      </c>
      <c r="F713">
        <v>545</v>
      </c>
      <c r="G713" t="s">
        <v>1236</v>
      </c>
      <c r="H713" t="s">
        <v>15</v>
      </c>
    </row>
    <row r="714" spans="1:8" x14ac:dyDescent="0.2">
      <c r="A714" t="s">
        <v>151</v>
      </c>
      <c r="B714" t="s">
        <v>1763</v>
      </c>
      <c r="C714" t="s">
        <v>1092</v>
      </c>
      <c r="D714" t="s">
        <v>1052</v>
      </c>
      <c r="E714">
        <v>2136.1224520000001</v>
      </c>
      <c r="F714">
        <v>2237</v>
      </c>
      <c r="G714" t="s">
        <v>1236</v>
      </c>
      <c r="H714" t="s">
        <v>15</v>
      </c>
    </row>
    <row r="715" spans="1:8" x14ac:dyDescent="0.2">
      <c r="A715" t="s">
        <v>151</v>
      </c>
      <c r="B715" t="s">
        <v>1099</v>
      </c>
      <c r="C715" t="s">
        <v>1100</v>
      </c>
      <c r="D715" t="s">
        <v>35</v>
      </c>
      <c r="E715">
        <v>108132.492132</v>
      </c>
      <c r="F715">
        <v>106285</v>
      </c>
      <c r="G715" t="s">
        <v>35</v>
      </c>
      <c r="H715" t="s">
        <v>15</v>
      </c>
    </row>
    <row r="716" spans="1:8" x14ac:dyDescent="0.2">
      <c r="A716" t="s">
        <v>1764</v>
      </c>
      <c r="B716" t="s">
        <v>1765</v>
      </c>
      <c r="C716" t="s">
        <v>1092</v>
      </c>
      <c r="D716" t="s">
        <v>1064</v>
      </c>
      <c r="E716">
        <v>34002.804600000003</v>
      </c>
      <c r="F716">
        <v>0</v>
      </c>
      <c r="G716" t="s">
        <v>1107</v>
      </c>
      <c r="H716" t="s">
        <v>15</v>
      </c>
    </row>
    <row r="717" spans="1:8" x14ac:dyDescent="0.2">
      <c r="A717" t="s">
        <v>1764</v>
      </c>
      <c r="B717" t="s">
        <v>1099</v>
      </c>
      <c r="C717" t="s">
        <v>1100</v>
      </c>
      <c r="D717" t="s">
        <v>35</v>
      </c>
      <c r="E717">
        <v>34002.804600000003</v>
      </c>
      <c r="F717">
        <v>0</v>
      </c>
      <c r="G717" t="s">
        <v>35</v>
      </c>
      <c r="H717" t="s">
        <v>15</v>
      </c>
    </row>
    <row r="718" spans="1:8" x14ac:dyDescent="0.2">
      <c r="A718" t="s">
        <v>1766</v>
      </c>
      <c r="B718" t="s">
        <v>1767</v>
      </c>
      <c r="C718" t="s">
        <v>1092</v>
      </c>
      <c r="D718" t="s">
        <v>1058</v>
      </c>
      <c r="E718">
        <v>240153</v>
      </c>
      <c r="F718">
        <v>0</v>
      </c>
      <c r="G718" t="s">
        <v>1103</v>
      </c>
      <c r="H718" t="s">
        <v>15</v>
      </c>
    </row>
    <row r="719" spans="1:8" x14ac:dyDescent="0.2">
      <c r="A719" t="s">
        <v>1766</v>
      </c>
      <c r="B719" t="s">
        <v>1099</v>
      </c>
      <c r="C719" t="s">
        <v>1100</v>
      </c>
      <c r="D719" t="s">
        <v>35</v>
      </c>
      <c r="E719">
        <v>240153</v>
      </c>
      <c r="F719">
        <v>0</v>
      </c>
      <c r="G719" t="s">
        <v>35</v>
      </c>
      <c r="H719" t="s">
        <v>15</v>
      </c>
    </row>
    <row r="720" spans="1:8" x14ac:dyDescent="0.2">
      <c r="A720" t="s">
        <v>1768</v>
      </c>
      <c r="B720" t="s">
        <v>1769</v>
      </c>
      <c r="C720" t="s">
        <v>1092</v>
      </c>
      <c r="D720" t="s">
        <v>1096</v>
      </c>
      <c r="E720">
        <v>7818.0757670000003</v>
      </c>
      <c r="F720">
        <v>5</v>
      </c>
      <c r="G720" t="s">
        <v>1103</v>
      </c>
      <c r="H720" t="s">
        <v>15</v>
      </c>
    </row>
    <row r="721" spans="1:8" x14ac:dyDescent="0.2">
      <c r="A721" t="s">
        <v>1768</v>
      </c>
      <c r="B721" t="s">
        <v>1770</v>
      </c>
      <c r="C721" t="s">
        <v>1092</v>
      </c>
      <c r="D721" t="s">
        <v>1096</v>
      </c>
      <c r="E721">
        <v>8138.8593360000004</v>
      </c>
      <c r="F721">
        <v>5</v>
      </c>
      <c r="G721" t="s">
        <v>1103</v>
      </c>
      <c r="H721" t="s">
        <v>15</v>
      </c>
    </row>
    <row r="722" spans="1:8" x14ac:dyDescent="0.2">
      <c r="A722" t="s">
        <v>1768</v>
      </c>
      <c r="B722" t="s">
        <v>1771</v>
      </c>
      <c r="C722" t="s">
        <v>1092</v>
      </c>
      <c r="D722" t="s">
        <v>1096</v>
      </c>
      <c r="E722">
        <v>7704.2606949999999</v>
      </c>
      <c r="F722">
        <v>5</v>
      </c>
      <c r="G722" t="s">
        <v>1103</v>
      </c>
      <c r="H722" t="s">
        <v>15</v>
      </c>
    </row>
    <row r="723" spans="1:8" x14ac:dyDescent="0.2">
      <c r="A723" t="s">
        <v>1768</v>
      </c>
      <c r="B723" t="s">
        <v>1772</v>
      </c>
      <c r="C723" t="s">
        <v>1092</v>
      </c>
      <c r="D723" t="s">
        <v>1096</v>
      </c>
      <c r="E723">
        <v>8303.3719450000008</v>
      </c>
      <c r="F723">
        <v>5</v>
      </c>
      <c r="G723" t="s">
        <v>1103</v>
      </c>
      <c r="H723" t="s">
        <v>15</v>
      </c>
    </row>
    <row r="724" spans="1:8" x14ac:dyDescent="0.2">
      <c r="A724" t="s">
        <v>1768</v>
      </c>
      <c r="B724" t="s">
        <v>1773</v>
      </c>
      <c r="C724" t="s">
        <v>1092</v>
      </c>
      <c r="D724" t="s">
        <v>1096</v>
      </c>
      <c r="E724">
        <v>7921.7596629999998</v>
      </c>
      <c r="F724">
        <v>5</v>
      </c>
      <c r="G724" t="s">
        <v>1103</v>
      </c>
      <c r="H724" t="s">
        <v>15</v>
      </c>
    </row>
    <row r="725" spans="1:8" x14ac:dyDescent="0.2">
      <c r="A725" t="s">
        <v>1768</v>
      </c>
      <c r="B725" t="s">
        <v>1774</v>
      </c>
      <c r="C725" t="s">
        <v>1092</v>
      </c>
      <c r="D725" t="s">
        <v>1096</v>
      </c>
      <c r="E725">
        <v>7356.1303470000003</v>
      </c>
      <c r="F725">
        <v>5</v>
      </c>
      <c r="G725" t="s">
        <v>1103</v>
      </c>
      <c r="H725" t="s">
        <v>15</v>
      </c>
    </row>
    <row r="726" spans="1:8" x14ac:dyDescent="0.2">
      <c r="A726" t="s">
        <v>1768</v>
      </c>
      <c r="B726" t="s">
        <v>1775</v>
      </c>
      <c r="C726" t="s">
        <v>1092</v>
      </c>
      <c r="D726" t="s">
        <v>1096</v>
      </c>
      <c r="E726">
        <v>8075.6547760000003</v>
      </c>
      <c r="F726">
        <v>5</v>
      </c>
      <c r="G726" t="s">
        <v>1103</v>
      </c>
      <c r="H726" t="s">
        <v>15</v>
      </c>
    </row>
    <row r="727" spans="1:8" x14ac:dyDescent="0.2">
      <c r="A727" t="s">
        <v>1768</v>
      </c>
      <c r="B727" t="s">
        <v>1776</v>
      </c>
      <c r="C727" t="s">
        <v>1092</v>
      </c>
      <c r="D727" t="s">
        <v>1096</v>
      </c>
      <c r="E727">
        <v>7759.8123830000004</v>
      </c>
      <c r="F727">
        <v>5</v>
      </c>
      <c r="G727" t="s">
        <v>1103</v>
      </c>
      <c r="H727" t="s">
        <v>15</v>
      </c>
    </row>
    <row r="728" spans="1:8" x14ac:dyDescent="0.2">
      <c r="A728" t="s">
        <v>1768</v>
      </c>
      <c r="B728" t="s">
        <v>1777</v>
      </c>
      <c r="C728" t="s">
        <v>1092</v>
      </c>
      <c r="D728" t="s">
        <v>1096</v>
      </c>
      <c r="E728">
        <v>8042.2328779999998</v>
      </c>
      <c r="F728">
        <v>5</v>
      </c>
      <c r="G728" t="s">
        <v>1103</v>
      </c>
      <c r="H728" t="s">
        <v>15</v>
      </c>
    </row>
    <row r="729" spans="1:8" x14ac:dyDescent="0.2">
      <c r="A729" t="s">
        <v>1768</v>
      </c>
      <c r="B729" t="s">
        <v>1778</v>
      </c>
      <c r="C729" t="s">
        <v>1092</v>
      </c>
      <c r="D729" t="s">
        <v>1096</v>
      </c>
      <c r="E729">
        <v>7856.4328519999999</v>
      </c>
      <c r="F729">
        <v>5</v>
      </c>
      <c r="G729" t="s">
        <v>1103</v>
      </c>
      <c r="H729" t="s">
        <v>15</v>
      </c>
    </row>
    <row r="730" spans="1:8" x14ac:dyDescent="0.2">
      <c r="A730" t="s">
        <v>1768</v>
      </c>
      <c r="B730" t="s">
        <v>1779</v>
      </c>
      <c r="C730" t="s">
        <v>1092</v>
      </c>
      <c r="D730" t="s">
        <v>1096</v>
      </c>
      <c r="E730">
        <v>8029.4754860000003</v>
      </c>
      <c r="F730">
        <v>5</v>
      </c>
      <c r="G730" t="s">
        <v>1103</v>
      </c>
      <c r="H730" t="s">
        <v>15</v>
      </c>
    </row>
    <row r="731" spans="1:8" x14ac:dyDescent="0.2">
      <c r="A731" t="s">
        <v>1768</v>
      </c>
      <c r="B731" t="s">
        <v>1780</v>
      </c>
      <c r="C731" t="s">
        <v>1092</v>
      </c>
      <c r="D731" t="s">
        <v>1096</v>
      </c>
      <c r="E731">
        <v>7846.2864989999998</v>
      </c>
      <c r="F731">
        <v>5</v>
      </c>
      <c r="G731" t="s">
        <v>1103</v>
      </c>
      <c r="H731" t="s">
        <v>15</v>
      </c>
    </row>
    <row r="732" spans="1:8" x14ac:dyDescent="0.2">
      <c r="A732" t="s">
        <v>1768</v>
      </c>
      <c r="B732" t="s">
        <v>1781</v>
      </c>
      <c r="C732" t="s">
        <v>1092</v>
      </c>
      <c r="D732" t="s">
        <v>1096</v>
      </c>
      <c r="E732">
        <v>7796.6957920000004</v>
      </c>
      <c r="F732">
        <v>5</v>
      </c>
      <c r="G732" t="s">
        <v>1103</v>
      </c>
      <c r="H732" t="s">
        <v>15</v>
      </c>
    </row>
    <row r="733" spans="1:8" x14ac:dyDescent="0.2">
      <c r="A733" t="s">
        <v>1768</v>
      </c>
      <c r="B733" t="s">
        <v>1782</v>
      </c>
      <c r="C733" t="s">
        <v>1092</v>
      </c>
      <c r="D733" t="s">
        <v>1096</v>
      </c>
      <c r="E733">
        <v>7539.8135499999999</v>
      </c>
      <c r="F733">
        <v>5</v>
      </c>
      <c r="G733" t="s">
        <v>1103</v>
      </c>
      <c r="H733" t="s">
        <v>15</v>
      </c>
    </row>
    <row r="734" spans="1:8" x14ac:dyDescent="0.2">
      <c r="A734" t="s">
        <v>1768</v>
      </c>
      <c r="B734" t="s">
        <v>1783</v>
      </c>
      <c r="C734" t="s">
        <v>1092</v>
      </c>
      <c r="D734" t="s">
        <v>1096</v>
      </c>
      <c r="E734">
        <v>7862.8304070000004</v>
      </c>
      <c r="F734">
        <v>5</v>
      </c>
      <c r="G734" t="s">
        <v>1103</v>
      </c>
      <c r="H734" t="s">
        <v>15</v>
      </c>
    </row>
    <row r="735" spans="1:8" x14ac:dyDescent="0.2">
      <c r="A735" t="s">
        <v>1768</v>
      </c>
      <c r="B735" t="s">
        <v>1784</v>
      </c>
      <c r="C735" t="s">
        <v>1092</v>
      </c>
      <c r="D735" t="s">
        <v>1096</v>
      </c>
      <c r="E735">
        <v>7969.9074380000002</v>
      </c>
      <c r="F735">
        <v>5</v>
      </c>
      <c r="G735" t="s">
        <v>1103</v>
      </c>
      <c r="H735" t="s">
        <v>15</v>
      </c>
    </row>
    <row r="736" spans="1:8" x14ac:dyDescent="0.2">
      <c r="A736" t="s">
        <v>1768</v>
      </c>
      <c r="B736" t="s">
        <v>1099</v>
      </c>
      <c r="C736" t="s">
        <v>1100</v>
      </c>
      <c r="D736" t="s">
        <v>35</v>
      </c>
      <c r="E736">
        <v>126021.599814</v>
      </c>
      <c r="F736">
        <v>80</v>
      </c>
      <c r="G736" t="s">
        <v>35</v>
      </c>
      <c r="H736" t="s">
        <v>15</v>
      </c>
    </row>
    <row r="737" spans="1:8" x14ac:dyDescent="0.2">
      <c r="A737" t="s">
        <v>1785</v>
      </c>
      <c r="B737" t="s">
        <v>1786</v>
      </c>
      <c r="C737" t="s">
        <v>1092</v>
      </c>
      <c r="D737" t="s">
        <v>1058</v>
      </c>
      <c r="E737">
        <v>273861</v>
      </c>
      <c r="F737">
        <v>0</v>
      </c>
      <c r="G737" t="s">
        <v>1103</v>
      </c>
      <c r="H737" t="s">
        <v>15</v>
      </c>
    </row>
    <row r="738" spans="1:8" x14ac:dyDescent="0.2">
      <c r="A738" t="s">
        <v>1785</v>
      </c>
      <c r="B738" t="s">
        <v>1099</v>
      </c>
      <c r="C738" t="s">
        <v>1100</v>
      </c>
      <c r="D738" t="s">
        <v>35</v>
      </c>
      <c r="E738">
        <v>273861</v>
      </c>
      <c r="F738">
        <v>0</v>
      </c>
      <c r="G738" t="s">
        <v>35</v>
      </c>
      <c r="H738" t="s">
        <v>15</v>
      </c>
    </row>
    <row r="739" spans="1:8" x14ac:dyDescent="0.2">
      <c r="A739" t="s">
        <v>1787</v>
      </c>
      <c r="B739" t="s">
        <v>1788</v>
      </c>
      <c r="C739" t="s">
        <v>1092</v>
      </c>
      <c r="D739" t="s">
        <v>1052</v>
      </c>
      <c r="E739">
        <v>397218.51899999997</v>
      </c>
      <c r="F739">
        <v>32</v>
      </c>
      <c r="G739" t="s">
        <v>1093</v>
      </c>
      <c r="H739" t="s">
        <v>15</v>
      </c>
    </row>
    <row r="740" spans="1:8" x14ac:dyDescent="0.2">
      <c r="A740" t="s">
        <v>1787</v>
      </c>
      <c r="B740" t="s">
        <v>1789</v>
      </c>
      <c r="C740" t="s">
        <v>1092</v>
      </c>
      <c r="D740" t="s">
        <v>1052</v>
      </c>
      <c r="E740">
        <v>408017.96799999999</v>
      </c>
      <c r="F740">
        <v>36</v>
      </c>
      <c r="G740" t="s">
        <v>1093</v>
      </c>
      <c r="H740" t="s">
        <v>15</v>
      </c>
    </row>
    <row r="741" spans="1:8" x14ac:dyDescent="0.2">
      <c r="A741" t="s">
        <v>1787</v>
      </c>
      <c r="B741" t="s">
        <v>1099</v>
      </c>
      <c r="C741" t="s">
        <v>1100</v>
      </c>
      <c r="D741" t="s">
        <v>35</v>
      </c>
      <c r="E741">
        <v>805236.48699999996</v>
      </c>
      <c r="F741">
        <v>68</v>
      </c>
      <c r="G741" t="s">
        <v>35</v>
      </c>
      <c r="H741" t="s">
        <v>15</v>
      </c>
    </row>
    <row r="742" spans="1:8" x14ac:dyDescent="0.2">
      <c r="A742" t="s">
        <v>1790</v>
      </c>
      <c r="B742" t="s">
        <v>1791</v>
      </c>
      <c r="C742" t="s">
        <v>1092</v>
      </c>
      <c r="D742" t="s">
        <v>1096</v>
      </c>
      <c r="E742">
        <v>398646.87390000001</v>
      </c>
      <c r="F742">
        <v>119</v>
      </c>
      <c r="G742" t="s">
        <v>1103</v>
      </c>
      <c r="H742" t="s">
        <v>15</v>
      </c>
    </row>
    <row r="743" spans="1:8" x14ac:dyDescent="0.2">
      <c r="A743" t="s">
        <v>1790</v>
      </c>
      <c r="B743" t="s">
        <v>1099</v>
      </c>
      <c r="C743" t="s">
        <v>1100</v>
      </c>
      <c r="D743" t="s">
        <v>35</v>
      </c>
      <c r="E743">
        <v>398646.87390000001</v>
      </c>
      <c r="F743">
        <v>119</v>
      </c>
      <c r="G743" t="s">
        <v>35</v>
      </c>
      <c r="H743" t="s">
        <v>15</v>
      </c>
    </row>
    <row r="744" spans="1:8" x14ac:dyDescent="0.2">
      <c r="A744" t="s">
        <v>141</v>
      </c>
      <c r="B744" t="s">
        <v>1792</v>
      </c>
      <c r="C744" t="s">
        <v>1092</v>
      </c>
      <c r="D744" t="s">
        <v>1126</v>
      </c>
      <c r="E744">
        <v>269563.94923899998</v>
      </c>
      <c r="F744">
        <v>149332</v>
      </c>
      <c r="G744" t="s">
        <v>1109</v>
      </c>
      <c r="H744" t="s">
        <v>15</v>
      </c>
    </row>
    <row r="745" spans="1:8" x14ac:dyDescent="0.2">
      <c r="A745" t="s">
        <v>141</v>
      </c>
      <c r="B745" t="s">
        <v>1793</v>
      </c>
      <c r="C745" t="s">
        <v>1092</v>
      </c>
      <c r="D745" t="s">
        <v>1126</v>
      </c>
      <c r="E745">
        <v>278178.56</v>
      </c>
      <c r="F745">
        <v>153359</v>
      </c>
      <c r="G745" t="s">
        <v>1109</v>
      </c>
      <c r="H745" t="s">
        <v>15</v>
      </c>
    </row>
    <row r="746" spans="1:8" x14ac:dyDescent="0.2">
      <c r="A746" t="s">
        <v>141</v>
      </c>
      <c r="B746" t="s">
        <v>1794</v>
      </c>
      <c r="C746" t="s">
        <v>1092</v>
      </c>
      <c r="D746" t="s">
        <v>1126</v>
      </c>
      <c r="E746">
        <v>246785.54</v>
      </c>
      <c r="F746">
        <v>132927</v>
      </c>
      <c r="G746" t="s">
        <v>1109</v>
      </c>
      <c r="H746" t="s">
        <v>15</v>
      </c>
    </row>
    <row r="747" spans="1:8" x14ac:dyDescent="0.2">
      <c r="A747" t="s">
        <v>141</v>
      </c>
      <c r="B747" t="s">
        <v>1795</v>
      </c>
      <c r="C747" t="s">
        <v>1092</v>
      </c>
      <c r="D747" t="s">
        <v>1126</v>
      </c>
      <c r="E747">
        <v>288476.34999999998</v>
      </c>
      <c r="F747">
        <v>160073</v>
      </c>
      <c r="G747" t="s">
        <v>1109</v>
      </c>
      <c r="H747" t="s">
        <v>15</v>
      </c>
    </row>
    <row r="748" spans="1:8" x14ac:dyDescent="0.2">
      <c r="A748" t="s">
        <v>141</v>
      </c>
      <c r="B748" t="s">
        <v>1796</v>
      </c>
      <c r="C748" t="s">
        <v>1092</v>
      </c>
      <c r="D748" t="s">
        <v>1126</v>
      </c>
      <c r="E748">
        <v>674055.86768999998</v>
      </c>
      <c r="F748">
        <v>306419</v>
      </c>
      <c r="G748" t="s">
        <v>1109</v>
      </c>
      <c r="H748" t="s">
        <v>15</v>
      </c>
    </row>
    <row r="749" spans="1:8" x14ac:dyDescent="0.2">
      <c r="A749" t="s">
        <v>141</v>
      </c>
      <c r="B749" t="s">
        <v>1099</v>
      </c>
      <c r="C749" t="s">
        <v>1100</v>
      </c>
      <c r="D749" t="s">
        <v>35</v>
      </c>
      <c r="E749">
        <v>1757060.2669289999</v>
      </c>
      <c r="F749">
        <v>902110</v>
      </c>
      <c r="G749" t="s">
        <v>35</v>
      </c>
      <c r="H749" t="s">
        <v>15</v>
      </c>
    </row>
    <row r="750" spans="1:8" x14ac:dyDescent="0.2">
      <c r="A750" t="s">
        <v>1797</v>
      </c>
      <c r="B750" t="s">
        <v>1798</v>
      </c>
      <c r="C750" t="s">
        <v>1092</v>
      </c>
      <c r="D750" t="s">
        <v>1052</v>
      </c>
      <c r="E750">
        <v>86165.928369000001</v>
      </c>
      <c r="F750">
        <v>117</v>
      </c>
      <c r="G750" t="s">
        <v>1103</v>
      </c>
      <c r="H750" t="s">
        <v>15</v>
      </c>
    </row>
    <row r="751" spans="1:8" x14ac:dyDescent="0.2">
      <c r="A751" t="s">
        <v>1797</v>
      </c>
      <c r="B751" t="s">
        <v>1799</v>
      </c>
      <c r="C751" t="s">
        <v>1092</v>
      </c>
      <c r="D751" t="s">
        <v>1052</v>
      </c>
      <c r="E751">
        <v>162226.77843000001</v>
      </c>
      <c r="F751">
        <v>73</v>
      </c>
      <c r="G751" t="s">
        <v>1103</v>
      </c>
      <c r="H751" t="s">
        <v>15</v>
      </c>
    </row>
    <row r="752" spans="1:8" x14ac:dyDescent="0.2">
      <c r="A752" t="s">
        <v>1797</v>
      </c>
      <c r="B752" t="s">
        <v>1800</v>
      </c>
      <c r="C752" t="s">
        <v>1092</v>
      </c>
      <c r="D752" t="s">
        <v>1061</v>
      </c>
      <c r="E752">
        <v>243185.71340000001</v>
      </c>
      <c r="F752">
        <v>143</v>
      </c>
      <c r="G752" t="s">
        <v>1103</v>
      </c>
      <c r="H752" t="s">
        <v>15</v>
      </c>
    </row>
    <row r="753" spans="1:8" x14ac:dyDescent="0.2">
      <c r="A753" t="s">
        <v>1797</v>
      </c>
      <c r="B753" t="s">
        <v>1099</v>
      </c>
      <c r="C753" t="s">
        <v>1100</v>
      </c>
      <c r="D753" t="s">
        <v>35</v>
      </c>
      <c r="E753">
        <v>491578.42019899999</v>
      </c>
      <c r="F753">
        <v>333</v>
      </c>
      <c r="G753" t="s">
        <v>35</v>
      </c>
      <c r="H753" t="s">
        <v>15</v>
      </c>
    </row>
    <row r="754" spans="1:8" x14ac:dyDescent="0.2">
      <c r="A754" t="s">
        <v>1801</v>
      </c>
      <c r="B754" t="s">
        <v>1802</v>
      </c>
      <c r="C754" t="s">
        <v>1092</v>
      </c>
      <c r="D754" t="s">
        <v>1061</v>
      </c>
      <c r="E754">
        <v>48340.764999999999</v>
      </c>
      <c r="F754">
        <v>1681</v>
      </c>
      <c r="G754" t="s">
        <v>1803</v>
      </c>
      <c r="H754" t="s">
        <v>15</v>
      </c>
    </row>
    <row r="755" spans="1:8" x14ac:dyDescent="0.2">
      <c r="A755" t="s">
        <v>1801</v>
      </c>
      <c r="B755" t="s">
        <v>1099</v>
      </c>
      <c r="C755" t="s">
        <v>1100</v>
      </c>
      <c r="D755" t="s">
        <v>35</v>
      </c>
      <c r="E755">
        <v>48340.764999999999</v>
      </c>
      <c r="F755">
        <v>1681</v>
      </c>
      <c r="G755" t="s">
        <v>35</v>
      </c>
      <c r="H755" t="s">
        <v>15</v>
      </c>
    </row>
    <row r="756" spans="1:8" x14ac:dyDescent="0.2">
      <c r="A756" t="s">
        <v>511</v>
      </c>
      <c r="B756" t="s">
        <v>1804</v>
      </c>
      <c r="C756" t="s">
        <v>1092</v>
      </c>
      <c r="D756" t="s">
        <v>1126</v>
      </c>
      <c r="E756">
        <v>2630.5169999999998</v>
      </c>
      <c r="F756">
        <v>1841</v>
      </c>
      <c r="G756" t="s">
        <v>1236</v>
      </c>
      <c r="H756" t="s">
        <v>15</v>
      </c>
    </row>
    <row r="757" spans="1:8" x14ac:dyDescent="0.2">
      <c r="A757" t="s">
        <v>511</v>
      </c>
      <c r="B757" t="s">
        <v>1805</v>
      </c>
      <c r="C757" t="s">
        <v>1092</v>
      </c>
      <c r="D757" t="s">
        <v>1126</v>
      </c>
      <c r="E757">
        <v>2877.04</v>
      </c>
      <c r="F757">
        <v>2209</v>
      </c>
      <c r="G757" t="s">
        <v>1236</v>
      </c>
      <c r="H757" t="s">
        <v>15</v>
      </c>
    </row>
    <row r="758" spans="1:8" x14ac:dyDescent="0.2">
      <c r="A758" t="s">
        <v>511</v>
      </c>
      <c r="B758" t="s">
        <v>1099</v>
      </c>
      <c r="C758" t="s">
        <v>1100</v>
      </c>
      <c r="D758" t="s">
        <v>35</v>
      </c>
      <c r="E758">
        <v>5507.5569999999998</v>
      </c>
      <c r="F758">
        <v>4050</v>
      </c>
      <c r="G758" t="s">
        <v>35</v>
      </c>
      <c r="H758" t="s">
        <v>15</v>
      </c>
    </row>
    <row r="759" spans="1:8" x14ac:dyDescent="0.2">
      <c r="A759" t="s">
        <v>105</v>
      </c>
      <c r="B759" t="s">
        <v>1806</v>
      </c>
      <c r="C759" t="s">
        <v>1092</v>
      </c>
      <c r="D759" t="s">
        <v>1061</v>
      </c>
      <c r="E759">
        <v>9242.5507400000006</v>
      </c>
      <c r="F759">
        <v>0</v>
      </c>
      <c r="G759" t="s">
        <v>1103</v>
      </c>
      <c r="H759" t="s">
        <v>15</v>
      </c>
    </row>
    <row r="760" spans="1:8" x14ac:dyDescent="0.2">
      <c r="A760" t="s">
        <v>105</v>
      </c>
      <c r="B760" t="s">
        <v>1099</v>
      </c>
      <c r="C760" t="s">
        <v>1100</v>
      </c>
      <c r="D760" t="s">
        <v>35</v>
      </c>
      <c r="E760">
        <v>9242.5507400000006</v>
      </c>
      <c r="F760">
        <v>0</v>
      </c>
      <c r="G760" t="s">
        <v>35</v>
      </c>
      <c r="H760" t="s">
        <v>15</v>
      </c>
    </row>
    <row r="761" spans="1:8" x14ac:dyDescent="0.2">
      <c r="A761" t="s">
        <v>1807</v>
      </c>
      <c r="B761" t="s">
        <v>1808</v>
      </c>
      <c r="C761" t="s">
        <v>1092</v>
      </c>
      <c r="D761" t="s">
        <v>1058</v>
      </c>
      <c r="E761">
        <v>189583.04199999999</v>
      </c>
      <c r="F761">
        <v>9</v>
      </c>
      <c r="G761" t="s">
        <v>1103</v>
      </c>
      <c r="H761" t="s">
        <v>15</v>
      </c>
    </row>
    <row r="762" spans="1:8" x14ac:dyDescent="0.2">
      <c r="A762" t="s">
        <v>1807</v>
      </c>
      <c r="B762" t="s">
        <v>1099</v>
      </c>
      <c r="C762" t="s">
        <v>1100</v>
      </c>
      <c r="D762" t="s">
        <v>35</v>
      </c>
      <c r="E762">
        <v>189583.04199999999</v>
      </c>
      <c r="F762">
        <v>9</v>
      </c>
      <c r="G762" t="s">
        <v>35</v>
      </c>
      <c r="H762" t="s">
        <v>15</v>
      </c>
    </row>
    <row r="763" spans="1:8" x14ac:dyDescent="0.2">
      <c r="A763" t="s">
        <v>1809</v>
      </c>
      <c r="B763" t="s">
        <v>1810</v>
      </c>
      <c r="C763" t="s">
        <v>1092</v>
      </c>
      <c r="D763" t="s">
        <v>1058</v>
      </c>
      <c r="E763">
        <v>37403.25935</v>
      </c>
      <c r="F763">
        <v>0</v>
      </c>
      <c r="G763" t="s">
        <v>1103</v>
      </c>
      <c r="H763" t="s">
        <v>15</v>
      </c>
    </row>
    <row r="764" spans="1:8" x14ac:dyDescent="0.2">
      <c r="A764" t="s">
        <v>1809</v>
      </c>
      <c r="B764" t="s">
        <v>1099</v>
      </c>
      <c r="C764" t="s">
        <v>1100</v>
      </c>
      <c r="D764" t="s">
        <v>35</v>
      </c>
      <c r="E764">
        <v>37403.25935</v>
      </c>
      <c r="F764">
        <v>0</v>
      </c>
      <c r="G764" t="s">
        <v>35</v>
      </c>
      <c r="H764" t="s">
        <v>15</v>
      </c>
    </row>
    <row r="765" spans="1:8" x14ac:dyDescent="0.2">
      <c r="A765" t="s">
        <v>1811</v>
      </c>
      <c r="B765" t="s">
        <v>1812</v>
      </c>
      <c r="C765" t="s">
        <v>1092</v>
      </c>
      <c r="D765" t="s">
        <v>1064</v>
      </c>
      <c r="E765">
        <v>456456.07829999999</v>
      </c>
      <c r="F765">
        <v>99</v>
      </c>
      <c r="G765" t="s">
        <v>1093</v>
      </c>
      <c r="H765" t="s">
        <v>15</v>
      </c>
    </row>
    <row r="766" spans="1:8" x14ac:dyDescent="0.2">
      <c r="A766" t="s">
        <v>1811</v>
      </c>
      <c r="B766" t="s">
        <v>1099</v>
      </c>
      <c r="C766" t="s">
        <v>1100</v>
      </c>
      <c r="D766" t="s">
        <v>35</v>
      </c>
      <c r="E766">
        <v>456456.07829999999</v>
      </c>
      <c r="F766">
        <v>99</v>
      </c>
      <c r="G766" t="s">
        <v>35</v>
      </c>
      <c r="H766" t="s">
        <v>15</v>
      </c>
    </row>
    <row r="767" spans="1:8" x14ac:dyDescent="0.2">
      <c r="A767" t="s">
        <v>1813</v>
      </c>
      <c r="B767" t="s">
        <v>1814</v>
      </c>
      <c r="C767" t="s">
        <v>1092</v>
      </c>
      <c r="D767" t="s">
        <v>1052</v>
      </c>
      <c r="E767">
        <v>302937.69725999999</v>
      </c>
      <c r="F767">
        <v>70</v>
      </c>
      <c r="G767" t="s">
        <v>1093</v>
      </c>
      <c r="H767" t="s">
        <v>15</v>
      </c>
    </row>
    <row r="768" spans="1:8" x14ac:dyDescent="0.2">
      <c r="A768" t="s">
        <v>1813</v>
      </c>
      <c r="B768" t="s">
        <v>1099</v>
      </c>
      <c r="C768" t="s">
        <v>1100</v>
      </c>
      <c r="D768" t="s">
        <v>35</v>
      </c>
      <c r="E768">
        <v>302937.69725999999</v>
      </c>
      <c r="F768">
        <v>70</v>
      </c>
      <c r="G768" t="s">
        <v>35</v>
      </c>
      <c r="H768" t="s">
        <v>15</v>
      </c>
    </row>
    <row r="769" spans="1:8" x14ac:dyDescent="0.2">
      <c r="A769" t="s">
        <v>1815</v>
      </c>
      <c r="B769" t="s">
        <v>1816</v>
      </c>
      <c r="C769" t="s">
        <v>1092</v>
      </c>
      <c r="D769" t="s">
        <v>1096</v>
      </c>
      <c r="E769">
        <v>147965.959</v>
      </c>
      <c r="F769">
        <v>33</v>
      </c>
      <c r="G769" t="s">
        <v>1103</v>
      </c>
      <c r="H769" t="s">
        <v>15</v>
      </c>
    </row>
    <row r="770" spans="1:8" x14ac:dyDescent="0.2">
      <c r="A770" t="s">
        <v>1815</v>
      </c>
      <c r="B770" t="s">
        <v>1099</v>
      </c>
      <c r="C770" t="s">
        <v>1100</v>
      </c>
      <c r="D770" t="s">
        <v>35</v>
      </c>
      <c r="E770">
        <v>147965.959</v>
      </c>
      <c r="F770">
        <v>33</v>
      </c>
      <c r="G770" t="s">
        <v>35</v>
      </c>
      <c r="H770" t="s">
        <v>15</v>
      </c>
    </row>
    <row r="771" spans="1:8" x14ac:dyDescent="0.2">
      <c r="A771" t="s">
        <v>1817</v>
      </c>
      <c r="B771" t="s">
        <v>1818</v>
      </c>
      <c r="C771" t="s">
        <v>1092</v>
      </c>
      <c r="D771" t="s">
        <v>1096</v>
      </c>
      <c r="E771">
        <v>212912.356</v>
      </c>
      <c r="F771">
        <v>60</v>
      </c>
      <c r="G771" t="s">
        <v>1103</v>
      </c>
      <c r="H771" t="s">
        <v>15</v>
      </c>
    </row>
    <row r="772" spans="1:8" x14ac:dyDescent="0.2">
      <c r="A772" t="s">
        <v>1817</v>
      </c>
      <c r="B772" t="s">
        <v>1099</v>
      </c>
      <c r="C772" t="s">
        <v>1100</v>
      </c>
      <c r="D772" t="s">
        <v>35</v>
      </c>
      <c r="E772">
        <v>212912.356</v>
      </c>
      <c r="F772">
        <v>60</v>
      </c>
      <c r="G772" t="s">
        <v>35</v>
      </c>
      <c r="H772" t="s">
        <v>15</v>
      </c>
    </row>
    <row r="773" spans="1:8" x14ac:dyDescent="0.2">
      <c r="A773" t="s">
        <v>1819</v>
      </c>
      <c r="B773" t="s">
        <v>1820</v>
      </c>
      <c r="C773" t="s">
        <v>1092</v>
      </c>
      <c r="D773" t="s">
        <v>1061</v>
      </c>
      <c r="E773">
        <v>329372.50199999998</v>
      </c>
      <c r="F773">
        <v>59</v>
      </c>
      <c r="G773" t="s">
        <v>1103</v>
      </c>
      <c r="H773" t="s">
        <v>15</v>
      </c>
    </row>
    <row r="774" spans="1:8" x14ac:dyDescent="0.2">
      <c r="A774" t="s">
        <v>1819</v>
      </c>
      <c r="B774" t="s">
        <v>1099</v>
      </c>
      <c r="C774" t="s">
        <v>1100</v>
      </c>
      <c r="D774" t="s">
        <v>35</v>
      </c>
      <c r="E774">
        <v>329372.50199999998</v>
      </c>
      <c r="F774">
        <v>59</v>
      </c>
      <c r="G774" t="s">
        <v>35</v>
      </c>
      <c r="H774" t="s">
        <v>15</v>
      </c>
    </row>
    <row r="775" spans="1:8" x14ac:dyDescent="0.2">
      <c r="A775" t="s">
        <v>1821</v>
      </c>
      <c r="B775" t="s">
        <v>1822</v>
      </c>
      <c r="C775" t="s">
        <v>1092</v>
      </c>
      <c r="D775" t="s">
        <v>1096</v>
      </c>
      <c r="E775">
        <v>128062.406</v>
      </c>
      <c r="F775">
        <v>0</v>
      </c>
      <c r="G775" t="s">
        <v>1103</v>
      </c>
      <c r="H775" t="s">
        <v>15</v>
      </c>
    </row>
    <row r="776" spans="1:8" x14ac:dyDescent="0.2">
      <c r="A776" t="s">
        <v>1821</v>
      </c>
      <c r="B776" t="s">
        <v>1099</v>
      </c>
      <c r="C776" t="s">
        <v>1100</v>
      </c>
      <c r="D776" t="s">
        <v>35</v>
      </c>
      <c r="E776">
        <v>128062.406</v>
      </c>
      <c r="F776">
        <v>0</v>
      </c>
      <c r="G776" t="s">
        <v>35</v>
      </c>
      <c r="H776" t="s">
        <v>15</v>
      </c>
    </row>
    <row r="777" spans="1:8" x14ac:dyDescent="0.2">
      <c r="A777" t="s">
        <v>1823</v>
      </c>
      <c r="B777" t="s">
        <v>1824</v>
      </c>
      <c r="C777" t="s">
        <v>1092</v>
      </c>
      <c r="D777" t="s">
        <v>1061</v>
      </c>
      <c r="E777">
        <v>30416.509239999999</v>
      </c>
      <c r="F777">
        <v>2980</v>
      </c>
      <c r="G777" t="s">
        <v>1103</v>
      </c>
      <c r="H777" t="s">
        <v>18</v>
      </c>
    </row>
    <row r="778" spans="1:8" x14ac:dyDescent="0.2">
      <c r="A778" t="s">
        <v>1823</v>
      </c>
      <c r="B778" t="s">
        <v>1825</v>
      </c>
      <c r="C778" t="s">
        <v>1092</v>
      </c>
      <c r="D778" t="s">
        <v>1052</v>
      </c>
      <c r="E778">
        <v>153569.51517299999</v>
      </c>
      <c r="F778">
        <v>49</v>
      </c>
      <c r="G778" t="s">
        <v>1093</v>
      </c>
      <c r="H778" t="s">
        <v>18</v>
      </c>
    </row>
    <row r="779" spans="1:8" x14ac:dyDescent="0.2">
      <c r="A779" t="s">
        <v>1823</v>
      </c>
      <c r="B779" t="s">
        <v>1826</v>
      </c>
      <c r="C779" t="s">
        <v>1092</v>
      </c>
      <c r="D779" t="s">
        <v>1058</v>
      </c>
      <c r="E779">
        <v>153846.22560000001</v>
      </c>
      <c r="F779">
        <v>50</v>
      </c>
      <c r="G779" t="s">
        <v>1093</v>
      </c>
      <c r="H779" t="s">
        <v>18</v>
      </c>
    </row>
    <row r="780" spans="1:8" x14ac:dyDescent="0.2">
      <c r="A780" t="s">
        <v>1823</v>
      </c>
      <c r="B780" t="s">
        <v>1827</v>
      </c>
      <c r="C780" t="s">
        <v>1092</v>
      </c>
      <c r="D780" t="s">
        <v>1061</v>
      </c>
      <c r="E780">
        <v>269019.42479999998</v>
      </c>
      <c r="F780">
        <v>4039</v>
      </c>
      <c r="G780" t="s">
        <v>1093</v>
      </c>
      <c r="H780" t="s">
        <v>18</v>
      </c>
    </row>
    <row r="781" spans="1:8" x14ac:dyDescent="0.2">
      <c r="A781" t="s">
        <v>1823</v>
      </c>
      <c r="B781" t="s">
        <v>1095</v>
      </c>
      <c r="C781" t="s">
        <v>1092</v>
      </c>
      <c r="D781" t="s">
        <v>1096</v>
      </c>
      <c r="E781">
        <v>413950.28460000001</v>
      </c>
      <c r="F781">
        <v>181</v>
      </c>
      <c r="G781" t="s">
        <v>1093</v>
      </c>
      <c r="H781" t="s">
        <v>18</v>
      </c>
    </row>
    <row r="782" spans="1:8" x14ac:dyDescent="0.2">
      <c r="A782" t="s">
        <v>1823</v>
      </c>
      <c r="B782" t="s">
        <v>1828</v>
      </c>
      <c r="C782" t="s">
        <v>1092</v>
      </c>
      <c r="D782" t="s">
        <v>1096</v>
      </c>
      <c r="E782">
        <v>315983.65000000002</v>
      </c>
      <c r="F782">
        <v>84</v>
      </c>
      <c r="G782" t="s">
        <v>1093</v>
      </c>
      <c r="H782" t="s">
        <v>18</v>
      </c>
    </row>
    <row r="783" spans="1:8" x14ac:dyDescent="0.2">
      <c r="A783" t="s">
        <v>1823</v>
      </c>
      <c r="B783" t="s">
        <v>1829</v>
      </c>
      <c r="C783" t="s">
        <v>1092</v>
      </c>
      <c r="D783" t="s">
        <v>1096</v>
      </c>
      <c r="E783">
        <v>606773.43130000005</v>
      </c>
      <c r="F783">
        <v>177</v>
      </c>
      <c r="G783" t="s">
        <v>1093</v>
      </c>
      <c r="H783" t="s">
        <v>18</v>
      </c>
    </row>
    <row r="784" spans="1:8" x14ac:dyDescent="0.2">
      <c r="A784" t="s">
        <v>1823</v>
      </c>
      <c r="B784" t="s">
        <v>1099</v>
      </c>
      <c r="C784" t="s">
        <v>1100</v>
      </c>
      <c r="D784" t="s">
        <v>35</v>
      </c>
      <c r="E784">
        <v>1943559.0407130001</v>
      </c>
      <c r="F784">
        <v>7560</v>
      </c>
      <c r="G784" t="s">
        <v>35</v>
      </c>
      <c r="H784" t="s">
        <v>18</v>
      </c>
    </row>
    <row r="785" spans="1:8" x14ac:dyDescent="0.2">
      <c r="A785" t="s">
        <v>1101</v>
      </c>
      <c r="B785" t="s">
        <v>1830</v>
      </c>
      <c r="C785" t="s">
        <v>1092</v>
      </c>
      <c r="D785" t="s">
        <v>1058</v>
      </c>
      <c r="E785">
        <v>744983.46586999996</v>
      </c>
      <c r="F785">
        <v>213</v>
      </c>
      <c r="G785" t="s">
        <v>1103</v>
      </c>
      <c r="H785" t="s">
        <v>18</v>
      </c>
    </row>
    <row r="786" spans="1:8" x14ac:dyDescent="0.2">
      <c r="A786" t="s">
        <v>1101</v>
      </c>
      <c r="B786" t="s">
        <v>1831</v>
      </c>
      <c r="C786" t="s">
        <v>1092</v>
      </c>
      <c r="D786" t="s">
        <v>1058</v>
      </c>
      <c r="E786">
        <v>167378.7304</v>
      </c>
      <c r="F786">
        <v>0</v>
      </c>
      <c r="G786" t="s">
        <v>1103</v>
      </c>
      <c r="H786" t="s">
        <v>18</v>
      </c>
    </row>
    <row r="787" spans="1:8" x14ac:dyDescent="0.2">
      <c r="A787" t="s">
        <v>1101</v>
      </c>
      <c r="B787" t="s">
        <v>1099</v>
      </c>
      <c r="C787" t="s">
        <v>1100</v>
      </c>
      <c r="D787" t="s">
        <v>35</v>
      </c>
      <c r="E787">
        <v>912362.19626999996</v>
      </c>
      <c r="F787">
        <v>213</v>
      </c>
      <c r="G787" t="s">
        <v>35</v>
      </c>
      <c r="H787" t="s">
        <v>18</v>
      </c>
    </row>
    <row r="788" spans="1:8" x14ac:dyDescent="0.2">
      <c r="A788" t="s">
        <v>1104</v>
      </c>
      <c r="B788" t="s">
        <v>1105</v>
      </c>
      <c r="C788" t="s">
        <v>1092</v>
      </c>
      <c r="D788" t="s">
        <v>1061</v>
      </c>
      <c r="E788">
        <v>146811.62</v>
      </c>
      <c r="F788">
        <v>0</v>
      </c>
      <c r="G788" t="s">
        <v>1103</v>
      </c>
      <c r="H788" t="s">
        <v>18</v>
      </c>
    </row>
    <row r="789" spans="1:8" x14ac:dyDescent="0.2">
      <c r="A789" t="s">
        <v>1104</v>
      </c>
      <c r="B789" t="s">
        <v>1099</v>
      </c>
      <c r="C789" t="s">
        <v>1100</v>
      </c>
      <c r="D789" t="s">
        <v>35</v>
      </c>
      <c r="E789">
        <v>146811.62</v>
      </c>
      <c r="F789">
        <v>0</v>
      </c>
      <c r="G789" t="s">
        <v>35</v>
      </c>
      <c r="H789" t="s">
        <v>18</v>
      </c>
    </row>
    <row r="790" spans="1:8" x14ac:dyDescent="0.2">
      <c r="A790" t="s">
        <v>33</v>
      </c>
      <c r="B790" t="s">
        <v>1106</v>
      </c>
      <c r="C790" t="s">
        <v>1092</v>
      </c>
      <c r="D790" t="s">
        <v>1096</v>
      </c>
      <c r="E790">
        <v>36309.148580000001</v>
      </c>
      <c r="F790">
        <v>16</v>
      </c>
      <c r="G790" t="s">
        <v>1107</v>
      </c>
      <c r="H790" t="s">
        <v>18</v>
      </c>
    </row>
    <row r="791" spans="1:8" x14ac:dyDescent="0.2">
      <c r="A791" t="s">
        <v>33</v>
      </c>
      <c r="B791" t="s">
        <v>1108</v>
      </c>
      <c r="C791" t="s">
        <v>1092</v>
      </c>
      <c r="D791" t="s">
        <v>1052</v>
      </c>
      <c r="E791">
        <v>389496.561636</v>
      </c>
      <c r="F791">
        <v>229921</v>
      </c>
      <c r="G791" t="s">
        <v>1109</v>
      </c>
      <c r="H791" t="s">
        <v>18</v>
      </c>
    </row>
    <row r="792" spans="1:8" x14ac:dyDescent="0.2">
      <c r="A792" t="s">
        <v>33</v>
      </c>
      <c r="B792" t="s">
        <v>1110</v>
      </c>
      <c r="C792" t="s">
        <v>1092</v>
      </c>
      <c r="D792" t="s">
        <v>1058</v>
      </c>
      <c r="E792">
        <v>15239440</v>
      </c>
      <c r="F792">
        <v>13289625</v>
      </c>
      <c r="G792" t="s">
        <v>1111</v>
      </c>
      <c r="H792" t="s">
        <v>18</v>
      </c>
    </row>
    <row r="793" spans="1:8" x14ac:dyDescent="0.2">
      <c r="A793" t="s">
        <v>33</v>
      </c>
      <c r="B793" t="s">
        <v>1112</v>
      </c>
      <c r="C793" t="s">
        <v>1092</v>
      </c>
      <c r="D793" t="s">
        <v>1096</v>
      </c>
      <c r="E793">
        <v>65399.643303999997</v>
      </c>
      <c r="F793">
        <v>82</v>
      </c>
      <c r="G793" t="s">
        <v>1107</v>
      </c>
      <c r="H793" t="s">
        <v>18</v>
      </c>
    </row>
    <row r="794" spans="1:8" x14ac:dyDescent="0.2">
      <c r="A794" t="s">
        <v>33</v>
      </c>
      <c r="B794" t="s">
        <v>1832</v>
      </c>
      <c r="C794" t="s">
        <v>1092</v>
      </c>
      <c r="D794" t="s">
        <v>1058</v>
      </c>
      <c r="E794">
        <v>0</v>
      </c>
      <c r="F794">
        <v>1</v>
      </c>
      <c r="G794" t="s">
        <v>1191</v>
      </c>
      <c r="H794" t="s">
        <v>18</v>
      </c>
    </row>
    <row r="795" spans="1:8" x14ac:dyDescent="0.2">
      <c r="A795" t="s">
        <v>33</v>
      </c>
      <c r="B795" t="s">
        <v>1113</v>
      </c>
      <c r="C795" t="s">
        <v>1092</v>
      </c>
      <c r="D795" t="s">
        <v>1058</v>
      </c>
      <c r="E795">
        <v>91376.5</v>
      </c>
      <c r="F795">
        <v>88</v>
      </c>
      <c r="G795" t="s">
        <v>1103</v>
      </c>
      <c r="H795" t="s">
        <v>18</v>
      </c>
    </row>
    <row r="796" spans="1:8" x14ac:dyDescent="0.2">
      <c r="A796" t="s">
        <v>33</v>
      </c>
      <c r="B796" t="s">
        <v>1114</v>
      </c>
      <c r="C796" t="s">
        <v>1092</v>
      </c>
      <c r="D796" t="s">
        <v>1058</v>
      </c>
      <c r="E796">
        <v>32305.175853999997</v>
      </c>
      <c r="F796">
        <v>1</v>
      </c>
      <c r="G796" t="s">
        <v>1107</v>
      </c>
      <c r="H796" t="s">
        <v>18</v>
      </c>
    </row>
    <row r="797" spans="1:8" x14ac:dyDescent="0.2">
      <c r="A797" t="s">
        <v>33</v>
      </c>
      <c r="B797" t="s">
        <v>1115</v>
      </c>
      <c r="C797" t="s">
        <v>1092</v>
      </c>
      <c r="D797" t="s">
        <v>1096</v>
      </c>
      <c r="E797">
        <v>13468.491853</v>
      </c>
      <c r="F797">
        <v>2</v>
      </c>
      <c r="G797" t="s">
        <v>1107</v>
      </c>
      <c r="H797" t="s">
        <v>18</v>
      </c>
    </row>
    <row r="798" spans="1:8" x14ac:dyDescent="0.2">
      <c r="A798" t="s">
        <v>33</v>
      </c>
      <c r="B798" t="s">
        <v>1116</v>
      </c>
      <c r="C798" t="s">
        <v>1092</v>
      </c>
      <c r="D798" t="s">
        <v>1061</v>
      </c>
      <c r="E798">
        <v>1313382.964902</v>
      </c>
      <c r="F798">
        <v>151</v>
      </c>
      <c r="G798" t="s">
        <v>1093</v>
      </c>
      <c r="H798" t="s">
        <v>18</v>
      </c>
    </row>
    <row r="799" spans="1:8" x14ac:dyDescent="0.2">
      <c r="A799" t="s">
        <v>33</v>
      </c>
      <c r="B799" t="s">
        <v>1117</v>
      </c>
      <c r="C799" t="s">
        <v>1092</v>
      </c>
      <c r="D799" t="s">
        <v>1058</v>
      </c>
      <c r="E799">
        <v>37726.026641999997</v>
      </c>
      <c r="F799">
        <v>1</v>
      </c>
      <c r="G799" t="s">
        <v>1107</v>
      </c>
      <c r="H799" t="s">
        <v>18</v>
      </c>
    </row>
    <row r="800" spans="1:8" x14ac:dyDescent="0.2">
      <c r="A800" t="s">
        <v>33</v>
      </c>
      <c r="B800" t="s">
        <v>1118</v>
      </c>
      <c r="C800" t="s">
        <v>1092</v>
      </c>
      <c r="D800" t="s">
        <v>1096</v>
      </c>
      <c r="E800">
        <v>502292.90411600005</v>
      </c>
      <c r="F800">
        <v>0</v>
      </c>
      <c r="G800" t="s">
        <v>1107</v>
      </c>
      <c r="H800" t="s">
        <v>18</v>
      </c>
    </row>
    <row r="801" spans="1:8" x14ac:dyDescent="0.2">
      <c r="A801" t="s">
        <v>33</v>
      </c>
      <c r="B801" t="s">
        <v>1119</v>
      </c>
      <c r="C801" t="s">
        <v>1092</v>
      </c>
      <c r="D801" t="s">
        <v>1096</v>
      </c>
      <c r="E801">
        <v>210591.145464</v>
      </c>
      <c r="F801">
        <v>0</v>
      </c>
      <c r="G801" t="s">
        <v>1107</v>
      </c>
      <c r="H801" t="s">
        <v>18</v>
      </c>
    </row>
    <row r="802" spans="1:8" x14ac:dyDescent="0.2">
      <c r="A802" t="s">
        <v>33</v>
      </c>
      <c r="B802" t="s">
        <v>1120</v>
      </c>
      <c r="C802" t="s">
        <v>1092</v>
      </c>
      <c r="D802" t="s">
        <v>1058</v>
      </c>
      <c r="E802">
        <v>0</v>
      </c>
      <c r="F802">
        <v>0</v>
      </c>
      <c r="G802" t="s">
        <v>1107</v>
      </c>
      <c r="H802" t="s">
        <v>18</v>
      </c>
    </row>
    <row r="803" spans="1:8" x14ac:dyDescent="0.2">
      <c r="A803" t="s">
        <v>33</v>
      </c>
      <c r="B803" t="s">
        <v>1121</v>
      </c>
      <c r="C803" t="s">
        <v>1092</v>
      </c>
      <c r="D803" t="s">
        <v>1052</v>
      </c>
      <c r="E803">
        <v>262152.00000100001</v>
      </c>
      <c r="F803">
        <v>246</v>
      </c>
      <c r="G803" t="s">
        <v>1093</v>
      </c>
      <c r="H803" t="s">
        <v>18</v>
      </c>
    </row>
    <row r="804" spans="1:8" x14ac:dyDescent="0.2">
      <c r="A804" t="s">
        <v>33</v>
      </c>
      <c r="B804" t="s">
        <v>1122</v>
      </c>
      <c r="C804" t="s">
        <v>1092</v>
      </c>
      <c r="D804" t="s">
        <v>1052</v>
      </c>
      <c r="E804">
        <v>190862.04188999999</v>
      </c>
      <c r="F804">
        <v>38</v>
      </c>
      <c r="G804" t="s">
        <v>1093</v>
      </c>
      <c r="H804" t="s">
        <v>18</v>
      </c>
    </row>
    <row r="805" spans="1:8" x14ac:dyDescent="0.2">
      <c r="A805" t="s">
        <v>33</v>
      </c>
      <c r="B805" t="s">
        <v>1123</v>
      </c>
      <c r="C805" t="s">
        <v>1092</v>
      </c>
      <c r="D805" t="s">
        <v>1052</v>
      </c>
      <c r="E805">
        <v>341314</v>
      </c>
      <c r="F805">
        <v>103</v>
      </c>
      <c r="G805" t="s">
        <v>1093</v>
      </c>
      <c r="H805" t="s">
        <v>18</v>
      </c>
    </row>
    <row r="806" spans="1:8" x14ac:dyDescent="0.2">
      <c r="A806" t="s">
        <v>33</v>
      </c>
      <c r="B806" t="s">
        <v>1124</v>
      </c>
      <c r="C806" t="s">
        <v>1092</v>
      </c>
      <c r="D806" t="s">
        <v>1052</v>
      </c>
      <c r="E806">
        <v>100107.967642</v>
      </c>
      <c r="F806">
        <v>56</v>
      </c>
      <c r="G806" t="s">
        <v>1093</v>
      </c>
      <c r="H806" t="s">
        <v>18</v>
      </c>
    </row>
    <row r="807" spans="1:8" x14ac:dyDescent="0.2">
      <c r="A807" t="s">
        <v>33</v>
      </c>
      <c r="B807" t="s">
        <v>1125</v>
      </c>
      <c r="C807" t="s">
        <v>1092</v>
      </c>
      <c r="D807" t="s">
        <v>1126</v>
      </c>
      <c r="E807">
        <v>111484.014845</v>
      </c>
      <c r="F807">
        <v>84635</v>
      </c>
      <c r="G807" t="s">
        <v>1109</v>
      </c>
      <c r="H807" t="s">
        <v>18</v>
      </c>
    </row>
    <row r="808" spans="1:8" x14ac:dyDescent="0.2">
      <c r="A808" t="s">
        <v>33</v>
      </c>
      <c r="B808" t="s">
        <v>1127</v>
      </c>
      <c r="C808" t="s">
        <v>1092</v>
      </c>
      <c r="D808" t="s">
        <v>1096</v>
      </c>
      <c r="E808">
        <v>13692384.381964</v>
      </c>
      <c r="F808">
        <v>16180757</v>
      </c>
      <c r="G808" t="s">
        <v>1128</v>
      </c>
      <c r="H808" t="s">
        <v>18</v>
      </c>
    </row>
    <row r="809" spans="1:8" x14ac:dyDescent="0.2">
      <c r="A809" t="s">
        <v>33</v>
      </c>
      <c r="B809" t="s">
        <v>1129</v>
      </c>
      <c r="C809" t="s">
        <v>1092</v>
      </c>
      <c r="D809" t="s">
        <v>1096</v>
      </c>
      <c r="E809">
        <v>582830</v>
      </c>
      <c r="F809">
        <v>1704</v>
      </c>
      <c r="G809" t="s">
        <v>1093</v>
      </c>
      <c r="H809" t="s">
        <v>18</v>
      </c>
    </row>
    <row r="810" spans="1:8" x14ac:dyDescent="0.2">
      <c r="A810" t="s">
        <v>33</v>
      </c>
      <c r="B810" t="s">
        <v>1130</v>
      </c>
      <c r="C810" t="s">
        <v>1092</v>
      </c>
      <c r="D810" t="s">
        <v>1096</v>
      </c>
      <c r="E810">
        <v>85274.035849000007</v>
      </c>
      <c r="F810">
        <v>0</v>
      </c>
      <c r="G810" t="s">
        <v>1107</v>
      </c>
      <c r="H810" t="s">
        <v>18</v>
      </c>
    </row>
    <row r="811" spans="1:8" x14ac:dyDescent="0.2">
      <c r="A811" t="s">
        <v>33</v>
      </c>
      <c r="B811" t="s">
        <v>1131</v>
      </c>
      <c r="C811" t="s">
        <v>1092</v>
      </c>
      <c r="D811" t="s">
        <v>1058</v>
      </c>
      <c r="E811">
        <v>212864.69999999998</v>
      </c>
      <c r="F811">
        <v>157</v>
      </c>
      <c r="G811" t="s">
        <v>1103</v>
      </c>
      <c r="H811" t="s">
        <v>18</v>
      </c>
    </row>
    <row r="812" spans="1:8" x14ac:dyDescent="0.2">
      <c r="A812" t="s">
        <v>33</v>
      </c>
      <c r="B812" t="s">
        <v>1132</v>
      </c>
      <c r="C812" t="s">
        <v>1092</v>
      </c>
      <c r="D812" t="s">
        <v>1096</v>
      </c>
      <c r="E812">
        <v>157848</v>
      </c>
      <c r="F812">
        <v>239</v>
      </c>
      <c r="G812" t="s">
        <v>1093</v>
      </c>
      <c r="H812" t="s">
        <v>18</v>
      </c>
    </row>
    <row r="813" spans="1:8" x14ac:dyDescent="0.2">
      <c r="A813" t="s">
        <v>33</v>
      </c>
      <c r="B813" t="s">
        <v>1133</v>
      </c>
      <c r="C813" t="s">
        <v>1092</v>
      </c>
      <c r="D813" t="s">
        <v>1058</v>
      </c>
      <c r="E813">
        <v>2111.7443749999998</v>
      </c>
      <c r="F813">
        <v>0</v>
      </c>
      <c r="G813" t="s">
        <v>1107</v>
      </c>
      <c r="H813" t="s">
        <v>18</v>
      </c>
    </row>
    <row r="814" spans="1:8" x14ac:dyDescent="0.2">
      <c r="A814" t="s">
        <v>33</v>
      </c>
      <c r="B814" t="s">
        <v>1134</v>
      </c>
      <c r="C814" t="s">
        <v>1092</v>
      </c>
      <c r="D814" t="s">
        <v>1096</v>
      </c>
      <c r="E814">
        <v>4126.4856170000003</v>
      </c>
      <c r="F814">
        <v>0</v>
      </c>
      <c r="G814" t="s">
        <v>1107</v>
      </c>
      <c r="H814" t="s">
        <v>18</v>
      </c>
    </row>
    <row r="815" spans="1:8" x14ac:dyDescent="0.2">
      <c r="A815" t="s">
        <v>33</v>
      </c>
      <c r="B815" t="s">
        <v>1135</v>
      </c>
      <c r="C815" t="s">
        <v>1092</v>
      </c>
      <c r="D815" t="s">
        <v>1058</v>
      </c>
      <c r="E815">
        <v>542730</v>
      </c>
      <c r="F815">
        <v>91</v>
      </c>
      <c r="G815" t="s">
        <v>1093</v>
      </c>
      <c r="H815" t="s">
        <v>18</v>
      </c>
    </row>
    <row r="816" spans="1:8" x14ac:dyDescent="0.2">
      <c r="A816" t="s">
        <v>33</v>
      </c>
      <c r="B816" t="s">
        <v>1136</v>
      </c>
      <c r="C816" t="s">
        <v>1092</v>
      </c>
      <c r="D816" t="s">
        <v>1096</v>
      </c>
      <c r="E816">
        <v>102448.912207</v>
      </c>
      <c r="F816">
        <v>78234</v>
      </c>
      <c r="G816" t="s">
        <v>1109</v>
      </c>
      <c r="H816" t="s">
        <v>18</v>
      </c>
    </row>
    <row r="817" spans="1:8" x14ac:dyDescent="0.2">
      <c r="A817" t="s">
        <v>33</v>
      </c>
      <c r="B817" t="s">
        <v>1833</v>
      </c>
      <c r="C817" t="s">
        <v>1092</v>
      </c>
      <c r="D817" t="s">
        <v>1052</v>
      </c>
      <c r="E817">
        <v>0</v>
      </c>
      <c r="F817">
        <v>171</v>
      </c>
      <c r="G817" t="s">
        <v>1191</v>
      </c>
      <c r="H817" t="s">
        <v>18</v>
      </c>
    </row>
    <row r="818" spans="1:8" x14ac:dyDescent="0.2">
      <c r="A818" t="s">
        <v>33</v>
      </c>
      <c r="B818" t="s">
        <v>1137</v>
      </c>
      <c r="C818" t="s">
        <v>1092</v>
      </c>
      <c r="D818" t="s">
        <v>1052</v>
      </c>
      <c r="E818">
        <v>911486.27796600002</v>
      </c>
      <c r="F818">
        <v>520406</v>
      </c>
      <c r="G818" t="s">
        <v>1109</v>
      </c>
      <c r="H818" t="s">
        <v>18</v>
      </c>
    </row>
    <row r="819" spans="1:8" x14ac:dyDescent="0.2">
      <c r="A819" t="s">
        <v>33</v>
      </c>
      <c r="B819" t="s">
        <v>1138</v>
      </c>
      <c r="C819" t="s">
        <v>1092</v>
      </c>
      <c r="D819" t="s">
        <v>1052</v>
      </c>
      <c r="E819">
        <v>208041</v>
      </c>
      <c r="F819">
        <v>76</v>
      </c>
      <c r="G819" t="s">
        <v>1093</v>
      </c>
      <c r="H819" t="s">
        <v>18</v>
      </c>
    </row>
    <row r="820" spans="1:8" x14ac:dyDescent="0.2">
      <c r="A820" t="s">
        <v>33</v>
      </c>
      <c r="B820" t="s">
        <v>1139</v>
      </c>
      <c r="C820" t="s">
        <v>1092</v>
      </c>
      <c r="D820" t="s">
        <v>1096</v>
      </c>
      <c r="E820">
        <v>133251.259058</v>
      </c>
      <c r="F820">
        <v>0</v>
      </c>
      <c r="G820" t="s">
        <v>1107</v>
      </c>
      <c r="H820" t="s">
        <v>18</v>
      </c>
    </row>
    <row r="821" spans="1:8" x14ac:dyDescent="0.2">
      <c r="A821" t="s">
        <v>33</v>
      </c>
      <c r="B821" t="s">
        <v>1140</v>
      </c>
      <c r="C821" t="s">
        <v>1092</v>
      </c>
      <c r="D821" t="s">
        <v>1096</v>
      </c>
      <c r="E821">
        <v>23274.943708999999</v>
      </c>
      <c r="F821">
        <v>0</v>
      </c>
      <c r="G821" t="s">
        <v>1107</v>
      </c>
      <c r="H821" t="s">
        <v>18</v>
      </c>
    </row>
    <row r="822" spans="1:8" x14ac:dyDescent="0.2">
      <c r="A822" t="s">
        <v>33</v>
      </c>
      <c r="B822" t="s">
        <v>1099</v>
      </c>
      <c r="C822" t="s">
        <v>1100</v>
      </c>
      <c r="D822" t="s">
        <v>35</v>
      </c>
      <c r="E822">
        <v>35596380.327473998</v>
      </c>
      <c r="F822">
        <v>30386801</v>
      </c>
      <c r="G822" t="s">
        <v>35</v>
      </c>
      <c r="H822" t="s">
        <v>18</v>
      </c>
    </row>
    <row r="823" spans="1:8" x14ac:dyDescent="0.2">
      <c r="A823" t="s">
        <v>65</v>
      </c>
      <c r="B823" t="s">
        <v>1141</v>
      </c>
      <c r="C823" t="s">
        <v>1092</v>
      </c>
      <c r="D823" t="s">
        <v>1126</v>
      </c>
      <c r="E823">
        <v>1768183.2954150001</v>
      </c>
      <c r="F823">
        <v>1281605</v>
      </c>
      <c r="G823" t="s">
        <v>1109</v>
      </c>
      <c r="H823" t="s">
        <v>18</v>
      </c>
    </row>
    <row r="824" spans="1:8" x14ac:dyDescent="0.2">
      <c r="A824" t="s">
        <v>65</v>
      </c>
      <c r="B824" t="s">
        <v>1834</v>
      </c>
      <c r="C824" t="s">
        <v>1092</v>
      </c>
      <c r="D824" t="s">
        <v>1126</v>
      </c>
      <c r="E824">
        <v>291383.82400000002</v>
      </c>
      <c r="F824">
        <v>727377</v>
      </c>
      <c r="G824" t="s">
        <v>1109</v>
      </c>
      <c r="H824" t="s">
        <v>18</v>
      </c>
    </row>
    <row r="825" spans="1:8" x14ac:dyDescent="0.2">
      <c r="A825" t="s">
        <v>65</v>
      </c>
      <c r="B825" t="s">
        <v>1099</v>
      </c>
      <c r="C825" t="s">
        <v>1100</v>
      </c>
      <c r="D825" t="s">
        <v>35</v>
      </c>
      <c r="E825">
        <v>2059567.1194150001</v>
      </c>
      <c r="F825">
        <v>2008982</v>
      </c>
      <c r="G825" t="s">
        <v>35</v>
      </c>
      <c r="H825" t="s">
        <v>18</v>
      </c>
    </row>
    <row r="826" spans="1:8" x14ac:dyDescent="0.2">
      <c r="A826" t="s">
        <v>1148</v>
      </c>
      <c r="B826" t="s">
        <v>1149</v>
      </c>
      <c r="C826" t="s">
        <v>1092</v>
      </c>
      <c r="D826" t="s">
        <v>1058</v>
      </c>
      <c r="E826">
        <v>150238.53649999999</v>
      </c>
      <c r="F826">
        <v>80</v>
      </c>
      <c r="G826" t="s">
        <v>1103</v>
      </c>
      <c r="H826" t="s">
        <v>18</v>
      </c>
    </row>
    <row r="827" spans="1:8" x14ac:dyDescent="0.2">
      <c r="A827" t="s">
        <v>1148</v>
      </c>
      <c r="B827" t="s">
        <v>1099</v>
      </c>
      <c r="C827" t="s">
        <v>1100</v>
      </c>
      <c r="D827" t="s">
        <v>35</v>
      </c>
      <c r="E827">
        <v>150238.53649999999</v>
      </c>
      <c r="F827">
        <v>80</v>
      </c>
      <c r="G827" t="s">
        <v>35</v>
      </c>
      <c r="H827" t="s">
        <v>18</v>
      </c>
    </row>
    <row r="828" spans="1:8" x14ac:dyDescent="0.2">
      <c r="A828" t="s">
        <v>113</v>
      </c>
      <c r="B828" t="s">
        <v>1152</v>
      </c>
      <c r="C828" t="s">
        <v>1092</v>
      </c>
      <c r="D828" t="s">
        <v>1126</v>
      </c>
      <c r="E828">
        <v>41332.748800000001</v>
      </c>
      <c r="F828">
        <v>3</v>
      </c>
      <c r="G828" t="s">
        <v>1103</v>
      </c>
      <c r="H828" t="s">
        <v>18</v>
      </c>
    </row>
    <row r="829" spans="1:8" x14ac:dyDescent="0.2">
      <c r="A829" t="s">
        <v>113</v>
      </c>
      <c r="B829" t="s">
        <v>1153</v>
      </c>
      <c r="C829" t="s">
        <v>1092</v>
      </c>
      <c r="D829" t="s">
        <v>1126</v>
      </c>
      <c r="E829">
        <v>492562.17430000001</v>
      </c>
      <c r="F829">
        <v>36</v>
      </c>
      <c r="G829" t="s">
        <v>1093</v>
      </c>
      <c r="H829" t="s">
        <v>18</v>
      </c>
    </row>
    <row r="830" spans="1:8" x14ac:dyDescent="0.2">
      <c r="A830" t="s">
        <v>113</v>
      </c>
      <c r="B830" t="s">
        <v>1835</v>
      </c>
      <c r="C830" t="s">
        <v>1092</v>
      </c>
      <c r="D830" t="s">
        <v>1061</v>
      </c>
      <c r="E830">
        <v>0</v>
      </c>
      <c r="F830">
        <v>0</v>
      </c>
      <c r="G830" t="s">
        <v>1144</v>
      </c>
      <c r="H830" t="s">
        <v>18</v>
      </c>
    </row>
    <row r="831" spans="1:8" x14ac:dyDescent="0.2">
      <c r="A831" t="s">
        <v>113</v>
      </c>
      <c r="B831" t="s">
        <v>1154</v>
      </c>
      <c r="C831" t="s">
        <v>1092</v>
      </c>
      <c r="D831" t="s">
        <v>1061</v>
      </c>
      <c r="E831">
        <v>200852.655</v>
      </c>
      <c r="F831">
        <v>57</v>
      </c>
      <c r="G831" t="s">
        <v>1093</v>
      </c>
      <c r="H831" t="s">
        <v>18</v>
      </c>
    </row>
    <row r="832" spans="1:8" x14ac:dyDescent="0.2">
      <c r="A832" t="s">
        <v>113</v>
      </c>
      <c r="B832" t="s">
        <v>1155</v>
      </c>
      <c r="C832" t="s">
        <v>1092</v>
      </c>
      <c r="D832" t="s">
        <v>1061</v>
      </c>
      <c r="E832">
        <v>1478600.49688</v>
      </c>
      <c r="F832">
        <v>619641</v>
      </c>
      <c r="G832" t="s">
        <v>1109</v>
      </c>
      <c r="H832" t="s">
        <v>18</v>
      </c>
    </row>
    <row r="833" spans="1:8" x14ac:dyDescent="0.2">
      <c r="A833" t="s">
        <v>113</v>
      </c>
      <c r="B833" t="s">
        <v>1156</v>
      </c>
      <c r="C833" t="s">
        <v>1092</v>
      </c>
      <c r="D833" t="s">
        <v>1061</v>
      </c>
      <c r="E833">
        <v>167732.98615000001</v>
      </c>
      <c r="F833">
        <v>0</v>
      </c>
      <c r="G833" t="s">
        <v>1103</v>
      </c>
      <c r="H833" t="s">
        <v>18</v>
      </c>
    </row>
    <row r="834" spans="1:8" x14ac:dyDescent="0.2">
      <c r="A834" t="s">
        <v>113</v>
      </c>
      <c r="B834" t="s">
        <v>1157</v>
      </c>
      <c r="C834" t="s">
        <v>1092</v>
      </c>
      <c r="D834" t="s">
        <v>1126</v>
      </c>
      <c r="E834">
        <v>46098.64</v>
      </c>
      <c r="F834">
        <v>5</v>
      </c>
      <c r="G834" t="s">
        <v>1103</v>
      </c>
      <c r="H834" t="s">
        <v>18</v>
      </c>
    </row>
    <row r="835" spans="1:8" x14ac:dyDescent="0.2">
      <c r="A835" t="s">
        <v>113</v>
      </c>
      <c r="B835" t="s">
        <v>1158</v>
      </c>
      <c r="C835" t="s">
        <v>1092</v>
      </c>
      <c r="D835" t="s">
        <v>1126</v>
      </c>
      <c r="E835">
        <v>241123.30979999999</v>
      </c>
      <c r="F835">
        <v>62</v>
      </c>
      <c r="G835" t="s">
        <v>1093</v>
      </c>
      <c r="H835" t="s">
        <v>18</v>
      </c>
    </row>
    <row r="836" spans="1:8" x14ac:dyDescent="0.2">
      <c r="A836" t="s">
        <v>113</v>
      </c>
      <c r="B836" t="s">
        <v>1159</v>
      </c>
      <c r="C836" t="s">
        <v>1092</v>
      </c>
      <c r="D836" t="s">
        <v>1126</v>
      </c>
      <c r="E836">
        <v>852053.85840999999</v>
      </c>
      <c r="F836">
        <v>381037</v>
      </c>
      <c r="G836" t="s">
        <v>1109</v>
      </c>
      <c r="H836" t="s">
        <v>18</v>
      </c>
    </row>
    <row r="837" spans="1:8" x14ac:dyDescent="0.2">
      <c r="A837" t="s">
        <v>113</v>
      </c>
      <c r="B837" t="s">
        <v>1160</v>
      </c>
      <c r="C837" t="s">
        <v>1092</v>
      </c>
      <c r="D837" t="s">
        <v>1126</v>
      </c>
      <c r="E837">
        <v>443398.97104799998</v>
      </c>
      <c r="F837">
        <v>344467</v>
      </c>
      <c r="G837" t="s">
        <v>1109</v>
      </c>
      <c r="H837" t="s">
        <v>18</v>
      </c>
    </row>
    <row r="838" spans="1:8" x14ac:dyDescent="0.2">
      <c r="A838" t="s">
        <v>113</v>
      </c>
      <c r="B838" t="s">
        <v>1099</v>
      </c>
      <c r="C838" t="s">
        <v>1100</v>
      </c>
      <c r="D838" t="s">
        <v>35</v>
      </c>
      <c r="E838">
        <v>3963755.840388</v>
      </c>
      <c r="F838">
        <v>1345308</v>
      </c>
      <c r="G838" t="s">
        <v>35</v>
      </c>
      <c r="H838" t="s">
        <v>18</v>
      </c>
    </row>
    <row r="839" spans="1:8" x14ac:dyDescent="0.2">
      <c r="A839" t="s">
        <v>1813</v>
      </c>
      <c r="B839" t="s">
        <v>1814</v>
      </c>
      <c r="C839" t="s">
        <v>1092</v>
      </c>
      <c r="D839" t="s">
        <v>1052</v>
      </c>
      <c r="E839">
        <v>359762.77999999997</v>
      </c>
      <c r="F839">
        <v>61</v>
      </c>
      <c r="G839" t="s">
        <v>1093</v>
      </c>
      <c r="H839" t="s">
        <v>18</v>
      </c>
    </row>
    <row r="840" spans="1:8" x14ac:dyDescent="0.2">
      <c r="A840" t="s">
        <v>1813</v>
      </c>
      <c r="B840" t="s">
        <v>1099</v>
      </c>
      <c r="C840" t="s">
        <v>1100</v>
      </c>
      <c r="D840" t="s">
        <v>35</v>
      </c>
      <c r="E840">
        <v>359762.77999999997</v>
      </c>
      <c r="F840">
        <v>61</v>
      </c>
      <c r="G840" t="s">
        <v>35</v>
      </c>
      <c r="H840" t="s">
        <v>18</v>
      </c>
    </row>
    <row r="841" spans="1:8" x14ac:dyDescent="0.2">
      <c r="A841" t="s">
        <v>179</v>
      </c>
      <c r="B841" t="s">
        <v>1161</v>
      </c>
      <c r="C841" t="s">
        <v>1092</v>
      </c>
      <c r="D841" t="s">
        <v>1061</v>
      </c>
      <c r="E841">
        <v>410220.967</v>
      </c>
      <c r="F841">
        <v>242545</v>
      </c>
      <c r="G841" t="s">
        <v>1144</v>
      </c>
      <c r="H841" t="s">
        <v>18</v>
      </c>
    </row>
    <row r="842" spans="1:8" x14ac:dyDescent="0.2">
      <c r="A842" t="s">
        <v>179</v>
      </c>
      <c r="B842" t="s">
        <v>1099</v>
      </c>
      <c r="C842" t="s">
        <v>1100</v>
      </c>
      <c r="D842" t="s">
        <v>35</v>
      </c>
      <c r="E842">
        <v>410220.967</v>
      </c>
      <c r="F842">
        <v>242545</v>
      </c>
      <c r="G842" t="s">
        <v>35</v>
      </c>
      <c r="H842" t="s">
        <v>18</v>
      </c>
    </row>
    <row r="843" spans="1:8" x14ac:dyDescent="0.2">
      <c r="A843" t="s">
        <v>243</v>
      </c>
      <c r="B843" t="s">
        <v>1162</v>
      </c>
      <c r="C843" t="s">
        <v>1092</v>
      </c>
      <c r="D843" t="s">
        <v>1126</v>
      </c>
      <c r="E843">
        <v>80121.852610000002</v>
      </c>
      <c r="F843">
        <v>51674</v>
      </c>
      <c r="G843" t="s">
        <v>1109</v>
      </c>
      <c r="H843" t="s">
        <v>18</v>
      </c>
    </row>
    <row r="844" spans="1:8" x14ac:dyDescent="0.2">
      <c r="A844" t="s">
        <v>243</v>
      </c>
      <c r="B844" t="s">
        <v>1163</v>
      </c>
      <c r="C844" t="s">
        <v>1092</v>
      </c>
      <c r="D844" t="s">
        <v>1052</v>
      </c>
      <c r="E844">
        <v>395812.75636</v>
      </c>
      <c r="F844">
        <v>164518</v>
      </c>
      <c r="G844" t="s">
        <v>1109</v>
      </c>
      <c r="H844" t="s">
        <v>18</v>
      </c>
    </row>
    <row r="845" spans="1:8" x14ac:dyDescent="0.2">
      <c r="A845" t="s">
        <v>243</v>
      </c>
      <c r="B845" t="s">
        <v>1099</v>
      </c>
      <c r="C845" t="s">
        <v>1100</v>
      </c>
      <c r="D845" t="s">
        <v>35</v>
      </c>
      <c r="E845">
        <v>475934.60897</v>
      </c>
      <c r="F845">
        <v>216192</v>
      </c>
      <c r="G845" t="s">
        <v>35</v>
      </c>
      <c r="H845" t="s">
        <v>18</v>
      </c>
    </row>
    <row r="846" spans="1:8" x14ac:dyDescent="0.2">
      <c r="A846" t="s">
        <v>1164</v>
      </c>
      <c r="B846" t="s">
        <v>1836</v>
      </c>
      <c r="C846" t="s">
        <v>1092</v>
      </c>
      <c r="D846" t="s">
        <v>1064</v>
      </c>
      <c r="E846">
        <v>476544.01500000001</v>
      </c>
      <c r="F846">
        <v>103</v>
      </c>
      <c r="G846" t="s">
        <v>1093</v>
      </c>
      <c r="H846" t="s">
        <v>18</v>
      </c>
    </row>
    <row r="847" spans="1:8" x14ac:dyDescent="0.2">
      <c r="A847" t="s">
        <v>1164</v>
      </c>
      <c r="B847" t="s">
        <v>1165</v>
      </c>
      <c r="C847" t="s">
        <v>1092</v>
      </c>
      <c r="D847" t="s">
        <v>1061</v>
      </c>
      <c r="E847">
        <v>92196.791899999997</v>
      </c>
      <c r="F847">
        <v>51</v>
      </c>
      <c r="G847" t="s">
        <v>1103</v>
      </c>
      <c r="H847" t="s">
        <v>18</v>
      </c>
    </row>
    <row r="848" spans="1:8" x14ac:dyDescent="0.2">
      <c r="A848" t="s">
        <v>1164</v>
      </c>
      <c r="B848" t="s">
        <v>1166</v>
      </c>
      <c r="C848" t="s">
        <v>1092</v>
      </c>
      <c r="D848" t="s">
        <v>1061</v>
      </c>
      <c r="E848">
        <v>108188.837</v>
      </c>
      <c r="F848">
        <v>48</v>
      </c>
      <c r="G848" t="s">
        <v>1103</v>
      </c>
      <c r="H848" t="s">
        <v>18</v>
      </c>
    </row>
    <row r="849" spans="1:8" x14ac:dyDescent="0.2">
      <c r="A849" t="s">
        <v>1164</v>
      </c>
      <c r="B849" t="s">
        <v>1167</v>
      </c>
      <c r="C849" t="s">
        <v>1092</v>
      </c>
      <c r="D849" t="s">
        <v>1061</v>
      </c>
      <c r="E849">
        <v>316644.64870999998</v>
      </c>
      <c r="F849">
        <v>98</v>
      </c>
      <c r="G849" t="s">
        <v>1103</v>
      </c>
      <c r="H849" t="s">
        <v>18</v>
      </c>
    </row>
    <row r="850" spans="1:8" x14ac:dyDescent="0.2">
      <c r="A850" t="s">
        <v>1164</v>
      </c>
      <c r="B850" t="s">
        <v>1168</v>
      </c>
      <c r="C850" t="s">
        <v>1092</v>
      </c>
      <c r="D850" t="s">
        <v>1061</v>
      </c>
      <c r="E850">
        <v>83405.306240000005</v>
      </c>
      <c r="F850">
        <v>12</v>
      </c>
      <c r="G850" t="s">
        <v>1103</v>
      </c>
      <c r="H850" t="s">
        <v>18</v>
      </c>
    </row>
    <row r="851" spans="1:8" x14ac:dyDescent="0.2">
      <c r="A851" t="s">
        <v>1164</v>
      </c>
      <c r="B851" t="s">
        <v>1099</v>
      </c>
      <c r="C851" t="s">
        <v>1100</v>
      </c>
      <c r="D851" t="s">
        <v>35</v>
      </c>
      <c r="E851">
        <v>1076979.5988499997</v>
      </c>
      <c r="F851">
        <v>312</v>
      </c>
      <c r="G851" t="s">
        <v>35</v>
      </c>
      <c r="H851" t="s">
        <v>18</v>
      </c>
    </row>
    <row r="852" spans="1:8" x14ac:dyDescent="0.2">
      <c r="A852" t="s">
        <v>1169</v>
      </c>
      <c r="B852" t="s">
        <v>1170</v>
      </c>
      <c r="C852" t="s">
        <v>1092</v>
      </c>
      <c r="D852" t="s">
        <v>1096</v>
      </c>
      <c r="E852">
        <v>173896.81599999999</v>
      </c>
      <c r="F852">
        <v>21</v>
      </c>
      <c r="G852" t="s">
        <v>1103</v>
      </c>
      <c r="H852" t="s">
        <v>18</v>
      </c>
    </row>
    <row r="853" spans="1:8" x14ac:dyDescent="0.2">
      <c r="A853" t="s">
        <v>1169</v>
      </c>
      <c r="B853" t="s">
        <v>1171</v>
      </c>
      <c r="C853" t="s">
        <v>1092</v>
      </c>
      <c r="D853" t="s">
        <v>1096</v>
      </c>
      <c r="E853">
        <v>107396.80133</v>
      </c>
      <c r="F853">
        <v>20</v>
      </c>
      <c r="G853" t="s">
        <v>1093</v>
      </c>
      <c r="H853" t="s">
        <v>18</v>
      </c>
    </row>
    <row r="854" spans="1:8" x14ac:dyDescent="0.2">
      <c r="A854" t="s">
        <v>1169</v>
      </c>
      <c r="B854" t="s">
        <v>1172</v>
      </c>
      <c r="C854" t="s">
        <v>1092</v>
      </c>
      <c r="D854" t="s">
        <v>1058</v>
      </c>
      <c r="E854">
        <v>221275.00899999999</v>
      </c>
      <c r="F854">
        <v>25</v>
      </c>
      <c r="G854" t="s">
        <v>1103</v>
      </c>
      <c r="H854" t="s">
        <v>18</v>
      </c>
    </row>
    <row r="855" spans="1:8" x14ac:dyDescent="0.2">
      <c r="A855" t="s">
        <v>1169</v>
      </c>
      <c r="B855" t="s">
        <v>1099</v>
      </c>
      <c r="C855" t="s">
        <v>1100</v>
      </c>
      <c r="D855" t="s">
        <v>35</v>
      </c>
      <c r="E855">
        <v>502568.62633</v>
      </c>
      <c r="F855">
        <v>66</v>
      </c>
      <c r="G855" t="s">
        <v>35</v>
      </c>
      <c r="H855" t="s">
        <v>18</v>
      </c>
    </row>
    <row r="856" spans="1:8" x14ac:dyDescent="0.2">
      <c r="A856" t="s">
        <v>1173</v>
      </c>
      <c r="B856" t="s">
        <v>1174</v>
      </c>
      <c r="C856" t="s">
        <v>1092</v>
      </c>
      <c r="D856" t="s">
        <v>1096</v>
      </c>
      <c r="E856">
        <v>466391.76899999997</v>
      </c>
      <c r="F856">
        <v>181</v>
      </c>
      <c r="G856" t="s">
        <v>1093</v>
      </c>
      <c r="H856" t="s">
        <v>18</v>
      </c>
    </row>
    <row r="857" spans="1:8" x14ac:dyDescent="0.2">
      <c r="A857" t="s">
        <v>1173</v>
      </c>
      <c r="B857" t="s">
        <v>1099</v>
      </c>
      <c r="C857" t="s">
        <v>1100</v>
      </c>
      <c r="D857" t="s">
        <v>35</v>
      </c>
      <c r="E857">
        <v>466391.76899999997</v>
      </c>
      <c r="F857">
        <v>181</v>
      </c>
      <c r="G857" t="s">
        <v>35</v>
      </c>
      <c r="H857" t="s">
        <v>18</v>
      </c>
    </row>
    <row r="858" spans="1:8" x14ac:dyDescent="0.2">
      <c r="A858" t="s">
        <v>1175</v>
      </c>
      <c r="B858" t="s">
        <v>1176</v>
      </c>
      <c r="C858" t="s">
        <v>1092</v>
      </c>
      <c r="D858" t="s">
        <v>1096</v>
      </c>
      <c r="E858">
        <v>335414.109</v>
      </c>
      <c r="F858">
        <v>62</v>
      </c>
      <c r="G858" t="s">
        <v>1093</v>
      </c>
      <c r="H858" t="s">
        <v>18</v>
      </c>
    </row>
    <row r="859" spans="1:8" x14ac:dyDescent="0.2">
      <c r="A859" t="s">
        <v>1175</v>
      </c>
      <c r="B859" t="s">
        <v>1099</v>
      </c>
      <c r="C859" t="s">
        <v>1100</v>
      </c>
      <c r="D859" t="s">
        <v>35</v>
      </c>
      <c r="E859">
        <v>335414.109</v>
      </c>
      <c r="F859">
        <v>62</v>
      </c>
      <c r="G859" t="s">
        <v>35</v>
      </c>
      <c r="H859" t="s">
        <v>18</v>
      </c>
    </row>
    <row r="860" spans="1:8" x14ac:dyDescent="0.2">
      <c r="A860" t="s">
        <v>115</v>
      </c>
      <c r="B860" t="s">
        <v>1177</v>
      </c>
      <c r="C860" t="s">
        <v>1092</v>
      </c>
      <c r="D860" t="s">
        <v>1058</v>
      </c>
      <c r="E860">
        <v>163172.71143</v>
      </c>
      <c r="F860">
        <v>53</v>
      </c>
      <c r="G860" t="s">
        <v>1103</v>
      </c>
      <c r="H860" t="s">
        <v>18</v>
      </c>
    </row>
    <row r="861" spans="1:8" x14ac:dyDescent="0.2">
      <c r="A861" t="s">
        <v>115</v>
      </c>
      <c r="B861" t="s">
        <v>1178</v>
      </c>
      <c r="C861" t="s">
        <v>1092</v>
      </c>
      <c r="D861" t="s">
        <v>1058</v>
      </c>
      <c r="E861">
        <v>31979.735000000001</v>
      </c>
      <c r="F861">
        <v>26</v>
      </c>
      <c r="G861" t="s">
        <v>1103</v>
      </c>
      <c r="H861" t="s">
        <v>18</v>
      </c>
    </row>
    <row r="862" spans="1:8" x14ac:dyDescent="0.2">
      <c r="A862" t="s">
        <v>115</v>
      </c>
      <c r="B862" t="s">
        <v>1099</v>
      </c>
      <c r="C862" t="s">
        <v>1100</v>
      </c>
      <c r="D862" t="s">
        <v>35</v>
      </c>
      <c r="E862">
        <v>195152.44642999998</v>
      </c>
      <c r="F862">
        <v>79</v>
      </c>
      <c r="G862" t="s">
        <v>35</v>
      </c>
      <c r="H862" t="s">
        <v>18</v>
      </c>
    </row>
    <row r="863" spans="1:8" x14ac:dyDescent="0.2">
      <c r="A863" t="s">
        <v>1837</v>
      </c>
      <c r="B863" t="s">
        <v>1838</v>
      </c>
      <c r="C863" t="s">
        <v>1092</v>
      </c>
      <c r="D863" t="s">
        <v>1058</v>
      </c>
      <c r="E863">
        <v>56295.170449999998</v>
      </c>
      <c r="F863">
        <v>153</v>
      </c>
      <c r="G863" t="s">
        <v>1103</v>
      </c>
      <c r="H863" t="s">
        <v>18</v>
      </c>
    </row>
    <row r="864" spans="1:8" x14ac:dyDescent="0.2">
      <c r="A864" t="s">
        <v>1837</v>
      </c>
      <c r="B864" t="s">
        <v>1099</v>
      </c>
      <c r="C864" t="s">
        <v>1100</v>
      </c>
      <c r="D864" t="s">
        <v>35</v>
      </c>
      <c r="E864">
        <v>56295.170449999998</v>
      </c>
      <c r="F864">
        <v>153</v>
      </c>
      <c r="G864" t="s">
        <v>35</v>
      </c>
      <c r="H864" t="s">
        <v>18</v>
      </c>
    </row>
    <row r="865" spans="1:8" x14ac:dyDescent="0.2">
      <c r="A865" t="s">
        <v>1181</v>
      </c>
      <c r="B865" t="s">
        <v>1182</v>
      </c>
      <c r="C865" t="s">
        <v>1092</v>
      </c>
      <c r="D865" t="s">
        <v>1058</v>
      </c>
      <c r="E865">
        <v>17492.855489999998</v>
      </c>
      <c r="F865">
        <v>1</v>
      </c>
      <c r="G865" t="s">
        <v>1103</v>
      </c>
      <c r="H865" t="s">
        <v>18</v>
      </c>
    </row>
    <row r="866" spans="1:8" x14ac:dyDescent="0.2">
      <c r="A866" t="s">
        <v>1181</v>
      </c>
      <c r="B866" t="s">
        <v>1183</v>
      </c>
      <c r="C866" t="s">
        <v>1092</v>
      </c>
      <c r="D866" t="s">
        <v>1058</v>
      </c>
      <c r="E866">
        <v>446107.76200000005</v>
      </c>
      <c r="F866">
        <v>60</v>
      </c>
      <c r="G866" t="s">
        <v>1093</v>
      </c>
      <c r="H866" t="s">
        <v>18</v>
      </c>
    </row>
    <row r="867" spans="1:8" x14ac:dyDescent="0.2">
      <c r="A867" t="s">
        <v>1181</v>
      </c>
      <c r="B867" t="s">
        <v>1184</v>
      </c>
      <c r="C867" t="s">
        <v>1092</v>
      </c>
      <c r="D867" t="s">
        <v>1058</v>
      </c>
      <c r="E867">
        <v>360421.23700000002</v>
      </c>
      <c r="F867">
        <v>29</v>
      </c>
      <c r="G867" t="s">
        <v>1093</v>
      </c>
      <c r="H867" t="s">
        <v>18</v>
      </c>
    </row>
    <row r="868" spans="1:8" x14ac:dyDescent="0.2">
      <c r="A868" t="s">
        <v>1181</v>
      </c>
      <c r="B868" t="s">
        <v>1099</v>
      </c>
      <c r="C868" t="s">
        <v>1100</v>
      </c>
      <c r="D868" t="s">
        <v>35</v>
      </c>
      <c r="E868">
        <v>824021.85448999994</v>
      </c>
      <c r="F868">
        <v>90</v>
      </c>
      <c r="G868" t="s">
        <v>35</v>
      </c>
      <c r="H868" t="s">
        <v>18</v>
      </c>
    </row>
    <row r="869" spans="1:8" x14ac:dyDescent="0.2">
      <c r="A869" t="s">
        <v>77</v>
      </c>
      <c r="B869" t="s">
        <v>1185</v>
      </c>
      <c r="C869" t="s">
        <v>1092</v>
      </c>
      <c r="D869" t="s">
        <v>1126</v>
      </c>
      <c r="E869">
        <v>821126.30275000003</v>
      </c>
      <c r="F869">
        <v>364582</v>
      </c>
      <c r="G869" t="s">
        <v>1109</v>
      </c>
      <c r="H869" t="s">
        <v>18</v>
      </c>
    </row>
    <row r="870" spans="1:8" x14ac:dyDescent="0.2">
      <c r="A870" t="s">
        <v>77</v>
      </c>
      <c r="B870" t="s">
        <v>1099</v>
      </c>
      <c r="C870" t="s">
        <v>1100</v>
      </c>
      <c r="D870" t="s">
        <v>35</v>
      </c>
      <c r="E870">
        <v>821126.30275000003</v>
      </c>
      <c r="F870">
        <v>364582</v>
      </c>
      <c r="G870" t="s">
        <v>35</v>
      </c>
      <c r="H870" t="s">
        <v>18</v>
      </c>
    </row>
    <row r="871" spans="1:8" x14ac:dyDescent="0.2">
      <c r="A871" t="s">
        <v>1839</v>
      </c>
      <c r="B871" t="s">
        <v>1840</v>
      </c>
      <c r="C871" t="s">
        <v>1092</v>
      </c>
      <c r="D871" t="s">
        <v>1061</v>
      </c>
      <c r="E871">
        <v>28514.948</v>
      </c>
      <c r="F871">
        <v>5</v>
      </c>
      <c r="G871" t="s">
        <v>1103</v>
      </c>
      <c r="H871" t="s">
        <v>18</v>
      </c>
    </row>
    <row r="872" spans="1:8" x14ac:dyDescent="0.2">
      <c r="A872" t="s">
        <v>1839</v>
      </c>
      <c r="B872" t="s">
        <v>1841</v>
      </c>
      <c r="C872" t="s">
        <v>1092</v>
      </c>
      <c r="D872" t="s">
        <v>1061</v>
      </c>
      <c r="E872">
        <v>52565.224999999999</v>
      </c>
      <c r="F872">
        <v>7</v>
      </c>
      <c r="G872" t="s">
        <v>1103</v>
      </c>
      <c r="H872" t="s">
        <v>18</v>
      </c>
    </row>
    <row r="873" spans="1:8" x14ac:dyDescent="0.2">
      <c r="A873" t="s">
        <v>1839</v>
      </c>
      <c r="B873" t="s">
        <v>1842</v>
      </c>
      <c r="C873" t="s">
        <v>1092</v>
      </c>
      <c r="D873" t="s">
        <v>1096</v>
      </c>
      <c r="E873">
        <v>24762.691999999999</v>
      </c>
      <c r="F873">
        <v>7</v>
      </c>
      <c r="G873" t="s">
        <v>1103</v>
      </c>
      <c r="H873" t="s">
        <v>18</v>
      </c>
    </row>
    <row r="874" spans="1:8" x14ac:dyDescent="0.2">
      <c r="A874" t="s">
        <v>1839</v>
      </c>
      <c r="B874" t="s">
        <v>1099</v>
      </c>
      <c r="C874" t="s">
        <v>1100</v>
      </c>
      <c r="D874" t="s">
        <v>35</v>
      </c>
      <c r="E874">
        <v>105842.86500000001</v>
      </c>
      <c r="F874">
        <v>19</v>
      </c>
      <c r="G874" t="s">
        <v>35</v>
      </c>
      <c r="H874" t="s">
        <v>18</v>
      </c>
    </row>
    <row r="875" spans="1:8" x14ac:dyDescent="0.2">
      <c r="A875" t="s">
        <v>159</v>
      </c>
      <c r="B875" t="s">
        <v>1186</v>
      </c>
      <c r="C875" t="s">
        <v>1092</v>
      </c>
      <c r="D875" t="s">
        <v>1126</v>
      </c>
      <c r="E875">
        <v>1621259.084</v>
      </c>
      <c r="F875">
        <v>1427368</v>
      </c>
      <c r="G875" t="s">
        <v>1111</v>
      </c>
      <c r="H875" t="s">
        <v>18</v>
      </c>
    </row>
    <row r="876" spans="1:8" x14ac:dyDescent="0.2">
      <c r="A876" t="s">
        <v>159</v>
      </c>
      <c r="B876" t="s">
        <v>1099</v>
      </c>
      <c r="C876" t="s">
        <v>1100</v>
      </c>
      <c r="D876" t="s">
        <v>35</v>
      </c>
      <c r="E876">
        <v>1621259.084</v>
      </c>
      <c r="F876">
        <v>1427368</v>
      </c>
      <c r="G876" t="s">
        <v>35</v>
      </c>
      <c r="H876" t="s">
        <v>18</v>
      </c>
    </row>
    <row r="877" spans="1:8" x14ac:dyDescent="0.2">
      <c r="A877" t="s">
        <v>135</v>
      </c>
      <c r="B877" t="s">
        <v>1187</v>
      </c>
      <c r="C877" t="s">
        <v>1092</v>
      </c>
      <c r="D877" t="s">
        <v>1126</v>
      </c>
      <c r="E877">
        <v>1736145.58</v>
      </c>
      <c r="F877">
        <v>1540540</v>
      </c>
      <c r="G877" t="s">
        <v>1111</v>
      </c>
      <c r="H877" t="s">
        <v>18</v>
      </c>
    </row>
    <row r="878" spans="1:8" x14ac:dyDescent="0.2">
      <c r="A878" t="s">
        <v>135</v>
      </c>
      <c r="B878" t="s">
        <v>1099</v>
      </c>
      <c r="C878" t="s">
        <v>1100</v>
      </c>
      <c r="D878" t="s">
        <v>35</v>
      </c>
      <c r="E878">
        <v>1736145.58</v>
      </c>
      <c r="F878">
        <v>1540540</v>
      </c>
      <c r="G878" t="s">
        <v>35</v>
      </c>
      <c r="H878" t="s">
        <v>18</v>
      </c>
    </row>
    <row r="879" spans="1:8" x14ac:dyDescent="0.2">
      <c r="A879" t="s">
        <v>1843</v>
      </c>
      <c r="B879" t="s">
        <v>1844</v>
      </c>
      <c r="C879" t="s">
        <v>1092</v>
      </c>
      <c r="D879" t="s">
        <v>1223</v>
      </c>
      <c r="E879">
        <v>12061.4</v>
      </c>
      <c r="F879">
        <v>0</v>
      </c>
      <c r="G879" t="s">
        <v>1103</v>
      </c>
      <c r="H879" t="s">
        <v>18</v>
      </c>
    </row>
    <row r="880" spans="1:8" x14ac:dyDescent="0.2">
      <c r="A880" t="s">
        <v>1843</v>
      </c>
      <c r="B880" t="s">
        <v>1845</v>
      </c>
      <c r="C880" t="s">
        <v>1092</v>
      </c>
      <c r="D880" t="s">
        <v>1223</v>
      </c>
      <c r="E880">
        <v>10796.43</v>
      </c>
      <c r="F880">
        <v>0</v>
      </c>
      <c r="G880" t="s">
        <v>1103</v>
      </c>
      <c r="H880" t="s">
        <v>18</v>
      </c>
    </row>
    <row r="881" spans="1:8" x14ac:dyDescent="0.2">
      <c r="A881" t="s">
        <v>1843</v>
      </c>
      <c r="B881" t="s">
        <v>1846</v>
      </c>
      <c r="C881" t="s">
        <v>1092</v>
      </c>
      <c r="D881" t="s">
        <v>1223</v>
      </c>
      <c r="E881">
        <v>35672.160000000003</v>
      </c>
      <c r="F881">
        <v>0</v>
      </c>
      <c r="G881" t="s">
        <v>1103</v>
      </c>
      <c r="H881" t="s">
        <v>18</v>
      </c>
    </row>
    <row r="882" spans="1:8" x14ac:dyDescent="0.2">
      <c r="A882" t="s">
        <v>1843</v>
      </c>
      <c r="B882" t="s">
        <v>1847</v>
      </c>
      <c r="C882" t="s">
        <v>1092</v>
      </c>
      <c r="D882" t="s">
        <v>1096</v>
      </c>
      <c r="E882">
        <v>1838</v>
      </c>
      <c r="F882">
        <v>0</v>
      </c>
      <c r="G882" t="s">
        <v>1103</v>
      </c>
      <c r="H882" t="s">
        <v>18</v>
      </c>
    </row>
    <row r="883" spans="1:8" x14ac:dyDescent="0.2">
      <c r="A883" t="s">
        <v>1843</v>
      </c>
      <c r="B883" t="s">
        <v>1848</v>
      </c>
      <c r="C883" t="s">
        <v>1092</v>
      </c>
      <c r="D883" t="s">
        <v>1223</v>
      </c>
      <c r="E883">
        <v>0.61560000000000004</v>
      </c>
      <c r="F883">
        <v>0</v>
      </c>
      <c r="G883" t="s">
        <v>1103</v>
      </c>
      <c r="H883" t="s">
        <v>18</v>
      </c>
    </row>
    <row r="884" spans="1:8" x14ac:dyDescent="0.2">
      <c r="A884" t="s">
        <v>1843</v>
      </c>
      <c r="B884" t="s">
        <v>1099</v>
      </c>
      <c r="C884" t="s">
        <v>1100</v>
      </c>
      <c r="D884" t="s">
        <v>35</v>
      </c>
      <c r="E884">
        <v>60368.605600000003</v>
      </c>
      <c r="F884">
        <v>0</v>
      </c>
      <c r="G884" t="s">
        <v>35</v>
      </c>
      <c r="H884" t="s">
        <v>18</v>
      </c>
    </row>
    <row r="885" spans="1:8" x14ac:dyDescent="0.2">
      <c r="A885" t="s">
        <v>48</v>
      </c>
      <c r="B885" t="s">
        <v>1188</v>
      </c>
      <c r="C885" t="s">
        <v>1092</v>
      </c>
      <c r="D885" t="s">
        <v>1061</v>
      </c>
      <c r="E885">
        <v>3116877.0819999999</v>
      </c>
      <c r="F885">
        <v>2906770</v>
      </c>
      <c r="G885" t="s">
        <v>1111</v>
      </c>
      <c r="H885" t="s">
        <v>18</v>
      </c>
    </row>
    <row r="886" spans="1:8" x14ac:dyDescent="0.2">
      <c r="A886" t="s">
        <v>48</v>
      </c>
      <c r="B886" t="s">
        <v>1189</v>
      </c>
      <c r="C886" t="s">
        <v>1092</v>
      </c>
      <c r="D886" t="s">
        <v>1061</v>
      </c>
      <c r="E886">
        <v>4195086.0410000002</v>
      </c>
      <c r="F886">
        <v>3699076</v>
      </c>
      <c r="G886" t="s">
        <v>1111</v>
      </c>
      <c r="H886" t="s">
        <v>18</v>
      </c>
    </row>
    <row r="887" spans="1:8" x14ac:dyDescent="0.2">
      <c r="A887" t="s">
        <v>48</v>
      </c>
      <c r="B887" t="s">
        <v>1190</v>
      </c>
      <c r="C887" t="s">
        <v>1092</v>
      </c>
      <c r="D887" t="s">
        <v>1061</v>
      </c>
      <c r="E887">
        <v>0</v>
      </c>
      <c r="F887">
        <v>24</v>
      </c>
      <c r="G887" t="s">
        <v>1191</v>
      </c>
      <c r="H887" t="s">
        <v>18</v>
      </c>
    </row>
    <row r="888" spans="1:8" x14ac:dyDescent="0.2">
      <c r="A888" t="s">
        <v>48</v>
      </c>
      <c r="B888" t="s">
        <v>1849</v>
      </c>
      <c r="C888" t="s">
        <v>1092</v>
      </c>
      <c r="D888" t="s">
        <v>1061</v>
      </c>
      <c r="E888">
        <v>0</v>
      </c>
      <c r="F888">
        <v>7</v>
      </c>
      <c r="G888" t="s">
        <v>1191</v>
      </c>
      <c r="H888" t="s">
        <v>18</v>
      </c>
    </row>
    <row r="889" spans="1:8" x14ac:dyDescent="0.2">
      <c r="A889" t="s">
        <v>48</v>
      </c>
      <c r="B889" t="s">
        <v>1192</v>
      </c>
      <c r="C889" t="s">
        <v>1092</v>
      </c>
      <c r="D889" t="s">
        <v>1061</v>
      </c>
      <c r="E889">
        <v>4665992.1639999999</v>
      </c>
      <c r="F889">
        <v>3806935</v>
      </c>
      <c r="G889" t="s">
        <v>1111</v>
      </c>
      <c r="H889" t="s">
        <v>18</v>
      </c>
    </row>
    <row r="890" spans="1:8" x14ac:dyDescent="0.2">
      <c r="A890" t="s">
        <v>48</v>
      </c>
      <c r="B890" t="s">
        <v>1099</v>
      </c>
      <c r="C890" t="s">
        <v>1100</v>
      </c>
      <c r="D890" t="s">
        <v>35</v>
      </c>
      <c r="E890">
        <v>11977955.287</v>
      </c>
      <c r="F890">
        <v>10412812</v>
      </c>
      <c r="G890" t="s">
        <v>35</v>
      </c>
      <c r="H890" t="s">
        <v>18</v>
      </c>
    </row>
    <row r="891" spans="1:8" x14ac:dyDescent="0.2">
      <c r="A891" t="s">
        <v>1194</v>
      </c>
      <c r="B891" t="s">
        <v>1195</v>
      </c>
      <c r="C891" t="s">
        <v>1092</v>
      </c>
      <c r="D891" t="s">
        <v>1058</v>
      </c>
      <c r="E891">
        <v>165305.38499999998</v>
      </c>
      <c r="F891">
        <v>5519</v>
      </c>
      <c r="G891" t="s">
        <v>1803</v>
      </c>
      <c r="H891" t="s">
        <v>18</v>
      </c>
    </row>
    <row r="892" spans="1:8" x14ac:dyDescent="0.2">
      <c r="A892" t="s">
        <v>1194</v>
      </c>
      <c r="B892" t="s">
        <v>1197</v>
      </c>
      <c r="C892" t="s">
        <v>1092</v>
      </c>
      <c r="D892" t="s">
        <v>1058</v>
      </c>
      <c r="E892">
        <v>147261.28400000001</v>
      </c>
      <c r="F892">
        <v>5346</v>
      </c>
      <c r="G892" t="s">
        <v>1803</v>
      </c>
      <c r="H892" t="s">
        <v>18</v>
      </c>
    </row>
    <row r="893" spans="1:8" x14ac:dyDescent="0.2">
      <c r="A893" t="s">
        <v>1194</v>
      </c>
      <c r="B893" t="s">
        <v>1099</v>
      </c>
      <c r="C893" t="s">
        <v>1100</v>
      </c>
      <c r="D893" t="s">
        <v>35</v>
      </c>
      <c r="E893">
        <v>312566.66899999999</v>
      </c>
      <c r="F893">
        <v>10865</v>
      </c>
      <c r="G893" t="s">
        <v>35</v>
      </c>
      <c r="H893" t="s">
        <v>18</v>
      </c>
    </row>
    <row r="894" spans="1:8" x14ac:dyDescent="0.2">
      <c r="A894" t="s">
        <v>1850</v>
      </c>
      <c r="B894" t="s">
        <v>1851</v>
      </c>
      <c r="C894" t="s">
        <v>1092</v>
      </c>
      <c r="D894" t="s">
        <v>1061</v>
      </c>
      <c r="E894">
        <v>16866.900000000001</v>
      </c>
      <c r="F894">
        <v>11221</v>
      </c>
      <c r="G894" t="s">
        <v>1228</v>
      </c>
      <c r="H894" t="s">
        <v>18</v>
      </c>
    </row>
    <row r="895" spans="1:8" x14ac:dyDescent="0.2">
      <c r="A895" t="s">
        <v>1850</v>
      </c>
      <c r="B895" t="s">
        <v>1099</v>
      </c>
      <c r="C895" t="s">
        <v>1100</v>
      </c>
      <c r="D895" t="s">
        <v>35</v>
      </c>
      <c r="E895">
        <v>16866.900000000001</v>
      </c>
      <c r="F895">
        <v>11221</v>
      </c>
      <c r="G895" t="s">
        <v>35</v>
      </c>
      <c r="H895" t="s">
        <v>18</v>
      </c>
    </row>
    <row r="896" spans="1:8" x14ac:dyDescent="0.2">
      <c r="A896" t="s">
        <v>1198</v>
      </c>
      <c r="B896" t="s">
        <v>1174</v>
      </c>
      <c r="C896" t="s">
        <v>1092</v>
      </c>
      <c r="D896" t="s">
        <v>1096</v>
      </c>
      <c r="E896">
        <v>79428.654219999997</v>
      </c>
      <c r="F896">
        <v>18</v>
      </c>
      <c r="G896" t="s">
        <v>1093</v>
      </c>
      <c r="H896" t="s">
        <v>18</v>
      </c>
    </row>
    <row r="897" spans="1:8" x14ac:dyDescent="0.2">
      <c r="A897" t="s">
        <v>1198</v>
      </c>
      <c r="B897" t="s">
        <v>1099</v>
      </c>
      <c r="C897" t="s">
        <v>1100</v>
      </c>
      <c r="D897" t="s">
        <v>35</v>
      </c>
      <c r="E897">
        <v>79428.654219999997</v>
      </c>
      <c r="F897">
        <v>18</v>
      </c>
      <c r="G897" t="s">
        <v>35</v>
      </c>
      <c r="H897" t="s">
        <v>18</v>
      </c>
    </row>
    <row r="898" spans="1:8" x14ac:dyDescent="0.2">
      <c r="A898" t="s">
        <v>1199</v>
      </c>
      <c r="B898" t="s">
        <v>1200</v>
      </c>
      <c r="C898" t="s">
        <v>1092</v>
      </c>
      <c r="D898" t="s">
        <v>1058</v>
      </c>
      <c r="E898">
        <v>465470.435</v>
      </c>
      <c r="F898">
        <v>59</v>
      </c>
      <c r="G898" t="s">
        <v>1093</v>
      </c>
      <c r="H898" t="s">
        <v>18</v>
      </c>
    </row>
    <row r="899" spans="1:8" x14ac:dyDescent="0.2">
      <c r="A899" t="s">
        <v>1199</v>
      </c>
      <c r="B899" t="s">
        <v>1099</v>
      </c>
      <c r="C899" t="s">
        <v>1100</v>
      </c>
      <c r="D899" t="s">
        <v>35</v>
      </c>
      <c r="E899">
        <v>465470.435</v>
      </c>
      <c r="F899">
        <v>59</v>
      </c>
      <c r="G899" t="s">
        <v>35</v>
      </c>
      <c r="H899" t="s">
        <v>18</v>
      </c>
    </row>
    <row r="900" spans="1:8" x14ac:dyDescent="0.2">
      <c r="A900" t="s">
        <v>1201</v>
      </c>
      <c r="B900" t="s">
        <v>1202</v>
      </c>
      <c r="C900" t="s">
        <v>1092</v>
      </c>
      <c r="D900" t="s">
        <v>1096</v>
      </c>
      <c r="E900">
        <v>172823.32237000001</v>
      </c>
      <c r="F900">
        <v>50</v>
      </c>
      <c r="G900" t="s">
        <v>1093</v>
      </c>
      <c r="H900" t="s">
        <v>18</v>
      </c>
    </row>
    <row r="901" spans="1:8" x14ac:dyDescent="0.2">
      <c r="A901" t="s">
        <v>1201</v>
      </c>
      <c r="B901" t="s">
        <v>1099</v>
      </c>
      <c r="C901" t="s">
        <v>1100</v>
      </c>
      <c r="D901" t="s">
        <v>35</v>
      </c>
      <c r="E901">
        <v>172823.32237000001</v>
      </c>
      <c r="F901">
        <v>50</v>
      </c>
      <c r="G901" t="s">
        <v>35</v>
      </c>
      <c r="H901" t="s">
        <v>18</v>
      </c>
    </row>
    <row r="902" spans="1:8" x14ac:dyDescent="0.2">
      <c r="A902" t="s">
        <v>105</v>
      </c>
      <c r="B902" t="s">
        <v>1232</v>
      </c>
      <c r="C902" t="s">
        <v>1092</v>
      </c>
      <c r="D902" t="s">
        <v>1058</v>
      </c>
      <c r="E902">
        <v>205129.42582400001</v>
      </c>
      <c r="F902">
        <v>132827</v>
      </c>
      <c r="G902" t="s">
        <v>1228</v>
      </c>
      <c r="H902" t="s">
        <v>18</v>
      </c>
    </row>
    <row r="903" spans="1:8" x14ac:dyDescent="0.2">
      <c r="A903" t="s">
        <v>105</v>
      </c>
      <c r="B903" t="s">
        <v>1281</v>
      </c>
      <c r="C903" t="s">
        <v>1092</v>
      </c>
      <c r="D903" t="s">
        <v>1126</v>
      </c>
      <c r="E903">
        <v>1158.0412369999999</v>
      </c>
      <c r="F903">
        <v>831</v>
      </c>
      <c r="G903" t="s">
        <v>1236</v>
      </c>
      <c r="H903" t="s">
        <v>18</v>
      </c>
    </row>
    <row r="904" spans="1:8" x14ac:dyDescent="0.2">
      <c r="A904" t="s">
        <v>105</v>
      </c>
      <c r="B904" t="s">
        <v>1282</v>
      </c>
      <c r="C904" t="s">
        <v>1092</v>
      </c>
      <c r="D904" t="s">
        <v>1126</v>
      </c>
      <c r="E904">
        <v>1031.752577</v>
      </c>
      <c r="F904">
        <v>750</v>
      </c>
      <c r="G904" t="s">
        <v>1236</v>
      </c>
      <c r="H904" t="s">
        <v>18</v>
      </c>
    </row>
    <row r="905" spans="1:8" x14ac:dyDescent="0.2">
      <c r="A905" t="s">
        <v>105</v>
      </c>
      <c r="B905" t="s">
        <v>1246</v>
      </c>
      <c r="C905" t="s">
        <v>1092</v>
      </c>
      <c r="D905" t="s">
        <v>1096</v>
      </c>
      <c r="E905">
        <v>0</v>
      </c>
      <c r="F905">
        <v>0</v>
      </c>
      <c r="G905" t="s">
        <v>1238</v>
      </c>
      <c r="H905" t="s">
        <v>18</v>
      </c>
    </row>
    <row r="906" spans="1:8" x14ac:dyDescent="0.2">
      <c r="A906" t="s">
        <v>105</v>
      </c>
      <c r="B906" t="s">
        <v>1283</v>
      </c>
      <c r="C906" t="s">
        <v>1092</v>
      </c>
      <c r="D906" t="s">
        <v>1126</v>
      </c>
      <c r="E906">
        <v>1913.917526</v>
      </c>
      <c r="F906">
        <v>1374</v>
      </c>
      <c r="G906" t="s">
        <v>1236</v>
      </c>
      <c r="H906" t="s">
        <v>18</v>
      </c>
    </row>
    <row r="907" spans="1:8" x14ac:dyDescent="0.2">
      <c r="A907" t="s">
        <v>105</v>
      </c>
      <c r="B907" t="s">
        <v>1247</v>
      </c>
      <c r="C907" t="s">
        <v>1092</v>
      </c>
      <c r="D907" t="s">
        <v>1096</v>
      </c>
      <c r="E907">
        <v>0</v>
      </c>
      <c r="F907">
        <v>0</v>
      </c>
      <c r="G907" t="s">
        <v>1238</v>
      </c>
      <c r="H907" t="s">
        <v>18</v>
      </c>
    </row>
    <row r="908" spans="1:8" x14ac:dyDescent="0.2">
      <c r="A908" t="s">
        <v>105</v>
      </c>
      <c r="B908" t="s">
        <v>1248</v>
      </c>
      <c r="C908" t="s">
        <v>1092</v>
      </c>
      <c r="D908" t="s">
        <v>1096</v>
      </c>
      <c r="E908">
        <v>2317.3742160000002</v>
      </c>
      <c r="F908">
        <v>192</v>
      </c>
      <c r="G908" t="s">
        <v>1238</v>
      </c>
      <c r="H908" t="s">
        <v>18</v>
      </c>
    </row>
    <row r="909" spans="1:8" x14ac:dyDescent="0.2">
      <c r="A909" t="s">
        <v>105</v>
      </c>
      <c r="B909" t="s">
        <v>1254</v>
      </c>
      <c r="C909" t="s">
        <v>1092</v>
      </c>
      <c r="D909" t="s">
        <v>1126</v>
      </c>
      <c r="E909">
        <v>147585.35278800002</v>
      </c>
      <c r="F909">
        <v>84602</v>
      </c>
      <c r="G909" t="s">
        <v>1109</v>
      </c>
      <c r="H909" t="s">
        <v>18</v>
      </c>
    </row>
    <row r="910" spans="1:8" x14ac:dyDescent="0.2">
      <c r="A910" t="s">
        <v>105</v>
      </c>
      <c r="B910" t="s">
        <v>1243</v>
      </c>
      <c r="C910" t="s">
        <v>1092</v>
      </c>
      <c r="D910" t="s">
        <v>1061</v>
      </c>
      <c r="E910">
        <v>15204.918390000001</v>
      </c>
      <c r="F910">
        <v>1159</v>
      </c>
      <c r="G910" t="s">
        <v>1238</v>
      </c>
      <c r="H910" t="s">
        <v>18</v>
      </c>
    </row>
    <row r="911" spans="1:8" x14ac:dyDescent="0.2">
      <c r="A911" t="s">
        <v>105</v>
      </c>
      <c r="B911" t="s">
        <v>1249</v>
      </c>
      <c r="C911" t="s">
        <v>1092</v>
      </c>
      <c r="D911" t="s">
        <v>1096</v>
      </c>
      <c r="E911">
        <v>46491.660335</v>
      </c>
      <c r="F911">
        <v>3085</v>
      </c>
      <c r="G911" t="s">
        <v>1238</v>
      </c>
      <c r="H911" t="s">
        <v>18</v>
      </c>
    </row>
    <row r="912" spans="1:8" x14ac:dyDescent="0.2">
      <c r="A912" t="s">
        <v>105</v>
      </c>
      <c r="B912" t="s">
        <v>1284</v>
      </c>
      <c r="C912" t="s">
        <v>1092</v>
      </c>
      <c r="D912" t="s">
        <v>1052</v>
      </c>
      <c r="E912">
        <v>14572.21</v>
      </c>
      <c r="F912">
        <v>2845</v>
      </c>
      <c r="G912" t="s">
        <v>1093</v>
      </c>
      <c r="H912" t="s">
        <v>18</v>
      </c>
    </row>
    <row r="913" spans="1:8" x14ac:dyDescent="0.2">
      <c r="A913" t="s">
        <v>105</v>
      </c>
      <c r="B913" t="s">
        <v>1250</v>
      </c>
      <c r="C913" t="s">
        <v>1092</v>
      </c>
      <c r="D913" t="s">
        <v>1096</v>
      </c>
      <c r="E913">
        <v>0</v>
      </c>
      <c r="F913">
        <v>0</v>
      </c>
      <c r="G913" t="s">
        <v>1238</v>
      </c>
      <c r="H913" t="s">
        <v>18</v>
      </c>
    </row>
    <row r="914" spans="1:8" x14ac:dyDescent="0.2">
      <c r="A914" t="s">
        <v>105</v>
      </c>
      <c r="B914" t="s">
        <v>1210</v>
      </c>
      <c r="C914" t="s">
        <v>1092</v>
      </c>
      <c r="D914" t="s">
        <v>1058</v>
      </c>
      <c r="E914">
        <v>98542.186269999991</v>
      </c>
      <c r="F914">
        <v>14</v>
      </c>
      <c r="G914" t="s">
        <v>1093</v>
      </c>
      <c r="H914" t="s">
        <v>18</v>
      </c>
    </row>
    <row r="915" spans="1:8" x14ac:dyDescent="0.2">
      <c r="A915" t="s">
        <v>105</v>
      </c>
      <c r="B915" t="s">
        <v>1255</v>
      </c>
      <c r="C915" t="s">
        <v>1092</v>
      </c>
      <c r="D915" t="s">
        <v>1126</v>
      </c>
      <c r="E915">
        <v>35025.908246999999</v>
      </c>
      <c r="F915">
        <v>21211</v>
      </c>
      <c r="G915" t="s">
        <v>1109</v>
      </c>
      <c r="H915" t="s">
        <v>18</v>
      </c>
    </row>
    <row r="916" spans="1:8" x14ac:dyDescent="0.2">
      <c r="A916" t="s">
        <v>105</v>
      </c>
      <c r="B916" t="s">
        <v>1285</v>
      </c>
      <c r="C916" t="s">
        <v>1092</v>
      </c>
      <c r="D916" t="s">
        <v>1126</v>
      </c>
      <c r="E916">
        <v>1275.8762889999998</v>
      </c>
      <c r="F916">
        <v>906</v>
      </c>
      <c r="G916" t="s">
        <v>1236</v>
      </c>
      <c r="H916" t="s">
        <v>18</v>
      </c>
    </row>
    <row r="917" spans="1:8" x14ac:dyDescent="0.2">
      <c r="A917" t="s">
        <v>105</v>
      </c>
      <c r="B917" t="s">
        <v>1237</v>
      </c>
      <c r="C917" t="s">
        <v>1092</v>
      </c>
      <c r="D917" t="s">
        <v>1058</v>
      </c>
      <c r="E917">
        <v>597.52021999999999</v>
      </c>
      <c r="F917">
        <v>245</v>
      </c>
      <c r="G917" t="s">
        <v>1238</v>
      </c>
      <c r="H917" t="s">
        <v>18</v>
      </c>
    </row>
    <row r="918" spans="1:8" x14ac:dyDescent="0.2">
      <c r="A918" t="s">
        <v>105</v>
      </c>
      <c r="B918" t="s">
        <v>1256</v>
      </c>
      <c r="C918" t="s">
        <v>1092</v>
      </c>
      <c r="D918" t="s">
        <v>1126</v>
      </c>
      <c r="E918">
        <v>15939.101546</v>
      </c>
      <c r="F918">
        <v>10522</v>
      </c>
      <c r="G918" t="s">
        <v>1109</v>
      </c>
      <c r="H918" t="s">
        <v>18</v>
      </c>
    </row>
    <row r="919" spans="1:8" x14ac:dyDescent="0.2">
      <c r="A919" t="s">
        <v>105</v>
      </c>
      <c r="B919" t="s">
        <v>1234</v>
      </c>
      <c r="C919" t="s">
        <v>1092</v>
      </c>
      <c r="D919" t="s">
        <v>1061</v>
      </c>
      <c r="E919">
        <v>134212.70001100001</v>
      </c>
      <c r="F919">
        <v>76088</v>
      </c>
      <c r="G919" t="s">
        <v>1228</v>
      </c>
      <c r="H919" t="s">
        <v>18</v>
      </c>
    </row>
    <row r="920" spans="1:8" x14ac:dyDescent="0.2">
      <c r="A920" t="s">
        <v>105</v>
      </c>
      <c r="B920" t="s">
        <v>1227</v>
      </c>
      <c r="C920" t="s">
        <v>1092</v>
      </c>
      <c r="D920" t="s">
        <v>1058</v>
      </c>
      <c r="E920">
        <v>44833.875343000007</v>
      </c>
      <c r="F920">
        <v>23570</v>
      </c>
      <c r="G920" t="s">
        <v>1228</v>
      </c>
      <c r="H920" t="s">
        <v>18</v>
      </c>
    </row>
    <row r="921" spans="1:8" x14ac:dyDescent="0.2">
      <c r="A921" t="s">
        <v>105</v>
      </c>
      <c r="B921" t="s">
        <v>1239</v>
      </c>
      <c r="C921" t="s">
        <v>1092</v>
      </c>
      <c r="D921" t="s">
        <v>1058</v>
      </c>
      <c r="E921">
        <v>3424.040242</v>
      </c>
      <c r="F921">
        <v>248</v>
      </c>
      <c r="G921" t="s">
        <v>1238</v>
      </c>
      <c r="H921" t="s">
        <v>18</v>
      </c>
    </row>
    <row r="922" spans="1:8" x14ac:dyDescent="0.2">
      <c r="A922" t="s">
        <v>105</v>
      </c>
      <c r="B922" t="s">
        <v>1259</v>
      </c>
      <c r="C922" t="s">
        <v>1092</v>
      </c>
      <c r="D922" t="s">
        <v>1061</v>
      </c>
      <c r="E922">
        <v>95900.189488000004</v>
      </c>
      <c r="F922">
        <v>52697</v>
      </c>
      <c r="G922" t="s">
        <v>1228</v>
      </c>
      <c r="H922" t="s">
        <v>18</v>
      </c>
    </row>
    <row r="923" spans="1:8" x14ac:dyDescent="0.2">
      <c r="A923" t="s">
        <v>105</v>
      </c>
      <c r="B923" t="s">
        <v>1260</v>
      </c>
      <c r="C923" t="s">
        <v>1092</v>
      </c>
      <c r="D923" t="s">
        <v>1061</v>
      </c>
      <c r="E923">
        <v>73939.202382999996</v>
      </c>
      <c r="F923">
        <v>43183</v>
      </c>
      <c r="G923" t="s">
        <v>1228</v>
      </c>
      <c r="H923" t="s">
        <v>18</v>
      </c>
    </row>
    <row r="924" spans="1:8" x14ac:dyDescent="0.2">
      <c r="A924" t="s">
        <v>105</v>
      </c>
      <c r="B924" t="s">
        <v>1257</v>
      </c>
      <c r="C924" t="s">
        <v>1092</v>
      </c>
      <c r="D924" t="s">
        <v>1126</v>
      </c>
      <c r="E924">
        <v>12128.127999999999</v>
      </c>
      <c r="F924">
        <v>8425</v>
      </c>
      <c r="G924" t="s">
        <v>1109</v>
      </c>
      <c r="H924" t="s">
        <v>18</v>
      </c>
    </row>
    <row r="925" spans="1:8" x14ac:dyDescent="0.2">
      <c r="A925" t="s">
        <v>105</v>
      </c>
      <c r="B925" t="s">
        <v>1235</v>
      </c>
      <c r="C925" t="s">
        <v>1092</v>
      </c>
      <c r="D925" t="s">
        <v>1223</v>
      </c>
      <c r="E925">
        <v>13927.164999999999</v>
      </c>
      <c r="F925">
        <v>4932</v>
      </c>
      <c r="G925" t="s">
        <v>1236</v>
      </c>
      <c r="H925" t="s">
        <v>18</v>
      </c>
    </row>
    <row r="926" spans="1:8" x14ac:dyDescent="0.2">
      <c r="A926" t="s">
        <v>105</v>
      </c>
      <c r="B926" t="s">
        <v>1240</v>
      </c>
      <c r="C926" t="s">
        <v>1092</v>
      </c>
      <c r="D926" t="s">
        <v>1058</v>
      </c>
      <c r="E926">
        <v>5065.0677839999998</v>
      </c>
      <c r="F926">
        <v>402</v>
      </c>
      <c r="G926" t="s">
        <v>1238</v>
      </c>
      <c r="H926" t="s">
        <v>18</v>
      </c>
    </row>
    <row r="927" spans="1:8" x14ac:dyDescent="0.2">
      <c r="A927" t="s">
        <v>105</v>
      </c>
      <c r="B927" t="s">
        <v>1422</v>
      </c>
      <c r="C927" t="s">
        <v>1092</v>
      </c>
      <c r="D927" t="s">
        <v>1126</v>
      </c>
      <c r="E927">
        <v>0</v>
      </c>
      <c r="F927">
        <v>0</v>
      </c>
      <c r="G927" t="s">
        <v>1236</v>
      </c>
      <c r="H927" t="s">
        <v>18</v>
      </c>
    </row>
    <row r="928" spans="1:8" x14ac:dyDescent="0.2">
      <c r="A928" t="s">
        <v>105</v>
      </c>
      <c r="B928" t="s">
        <v>1286</v>
      </c>
      <c r="C928" t="s">
        <v>1092</v>
      </c>
      <c r="D928" t="s">
        <v>1126</v>
      </c>
      <c r="E928">
        <v>8968.0123709999989</v>
      </c>
      <c r="F928">
        <v>5728</v>
      </c>
      <c r="G928" t="s">
        <v>1109</v>
      </c>
      <c r="H928" t="s">
        <v>18</v>
      </c>
    </row>
    <row r="929" spans="1:8" x14ac:dyDescent="0.2">
      <c r="A929" t="s">
        <v>105</v>
      </c>
      <c r="B929" t="s">
        <v>1852</v>
      </c>
      <c r="C929" t="s">
        <v>1092</v>
      </c>
      <c r="D929" t="s">
        <v>1126</v>
      </c>
      <c r="E929">
        <v>2923.1043810000001</v>
      </c>
      <c r="F929">
        <v>2348</v>
      </c>
      <c r="G929" t="s">
        <v>1236</v>
      </c>
      <c r="H929" t="s">
        <v>18</v>
      </c>
    </row>
    <row r="930" spans="1:8" x14ac:dyDescent="0.2">
      <c r="A930" t="s">
        <v>105</v>
      </c>
      <c r="B930" t="s">
        <v>1241</v>
      </c>
      <c r="C930" t="s">
        <v>1092</v>
      </c>
      <c r="D930" t="s">
        <v>1058</v>
      </c>
      <c r="E930">
        <v>20705.842438</v>
      </c>
      <c r="F930">
        <v>1592</v>
      </c>
      <c r="G930" t="s">
        <v>1238</v>
      </c>
      <c r="H930" t="s">
        <v>18</v>
      </c>
    </row>
    <row r="931" spans="1:8" x14ac:dyDescent="0.2">
      <c r="A931" t="s">
        <v>105</v>
      </c>
      <c r="B931" t="s">
        <v>1242</v>
      </c>
      <c r="C931" t="s">
        <v>1092</v>
      </c>
      <c r="D931" t="s">
        <v>1058</v>
      </c>
      <c r="E931">
        <v>117017.038229</v>
      </c>
      <c r="F931">
        <v>10686</v>
      </c>
      <c r="G931" t="s">
        <v>1238</v>
      </c>
      <c r="H931" t="s">
        <v>18</v>
      </c>
    </row>
    <row r="932" spans="1:8" x14ac:dyDescent="0.2">
      <c r="A932" t="s">
        <v>105</v>
      </c>
      <c r="B932" t="s">
        <v>1853</v>
      </c>
      <c r="C932" t="s">
        <v>1092</v>
      </c>
      <c r="D932" t="s">
        <v>1058</v>
      </c>
      <c r="E932">
        <v>42570.323000000004</v>
      </c>
      <c r="F932">
        <v>24497</v>
      </c>
      <c r="G932" t="s">
        <v>1228</v>
      </c>
      <c r="H932" t="s">
        <v>18</v>
      </c>
    </row>
    <row r="933" spans="1:8" x14ac:dyDescent="0.2">
      <c r="A933" t="s">
        <v>105</v>
      </c>
      <c r="B933" t="s">
        <v>1252</v>
      </c>
      <c r="C933" t="s">
        <v>1092</v>
      </c>
      <c r="D933" t="s">
        <v>1223</v>
      </c>
      <c r="E933">
        <v>308456.11231</v>
      </c>
      <c r="F933">
        <v>154742</v>
      </c>
      <c r="G933" t="s">
        <v>1109</v>
      </c>
      <c r="H933" t="s">
        <v>18</v>
      </c>
    </row>
    <row r="934" spans="1:8" x14ac:dyDescent="0.2">
      <c r="A934" t="s">
        <v>105</v>
      </c>
      <c r="B934" t="s">
        <v>1261</v>
      </c>
      <c r="C934" t="s">
        <v>1092</v>
      </c>
      <c r="D934" t="s">
        <v>1061</v>
      </c>
      <c r="E934">
        <v>271083.62053000001</v>
      </c>
      <c r="F934">
        <v>154603</v>
      </c>
      <c r="G934" t="s">
        <v>1228</v>
      </c>
      <c r="H934" t="s">
        <v>18</v>
      </c>
    </row>
    <row r="935" spans="1:8" x14ac:dyDescent="0.2">
      <c r="A935" t="s">
        <v>105</v>
      </c>
      <c r="B935" t="s">
        <v>1229</v>
      </c>
      <c r="C935" t="s">
        <v>1092</v>
      </c>
      <c r="D935" t="s">
        <v>1061</v>
      </c>
      <c r="E935">
        <v>89339.962370000008</v>
      </c>
      <c r="F935">
        <v>50746</v>
      </c>
      <c r="G935" t="s">
        <v>1228</v>
      </c>
      <c r="H935" t="s">
        <v>18</v>
      </c>
    </row>
    <row r="936" spans="1:8" x14ac:dyDescent="0.2">
      <c r="A936" t="s">
        <v>105</v>
      </c>
      <c r="B936" t="s">
        <v>1230</v>
      </c>
      <c r="C936" t="s">
        <v>1092</v>
      </c>
      <c r="D936" t="s">
        <v>1061</v>
      </c>
      <c r="E936">
        <v>114746.17333000001</v>
      </c>
      <c r="F936">
        <v>59605</v>
      </c>
      <c r="G936" t="s">
        <v>1228</v>
      </c>
      <c r="H936" t="s">
        <v>18</v>
      </c>
    </row>
    <row r="937" spans="1:8" x14ac:dyDescent="0.2">
      <c r="A937" t="s">
        <v>105</v>
      </c>
      <c r="B937" t="s">
        <v>1253</v>
      </c>
      <c r="C937" t="s">
        <v>1092</v>
      </c>
      <c r="D937" t="s">
        <v>1223</v>
      </c>
      <c r="E937">
        <v>214412.981443</v>
      </c>
      <c r="F937">
        <v>101325</v>
      </c>
      <c r="G937" t="s">
        <v>1109</v>
      </c>
      <c r="H937" t="s">
        <v>18</v>
      </c>
    </row>
    <row r="938" spans="1:8" x14ac:dyDescent="0.2">
      <c r="A938" t="s">
        <v>105</v>
      </c>
      <c r="B938" t="s">
        <v>1423</v>
      </c>
      <c r="C938" t="s">
        <v>1092</v>
      </c>
      <c r="D938" t="s">
        <v>1126</v>
      </c>
      <c r="E938">
        <v>18281.275173000002</v>
      </c>
      <c r="F938">
        <v>1413</v>
      </c>
      <c r="G938" t="s">
        <v>1238</v>
      </c>
      <c r="H938" t="s">
        <v>18</v>
      </c>
    </row>
    <row r="939" spans="1:8" x14ac:dyDescent="0.2">
      <c r="A939" t="s">
        <v>105</v>
      </c>
      <c r="B939" t="s">
        <v>1251</v>
      </c>
      <c r="C939" t="s">
        <v>1092</v>
      </c>
      <c r="D939" t="s">
        <v>1096</v>
      </c>
      <c r="E939">
        <v>0</v>
      </c>
      <c r="F939">
        <v>0</v>
      </c>
      <c r="G939" t="s">
        <v>1238</v>
      </c>
      <c r="H939" t="s">
        <v>18</v>
      </c>
    </row>
    <row r="940" spans="1:8" x14ac:dyDescent="0.2">
      <c r="A940" t="s">
        <v>105</v>
      </c>
      <c r="B940" t="s">
        <v>1231</v>
      </c>
      <c r="C940" t="s">
        <v>1092</v>
      </c>
      <c r="D940" t="s">
        <v>1058</v>
      </c>
      <c r="E940">
        <v>35762.878747000002</v>
      </c>
      <c r="F940">
        <v>20334</v>
      </c>
      <c r="G940" t="s">
        <v>1228</v>
      </c>
      <c r="H940" t="s">
        <v>18</v>
      </c>
    </row>
    <row r="941" spans="1:8" x14ac:dyDescent="0.2">
      <c r="A941" t="s">
        <v>105</v>
      </c>
      <c r="B941" t="s">
        <v>1424</v>
      </c>
      <c r="C941" t="s">
        <v>1092</v>
      </c>
      <c r="D941" t="s">
        <v>1126</v>
      </c>
      <c r="E941">
        <v>23146.808703000002</v>
      </c>
      <c r="F941">
        <v>1785</v>
      </c>
      <c r="G941" t="s">
        <v>1238</v>
      </c>
      <c r="H941" t="s">
        <v>18</v>
      </c>
    </row>
    <row r="942" spans="1:8" x14ac:dyDescent="0.2">
      <c r="A942" t="s">
        <v>105</v>
      </c>
      <c r="B942" t="s">
        <v>1233</v>
      </c>
      <c r="C942" t="s">
        <v>1092</v>
      </c>
      <c r="D942" t="s">
        <v>1058</v>
      </c>
      <c r="E942">
        <v>132022.38803499998</v>
      </c>
      <c r="F942">
        <v>88928</v>
      </c>
      <c r="G942" t="s">
        <v>1228</v>
      </c>
      <c r="H942" t="s">
        <v>18</v>
      </c>
    </row>
    <row r="943" spans="1:8" x14ac:dyDescent="0.2">
      <c r="A943" t="s">
        <v>105</v>
      </c>
      <c r="B943" t="s">
        <v>1287</v>
      </c>
      <c r="C943" t="s">
        <v>1092</v>
      </c>
      <c r="D943" t="s">
        <v>1126</v>
      </c>
      <c r="E943">
        <v>1393.4020619999999</v>
      </c>
      <c r="F943">
        <v>1082</v>
      </c>
      <c r="G943" t="s">
        <v>1236</v>
      </c>
      <c r="H943" t="s">
        <v>18</v>
      </c>
    </row>
    <row r="944" spans="1:8" x14ac:dyDescent="0.2">
      <c r="A944" t="s">
        <v>105</v>
      </c>
      <c r="B944" t="s">
        <v>1806</v>
      </c>
      <c r="C944" t="s">
        <v>1092</v>
      </c>
      <c r="D944" t="s">
        <v>1061</v>
      </c>
      <c r="E944">
        <v>9071.2885310000001</v>
      </c>
      <c r="F944">
        <v>0</v>
      </c>
      <c r="G944" t="s">
        <v>1103</v>
      </c>
      <c r="H944" t="s">
        <v>18</v>
      </c>
    </row>
    <row r="945" spans="1:8" x14ac:dyDescent="0.2">
      <c r="A945" t="s">
        <v>105</v>
      </c>
      <c r="B945" t="s">
        <v>1244</v>
      </c>
      <c r="C945" t="s">
        <v>1092</v>
      </c>
      <c r="D945" t="s">
        <v>1052</v>
      </c>
      <c r="E945">
        <v>3269.241368</v>
      </c>
      <c r="F945">
        <v>617</v>
      </c>
      <c r="G945" t="s">
        <v>1238</v>
      </c>
      <c r="H945" t="s">
        <v>18</v>
      </c>
    </row>
    <row r="946" spans="1:8" x14ac:dyDescent="0.2">
      <c r="A946" t="s">
        <v>105</v>
      </c>
      <c r="B946" t="s">
        <v>1245</v>
      </c>
      <c r="C946" t="s">
        <v>1092</v>
      </c>
      <c r="D946" t="s">
        <v>1052</v>
      </c>
      <c r="E946">
        <v>14459.5075</v>
      </c>
      <c r="F946">
        <v>1110</v>
      </c>
      <c r="G946" t="s">
        <v>1238</v>
      </c>
      <c r="H946" t="s">
        <v>18</v>
      </c>
    </row>
    <row r="947" spans="1:8" x14ac:dyDescent="0.2">
      <c r="A947" t="s">
        <v>105</v>
      </c>
      <c r="B947" t="s">
        <v>1689</v>
      </c>
      <c r="C947" t="s">
        <v>1092</v>
      </c>
      <c r="D947" t="s">
        <v>1096</v>
      </c>
      <c r="E947">
        <v>25514.950670000002</v>
      </c>
      <c r="F947">
        <v>4</v>
      </c>
      <c r="G947" t="s">
        <v>1093</v>
      </c>
      <c r="H947" t="s">
        <v>18</v>
      </c>
    </row>
    <row r="948" spans="1:8" x14ac:dyDescent="0.2">
      <c r="A948" t="s">
        <v>105</v>
      </c>
      <c r="B948" t="s">
        <v>1099</v>
      </c>
      <c r="C948" t="s">
        <v>1100</v>
      </c>
      <c r="D948" t="s">
        <v>35</v>
      </c>
      <c r="E948">
        <v>2423360.5249069999</v>
      </c>
      <c r="F948">
        <v>1151253</v>
      </c>
      <c r="G948" t="s">
        <v>35</v>
      </c>
      <c r="H948" t="s">
        <v>18</v>
      </c>
    </row>
    <row r="949" spans="1:8" x14ac:dyDescent="0.2">
      <c r="A949" t="s">
        <v>1204</v>
      </c>
      <c r="B949" t="s">
        <v>1205</v>
      </c>
      <c r="C949" t="s">
        <v>1092</v>
      </c>
      <c r="D949" t="s">
        <v>1061</v>
      </c>
      <c r="E949">
        <v>188028.18830000001</v>
      </c>
      <c r="F949">
        <v>80</v>
      </c>
      <c r="G949" t="s">
        <v>1103</v>
      </c>
      <c r="H949" t="s">
        <v>18</v>
      </c>
    </row>
    <row r="950" spans="1:8" x14ac:dyDescent="0.2">
      <c r="A950" t="s">
        <v>1204</v>
      </c>
      <c r="B950" t="s">
        <v>1099</v>
      </c>
      <c r="C950" t="s">
        <v>1100</v>
      </c>
      <c r="D950" t="s">
        <v>35</v>
      </c>
      <c r="E950">
        <v>188028.18830000001</v>
      </c>
      <c r="F950">
        <v>80</v>
      </c>
      <c r="G950" t="s">
        <v>35</v>
      </c>
      <c r="H950" t="s">
        <v>18</v>
      </c>
    </row>
    <row r="951" spans="1:8" x14ac:dyDescent="0.2">
      <c r="A951" t="s">
        <v>215</v>
      </c>
      <c r="B951" t="s">
        <v>1206</v>
      </c>
      <c r="C951" t="s">
        <v>1092</v>
      </c>
      <c r="D951" t="s">
        <v>1061</v>
      </c>
      <c r="E951">
        <v>95634.546000000002</v>
      </c>
      <c r="F951">
        <v>354</v>
      </c>
      <c r="G951" t="s">
        <v>1107</v>
      </c>
      <c r="H951" t="s">
        <v>18</v>
      </c>
    </row>
    <row r="952" spans="1:8" x14ac:dyDescent="0.2">
      <c r="A952" t="s">
        <v>215</v>
      </c>
      <c r="B952" t="s">
        <v>1207</v>
      </c>
      <c r="C952" t="s">
        <v>1092</v>
      </c>
      <c r="D952" t="s">
        <v>1061</v>
      </c>
      <c r="E952">
        <v>660150.071</v>
      </c>
      <c r="F952">
        <v>86</v>
      </c>
      <c r="G952" t="s">
        <v>1107</v>
      </c>
      <c r="H952" t="s">
        <v>18</v>
      </c>
    </row>
    <row r="953" spans="1:8" x14ac:dyDescent="0.2">
      <c r="A953" t="s">
        <v>215</v>
      </c>
      <c r="B953" t="s">
        <v>1208</v>
      </c>
      <c r="C953" t="s">
        <v>1092</v>
      </c>
      <c r="D953" t="s">
        <v>1061</v>
      </c>
      <c r="E953">
        <v>367387.05800000002</v>
      </c>
      <c r="F953">
        <v>145668</v>
      </c>
      <c r="G953" t="s">
        <v>1109</v>
      </c>
      <c r="H953" t="s">
        <v>18</v>
      </c>
    </row>
    <row r="954" spans="1:8" x14ac:dyDescent="0.2">
      <c r="A954" t="s">
        <v>215</v>
      </c>
      <c r="B954" t="s">
        <v>1209</v>
      </c>
      <c r="C954" t="s">
        <v>1092</v>
      </c>
      <c r="D954" t="s">
        <v>1061</v>
      </c>
      <c r="E954">
        <v>774814.625</v>
      </c>
      <c r="F954">
        <v>13</v>
      </c>
      <c r="G954" t="s">
        <v>1107</v>
      </c>
      <c r="H954" t="s">
        <v>18</v>
      </c>
    </row>
    <row r="955" spans="1:8" x14ac:dyDescent="0.2">
      <c r="A955" t="s">
        <v>215</v>
      </c>
      <c r="B955" t="s">
        <v>1099</v>
      </c>
      <c r="C955" t="s">
        <v>1100</v>
      </c>
      <c r="D955" t="s">
        <v>35</v>
      </c>
      <c r="E955">
        <v>1897986.3000000003</v>
      </c>
      <c r="F955">
        <v>146121</v>
      </c>
      <c r="G955" t="s">
        <v>35</v>
      </c>
      <c r="H955" t="s">
        <v>18</v>
      </c>
    </row>
    <row r="956" spans="1:8" x14ac:dyDescent="0.2">
      <c r="A956" t="s">
        <v>1211</v>
      </c>
      <c r="B956" t="s">
        <v>1212</v>
      </c>
      <c r="C956" t="s">
        <v>1092</v>
      </c>
      <c r="D956" t="s">
        <v>1126</v>
      </c>
      <c r="E956">
        <v>652303.16300000006</v>
      </c>
      <c r="F956">
        <v>187</v>
      </c>
      <c r="G956" t="s">
        <v>1093</v>
      </c>
      <c r="H956" t="s">
        <v>18</v>
      </c>
    </row>
    <row r="957" spans="1:8" x14ac:dyDescent="0.2">
      <c r="A957" t="s">
        <v>1211</v>
      </c>
      <c r="B957" t="s">
        <v>1099</v>
      </c>
      <c r="C957" t="s">
        <v>1100</v>
      </c>
      <c r="D957" t="s">
        <v>35</v>
      </c>
      <c r="E957">
        <v>652303.16300000006</v>
      </c>
      <c r="F957">
        <v>187</v>
      </c>
      <c r="G957" t="s">
        <v>35</v>
      </c>
      <c r="H957" t="s">
        <v>18</v>
      </c>
    </row>
    <row r="958" spans="1:8" x14ac:dyDescent="0.2">
      <c r="A958" t="s">
        <v>1218</v>
      </c>
      <c r="B958" t="s">
        <v>1219</v>
      </c>
      <c r="C958" t="s">
        <v>1092</v>
      </c>
      <c r="D958" t="s">
        <v>1058</v>
      </c>
      <c r="E958">
        <v>546300.40500000003</v>
      </c>
      <c r="F958">
        <v>39</v>
      </c>
      <c r="G958" t="s">
        <v>1103</v>
      </c>
      <c r="H958" t="s">
        <v>18</v>
      </c>
    </row>
    <row r="959" spans="1:8" x14ac:dyDescent="0.2">
      <c r="A959" t="s">
        <v>1218</v>
      </c>
      <c r="B959" t="s">
        <v>1220</v>
      </c>
      <c r="C959" t="s">
        <v>1092</v>
      </c>
      <c r="D959" t="s">
        <v>1096</v>
      </c>
      <c r="E959">
        <v>100053.076</v>
      </c>
      <c r="F959">
        <v>10</v>
      </c>
      <c r="G959" t="s">
        <v>1103</v>
      </c>
      <c r="H959" t="s">
        <v>18</v>
      </c>
    </row>
    <row r="960" spans="1:8" x14ac:dyDescent="0.2">
      <c r="A960" t="s">
        <v>1218</v>
      </c>
      <c r="B960" t="s">
        <v>1221</v>
      </c>
      <c r="C960" t="s">
        <v>1092</v>
      </c>
      <c r="D960" t="s">
        <v>1096</v>
      </c>
      <c r="E960">
        <v>0</v>
      </c>
      <c r="F960">
        <v>0</v>
      </c>
      <c r="G960" t="s">
        <v>1191</v>
      </c>
      <c r="H960" t="s">
        <v>18</v>
      </c>
    </row>
    <row r="961" spans="1:8" x14ac:dyDescent="0.2">
      <c r="A961" t="s">
        <v>1218</v>
      </c>
      <c r="B961" t="s">
        <v>1222</v>
      </c>
      <c r="C961" t="s">
        <v>1092</v>
      </c>
      <c r="D961" t="s">
        <v>1061</v>
      </c>
      <c r="E961">
        <v>108558.45</v>
      </c>
      <c r="F961">
        <v>6</v>
      </c>
      <c r="G961" t="s">
        <v>1103</v>
      </c>
      <c r="H961" t="s">
        <v>18</v>
      </c>
    </row>
    <row r="962" spans="1:8" x14ac:dyDescent="0.2">
      <c r="A962" t="s">
        <v>1218</v>
      </c>
      <c r="B962" t="s">
        <v>1224</v>
      </c>
      <c r="C962" t="s">
        <v>1092</v>
      </c>
      <c r="D962" t="s">
        <v>1058</v>
      </c>
      <c r="E962">
        <v>0</v>
      </c>
      <c r="F962">
        <v>0</v>
      </c>
      <c r="G962" t="s">
        <v>1191</v>
      </c>
      <c r="H962" t="s">
        <v>18</v>
      </c>
    </row>
    <row r="963" spans="1:8" x14ac:dyDescent="0.2">
      <c r="A963" t="s">
        <v>1218</v>
      </c>
      <c r="B963" t="s">
        <v>1225</v>
      </c>
      <c r="C963" t="s">
        <v>1092</v>
      </c>
      <c r="D963" t="s">
        <v>1058</v>
      </c>
      <c r="E963">
        <v>0</v>
      </c>
      <c r="F963">
        <v>0</v>
      </c>
      <c r="G963" t="s">
        <v>1191</v>
      </c>
      <c r="H963" t="s">
        <v>18</v>
      </c>
    </row>
    <row r="964" spans="1:8" x14ac:dyDescent="0.2">
      <c r="A964" t="s">
        <v>1218</v>
      </c>
      <c r="B964" t="s">
        <v>1226</v>
      </c>
      <c r="C964" t="s">
        <v>1092</v>
      </c>
      <c r="D964" t="s">
        <v>1058</v>
      </c>
      <c r="E964">
        <v>0</v>
      </c>
      <c r="F964">
        <v>0</v>
      </c>
      <c r="G964" t="s">
        <v>1191</v>
      </c>
      <c r="H964" t="s">
        <v>18</v>
      </c>
    </row>
    <row r="965" spans="1:8" x14ac:dyDescent="0.2">
      <c r="A965" t="s">
        <v>1218</v>
      </c>
      <c r="B965" t="s">
        <v>1099</v>
      </c>
      <c r="C965" t="s">
        <v>1100</v>
      </c>
      <c r="D965" t="s">
        <v>35</v>
      </c>
      <c r="E965">
        <v>754911.93099999998</v>
      </c>
      <c r="F965">
        <v>55</v>
      </c>
      <c r="G965" t="s">
        <v>35</v>
      </c>
      <c r="H965" t="s">
        <v>18</v>
      </c>
    </row>
    <row r="966" spans="1:8" x14ac:dyDescent="0.2">
      <c r="A966" t="s">
        <v>71</v>
      </c>
      <c r="B966" t="s">
        <v>1262</v>
      </c>
      <c r="C966" t="s">
        <v>1092</v>
      </c>
      <c r="D966" t="s">
        <v>1126</v>
      </c>
      <c r="E966">
        <v>0</v>
      </c>
      <c r="F966">
        <v>66</v>
      </c>
      <c r="G966" t="s">
        <v>1191</v>
      </c>
      <c r="H966" t="s">
        <v>18</v>
      </c>
    </row>
    <row r="967" spans="1:8" x14ac:dyDescent="0.2">
      <c r="A967" t="s">
        <v>71</v>
      </c>
      <c r="B967" t="s">
        <v>1263</v>
      </c>
      <c r="C967" t="s">
        <v>1092</v>
      </c>
      <c r="D967" t="s">
        <v>1126</v>
      </c>
      <c r="E967">
        <v>1978.9949999999999</v>
      </c>
      <c r="F967">
        <v>91</v>
      </c>
      <c r="G967" t="s">
        <v>1093</v>
      </c>
      <c r="H967" t="s">
        <v>18</v>
      </c>
    </row>
    <row r="968" spans="1:8" x14ac:dyDescent="0.2">
      <c r="A968" t="s">
        <v>71</v>
      </c>
      <c r="B968" t="s">
        <v>1264</v>
      </c>
      <c r="C968" t="s">
        <v>1092</v>
      </c>
      <c r="D968" t="s">
        <v>1126</v>
      </c>
      <c r="E968">
        <v>985699.49025000003</v>
      </c>
      <c r="F968">
        <v>371127</v>
      </c>
      <c r="G968" t="s">
        <v>1109</v>
      </c>
      <c r="H968" t="s">
        <v>18</v>
      </c>
    </row>
    <row r="969" spans="1:8" x14ac:dyDescent="0.2">
      <c r="A969" t="s">
        <v>71</v>
      </c>
      <c r="B969" t="s">
        <v>1265</v>
      </c>
      <c r="C969" t="s">
        <v>1092</v>
      </c>
      <c r="D969" t="s">
        <v>1126</v>
      </c>
      <c r="E969">
        <v>965689.210127</v>
      </c>
      <c r="F969">
        <v>885552</v>
      </c>
      <c r="G969" t="s">
        <v>1111</v>
      </c>
      <c r="H969" t="s">
        <v>18</v>
      </c>
    </row>
    <row r="970" spans="1:8" x14ac:dyDescent="0.2">
      <c r="A970" t="s">
        <v>71</v>
      </c>
      <c r="B970" t="s">
        <v>1266</v>
      </c>
      <c r="C970" t="s">
        <v>1092</v>
      </c>
      <c r="D970" t="s">
        <v>1126</v>
      </c>
      <c r="E970">
        <v>3535.3005240000002</v>
      </c>
      <c r="F970">
        <v>1876</v>
      </c>
      <c r="G970" t="s">
        <v>1236</v>
      </c>
      <c r="H970" t="s">
        <v>18</v>
      </c>
    </row>
    <row r="971" spans="1:8" x14ac:dyDescent="0.2">
      <c r="A971" t="s">
        <v>71</v>
      </c>
      <c r="B971" t="s">
        <v>1267</v>
      </c>
      <c r="C971" t="s">
        <v>1092</v>
      </c>
      <c r="D971" t="s">
        <v>1126</v>
      </c>
      <c r="E971">
        <v>4835.7182570000004</v>
      </c>
      <c r="F971">
        <v>2510</v>
      </c>
      <c r="G971" t="s">
        <v>1236</v>
      </c>
      <c r="H971" t="s">
        <v>18</v>
      </c>
    </row>
    <row r="972" spans="1:8" x14ac:dyDescent="0.2">
      <c r="A972" t="s">
        <v>71</v>
      </c>
      <c r="B972" t="s">
        <v>1268</v>
      </c>
      <c r="C972" t="s">
        <v>1092</v>
      </c>
      <c r="D972" t="s">
        <v>1126</v>
      </c>
      <c r="E972">
        <v>2995.9385000000002</v>
      </c>
      <c r="F972">
        <v>0</v>
      </c>
      <c r="G972" t="s">
        <v>1093</v>
      </c>
      <c r="H972" t="s">
        <v>18</v>
      </c>
    </row>
    <row r="973" spans="1:8" x14ac:dyDescent="0.2">
      <c r="A973" t="s">
        <v>71</v>
      </c>
      <c r="B973" t="s">
        <v>1269</v>
      </c>
      <c r="C973" t="s">
        <v>1092</v>
      </c>
      <c r="D973" t="s">
        <v>1126</v>
      </c>
      <c r="E973">
        <v>4423.2146339999999</v>
      </c>
      <c r="F973">
        <v>2595</v>
      </c>
      <c r="G973" t="s">
        <v>1109</v>
      </c>
      <c r="H973" t="s">
        <v>18</v>
      </c>
    </row>
    <row r="974" spans="1:8" x14ac:dyDescent="0.2">
      <c r="A974" t="s">
        <v>71</v>
      </c>
      <c r="B974" t="s">
        <v>1270</v>
      </c>
      <c r="C974" t="s">
        <v>1092</v>
      </c>
      <c r="D974" t="s">
        <v>1126</v>
      </c>
      <c r="E974">
        <v>0</v>
      </c>
      <c r="F974">
        <v>250</v>
      </c>
      <c r="G974" t="s">
        <v>1191</v>
      </c>
      <c r="H974" t="s">
        <v>18</v>
      </c>
    </row>
    <row r="975" spans="1:8" x14ac:dyDescent="0.2">
      <c r="A975" t="s">
        <v>71</v>
      </c>
      <c r="B975" t="s">
        <v>1271</v>
      </c>
      <c r="C975" t="s">
        <v>1092</v>
      </c>
      <c r="D975" t="s">
        <v>1126</v>
      </c>
      <c r="E975">
        <v>625118.62962200004</v>
      </c>
      <c r="F975">
        <v>328762</v>
      </c>
      <c r="G975" t="s">
        <v>1109</v>
      </c>
      <c r="H975" t="s">
        <v>18</v>
      </c>
    </row>
    <row r="976" spans="1:8" x14ac:dyDescent="0.2">
      <c r="A976" t="s">
        <v>71</v>
      </c>
      <c r="B976" t="s">
        <v>1272</v>
      </c>
      <c r="C976" t="s">
        <v>1092</v>
      </c>
      <c r="D976" t="s">
        <v>1126</v>
      </c>
      <c r="E976">
        <v>2427120.8285329998</v>
      </c>
      <c r="F976">
        <v>2297577</v>
      </c>
      <c r="G976" t="s">
        <v>1111</v>
      </c>
      <c r="H976" t="s">
        <v>18</v>
      </c>
    </row>
    <row r="977" spans="1:8" x14ac:dyDescent="0.2">
      <c r="A977" t="s">
        <v>71</v>
      </c>
      <c r="B977" t="s">
        <v>1273</v>
      </c>
      <c r="C977" t="s">
        <v>1092</v>
      </c>
      <c r="D977" t="s">
        <v>1126</v>
      </c>
      <c r="E977">
        <v>2995.7381410000003</v>
      </c>
      <c r="F977">
        <v>2497</v>
      </c>
      <c r="G977" t="s">
        <v>1109</v>
      </c>
      <c r="H977" t="s">
        <v>18</v>
      </c>
    </row>
    <row r="978" spans="1:8" x14ac:dyDescent="0.2">
      <c r="A978" t="s">
        <v>71</v>
      </c>
      <c r="B978" t="s">
        <v>1274</v>
      </c>
      <c r="C978" t="s">
        <v>1092</v>
      </c>
      <c r="D978" t="s">
        <v>1126</v>
      </c>
      <c r="E978">
        <v>377465.36404099996</v>
      </c>
      <c r="F978">
        <v>387804</v>
      </c>
      <c r="G978" t="s">
        <v>1109</v>
      </c>
      <c r="H978" t="s">
        <v>18</v>
      </c>
    </row>
    <row r="979" spans="1:8" x14ac:dyDescent="0.2">
      <c r="A979" t="s">
        <v>71</v>
      </c>
      <c r="B979" t="s">
        <v>1275</v>
      </c>
      <c r="C979" t="s">
        <v>1092</v>
      </c>
      <c r="D979" t="s">
        <v>1126</v>
      </c>
      <c r="E979">
        <v>0</v>
      </c>
      <c r="F979">
        <v>0</v>
      </c>
      <c r="G979" t="s">
        <v>1191</v>
      </c>
      <c r="H979" t="s">
        <v>18</v>
      </c>
    </row>
    <row r="980" spans="1:8" x14ac:dyDescent="0.2">
      <c r="A980" t="s">
        <v>71</v>
      </c>
      <c r="B980" t="s">
        <v>1099</v>
      </c>
      <c r="C980" t="s">
        <v>1100</v>
      </c>
      <c r="D980" t="s">
        <v>35</v>
      </c>
      <c r="E980">
        <v>5401858.4276290005</v>
      </c>
      <c r="F980">
        <v>4280707</v>
      </c>
      <c r="G980" t="s">
        <v>35</v>
      </c>
      <c r="H980" t="s">
        <v>18</v>
      </c>
    </row>
    <row r="981" spans="1:8" x14ac:dyDescent="0.2">
      <c r="A981" t="s">
        <v>589</v>
      </c>
      <c r="B981" t="s">
        <v>1276</v>
      </c>
      <c r="C981" t="s">
        <v>1092</v>
      </c>
      <c r="D981" t="s">
        <v>1126</v>
      </c>
      <c r="E981">
        <v>208.12621000000001</v>
      </c>
      <c r="F981">
        <v>150</v>
      </c>
      <c r="G981" t="s">
        <v>1236</v>
      </c>
      <c r="H981" t="s">
        <v>18</v>
      </c>
    </row>
    <row r="982" spans="1:8" x14ac:dyDescent="0.2">
      <c r="A982" t="s">
        <v>589</v>
      </c>
      <c r="B982" t="s">
        <v>1099</v>
      </c>
      <c r="C982" t="s">
        <v>1100</v>
      </c>
      <c r="D982" t="s">
        <v>35</v>
      </c>
      <c r="E982">
        <v>208.12621000000001</v>
      </c>
      <c r="F982">
        <v>150</v>
      </c>
      <c r="G982" t="s">
        <v>35</v>
      </c>
      <c r="H982" t="s">
        <v>18</v>
      </c>
    </row>
    <row r="983" spans="1:8" x14ac:dyDescent="0.2">
      <c r="A983" t="s">
        <v>1854</v>
      </c>
      <c r="B983" t="s">
        <v>1855</v>
      </c>
      <c r="C983" t="s">
        <v>1092</v>
      </c>
      <c r="D983" t="s">
        <v>1126</v>
      </c>
      <c r="E983">
        <v>101068.14200000001</v>
      </c>
      <c r="F983">
        <v>11213</v>
      </c>
      <c r="G983" t="s">
        <v>1093</v>
      </c>
      <c r="H983" t="s">
        <v>18</v>
      </c>
    </row>
    <row r="984" spans="1:8" x14ac:dyDescent="0.2">
      <c r="A984" t="s">
        <v>1854</v>
      </c>
      <c r="B984" t="s">
        <v>1099</v>
      </c>
      <c r="C984" t="s">
        <v>1100</v>
      </c>
      <c r="D984" t="s">
        <v>35</v>
      </c>
      <c r="E984">
        <v>101068.14200000001</v>
      </c>
      <c r="F984">
        <v>11213</v>
      </c>
      <c r="G984" t="s">
        <v>35</v>
      </c>
      <c r="H984" t="s">
        <v>18</v>
      </c>
    </row>
    <row r="985" spans="1:8" x14ac:dyDescent="0.2">
      <c r="A985" t="s">
        <v>301</v>
      </c>
      <c r="B985" t="s">
        <v>1288</v>
      </c>
      <c r="C985" t="s">
        <v>1092</v>
      </c>
      <c r="D985" t="s">
        <v>1061</v>
      </c>
      <c r="E985">
        <v>6830.1469999999999</v>
      </c>
      <c r="F985">
        <v>4679</v>
      </c>
      <c r="G985" t="s">
        <v>1236</v>
      </c>
      <c r="H985" t="s">
        <v>18</v>
      </c>
    </row>
    <row r="986" spans="1:8" x14ac:dyDescent="0.2">
      <c r="A986" t="s">
        <v>301</v>
      </c>
      <c r="B986" t="s">
        <v>1289</v>
      </c>
      <c r="C986" t="s">
        <v>1092</v>
      </c>
      <c r="D986" t="s">
        <v>1061</v>
      </c>
      <c r="E986">
        <v>3721.94</v>
      </c>
      <c r="F986">
        <v>2465</v>
      </c>
      <c r="G986" t="s">
        <v>1236</v>
      </c>
      <c r="H986" t="s">
        <v>18</v>
      </c>
    </row>
    <row r="987" spans="1:8" x14ac:dyDescent="0.2">
      <c r="A987" t="s">
        <v>301</v>
      </c>
      <c r="B987" t="s">
        <v>1290</v>
      </c>
      <c r="C987" t="s">
        <v>1092</v>
      </c>
      <c r="D987" t="s">
        <v>1061</v>
      </c>
      <c r="E987">
        <v>17934.830000000002</v>
      </c>
      <c r="F987">
        <v>11903</v>
      </c>
      <c r="G987" t="s">
        <v>1236</v>
      </c>
      <c r="H987" t="s">
        <v>18</v>
      </c>
    </row>
    <row r="988" spans="1:8" x14ac:dyDescent="0.2">
      <c r="A988" t="s">
        <v>301</v>
      </c>
      <c r="B988" t="s">
        <v>1291</v>
      </c>
      <c r="C988" t="s">
        <v>1092</v>
      </c>
      <c r="D988" t="s">
        <v>1061</v>
      </c>
      <c r="E988">
        <v>8719.0612000000001</v>
      </c>
      <c r="F988">
        <v>8045</v>
      </c>
      <c r="G988" t="s">
        <v>1109</v>
      </c>
      <c r="H988" t="s">
        <v>18</v>
      </c>
    </row>
    <row r="989" spans="1:8" x14ac:dyDescent="0.2">
      <c r="A989" t="s">
        <v>301</v>
      </c>
      <c r="B989" t="s">
        <v>1292</v>
      </c>
      <c r="C989" t="s">
        <v>1092</v>
      </c>
      <c r="D989" t="s">
        <v>1061</v>
      </c>
      <c r="E989">
        <v>1408.33</v>
      </c>
      <c r="F989">
        <v>949</v>
      </c>
      <c r="G989" t="s">
        <v>1236</v>
      </c>
      <c r="H989" t="s">
        <v>18</v>
      </c>
    </row>
    <row r="990" spans="1:8" x14ac:dyDescent="0.2">
      <c r="A990" t="s">
        <v>301</v>
      </c>
      <c r="B990" t="s">
        <v>1293</v>
      </c>
      <c r="C990" t="s">
        <v>1092</v>
      </c>
      <c r="D990" t="s">
        <v>1061</v>
      </c>
      <c r="E990">
        <v>1609.71</v>
      </c>
      <c r="F990">
        <v>1037</v>
      </c>
      <c r="G990" t="s">
        <v>1236</v>
      </c>
      <c r="H990" t="s">
        <v>18</v>
      </c>
    </row>
    <row r="991" spans="1:8" x14ac:dyDescent="0.2">
      <c r="A991" t="s">
        <v>301</v>
      </c>
      <c r="B991" t="s">
        <v>1294</v>
      </c>
      <c r="C991" t="s">
        <v>1092</v>
      </c>
      <c r="D991" t="s">
        <v>1061</v>
      </c>
      <c r="E991">
        <v>1387.54</v>
      </c>
      <c r="F991">
        <v>994</v>
      </c>
      <c r="G991" t="s">
        <v>1236</v>
      </c>
      <c r="H991" t="s">
        <v>18</v>
      </c>
    </row>
    <row r="992" spans="1:8" x14ac:dyDescent="0.2">
      <c r="A992" t="s">
        <v>301</v>
      </c>
      <c r="B992" t="s">
        <v>1295</v>
      </c>
      <c r="C992" t="s">
        <v>1092</v>
      </c>
      <c r="D992" t="s">
        <v>1061</v>
      </c>
      <c r="E992">
        <v>3231.6392780000001</v>
      </c>
      <c r="F992">
        <v>2201</v>
      </c>
      <c r="G992" t="s">
        <v>1236</v>
      </c>
      <c r="H992" t="s">
        <v>18</v>
      </c>
    </row>
    <row r="993" spans="1:8" x14ac:dyDescent="0.2">
      <c r="A993" t="s">
        <v>301</v>
      </c>
      <c r="B993" t="s">
        <v>1296</v>
      </c>
      <c r="C993" t="s">
        <v>1092</v>
      </c>
      <c r="D993" t="s">
        <v>1061</v>
      </c>
      <c r="E993">
        <v>2591.7852240000002</v>
      </c>
      <c r="F993">
        <v>1621</v>
      </c>
      <c r="G993" t="s">
        <v>1236</v>
      </c>
      <c r="H993" t="s">
        <v>18</v>
      </c>
    </row>
    <row r="994" spans="1:8" x14ac:dyDescent="0.2">
      <c r="A994" t="s">
        <v>301</v>
      </c>
      <c r="B994" t="s">
        <v>1297</v>
      </c>
      <c r="C994" t="s">
        <v>1092</v>
      </c>
      <c r="D994" t="s">
        <v>1061</v>
      </c>
      <c r="E994">
        <v>2589.9699999999998</v>
      </c>
      <c r="F994">
        <v>1793</v>
      </c>
      <c r="G994" t="s">
        <v>1236</v>
      </c>
      <c r="H994" t="s">
        <v>18</v>
      </c>
    </row>
    <row r="995" spans="1:8" x14ac:dyDescent="0.2">
      <c r="A995" t="s">
        <v>301</v>
      </c>
      <c r="B995" t="s">
        <v>1298</v>
      </c>
      <c r="C995" t="s">
        <v>1092</v>
      </c>
      <c r="D995" t="s">
        <v>1061</v>
      </c>
      <c r="E995">
        <v>1157.0440000000001</v>
      </c>
      <c r="F995">
        <v>815</v>
      </c>
      <c r="G995" t="s">
        <v>1236</v>
      </c>
      <c r="H995" t="s">
        <v>18</v>
      </c>
    </row>
    <row r="996" spans="1:8" x14ac:dyDescent="0.2">
      <c r="A996" t="s">
        <v>301</v>
      </c>
      <c r="B996" t="s">
        <v>1299</v>
      </c>
      <c r="C996" t="s">
        <v>1092</v>
      </c>
      <c r="D996" t="s">
        <v>1061</v>
      </c>
      <c r="E996">
        <v>1887.04</v>
      </c>
      <c r="F996">
        <v>1223</v>
      </c>
      <c r="G996" t="s">
        <v>1236</v>
      </c>
      <c r="H996" t="s">
        <v>18</v>
      </c>
    </row>
    <row r="997" spans="1:8" x14ac:dyDescent="0.2">
      <c r="A997" t="s">
        <v>301</v>
      </c>
      <c r="B997" t="s">
        <v>1300</v>
      </c>
      <c r="C997" t="s">
        <v>1092</v>
      </c>
      <c r="D997" t="s">
        <v>1061</v>
      </c>
      <c r="E997">
        <v>1830.7079700000002</v>
      </c>
      <c r="F997">
        <v>1284</v>
      </c>
      <c r="G997" t="s">
        <v>1236</v>
      </c>
      <c r="H997" t="s">
        <v>18</v>
      </c>
    </row>
    <row r="998" spans="1:8" x14ac:dyDescent="0.2">
      <c r="A998" t="s">
        <v>301</v>
      </c>
      <c r="B998" t="s">
        <v>1301</v>
      </c>
      <c r="C998" t="s">
        <v>1092</v>
      </c>
      <c r="D998" t="s">
        <v>1061</v>
      </c>
      <c r="E998">
        <v>1055.4215999999999</v>
      </c>
      <c r="F998">
        <v>760</v>
      </c>
      <c r="G998" t="s">
        <v>1236</v>
      </c>
      <c r="H998" t="s">
        <v>18</v>
      </c>
    </row>
    <row r="999" spans="1:8" x14ac:dyDescent="0.2">
      <c r="A999" t="s">
        <v>301</v>
      </c>
      <c r="B999" t="s">
        <v>1302</v>
      </c>
      <c r="C999" t="s">
        <v>1092</v>
      </c>
      <c r="D999" t="s">
        <v>1061</v>
      </c>
      <c r="E999">
        <v>1904.9749999999999</v>
      </c>
      <c r="F999">
        <v>0</v>
      </c>
      <c r="G999" t="s">
        <v>1103</v>
      </c>
      <c r="H999" t="s">
        <v>18</v>
      </c>
    </row>
    <row r="1000" spans="1:8" x14ac:dyDescent="0.2">
      <c r="A1000" t="s">
        <v>301</v>
      </c>
      <c r="B1000" t="s">
        <v>1303</v>
      </c>
      <c r="C1000" t="s">
        <v>1092</v>
      </c>
      <c r="D1000" t="s">
        <v>1061</v>
      </c>
      <c r="E1000">
        <v>8434.268</v>
      </c>
      <c r="F1000">
        <v>5167</v>
      </c>
      <c r="G1000" t="s">
        <v>1236</v>
      </c>
      <c r="H1000" t="s">
        <v>18</v>
      </c>
    </row>
    <row r="1001" spans="1:8" x14ac:dyDescent="0.2">
      <c r="A1001" t="s">
        <v>301</v>
      </c>
      <c r="B1001" t="s">
        <v>1304</v>
      </c>
      <c r="C1001" t="s">
        <v>1092</v>
      </c>
      <c r="D1001" t="s">
        <v>1061</v>
      </c>
      <c r="E1001">
        <v>2646.6289999999999</v>
      </c>
      <c r="F1001">
        <v>1910</v>
      </c>
      <c r="G1001" t="s">
        <v>1236</v>
      </c>
      <c r="H1001" t="s">
        <v>18</v>
      </c>
    </row>
    <row r="1002" spans="1:8" x14ac:dyDescent="0.2">
      <c r="A1002" t="s">
        <v>301</v>
      </c>
      <c r="B1002" t="s">
        <v>1305</v>
      </c>
      <c r="C1002" t="s">
        <v>1092</v>
      </c>
      <c r="D1002" t="s">
        <v>1061</v>
      </c>
      <c r="E1002">
        <v>1107.11538</v>
      </c>
      <c r="F1002">
        <v>780</v>
      </c>
      <c r="G1002" t="s">
        <v>1236</v>
      </c>
      <c r="H1002" t="s">
        <v>18</v>
      </c>
    </row>
    <row r="1003" spans="1:8" x14ac:dyDescent="0.2">
      <c r="A1003" t="s">
        <v>301</v>
      </c>
      <c r="B1003" t="s">
        <v>1306</v>
      </c>
      <c r="C1003" t="s">
        <v>1092</v>
      </c>
      <c r="D1003" t="s">
        <v>1061</v>
      </c>
      <c r="E1003">
        <v>1053.8599999999999</v>
      </c>
      <c r="F1003">
        <v>0</v>
      </c>
      <c r="G1003" t="s">
        <v>1103</v>
      </c>
      <c r="H1003" t="s">
        <v>18</v>
      </c>
    </row>
    <row r="1004" spans="1:8" x14ac:dyDescent="0.2">
      <c r="A1004" t="s">
        <v>301</v>
      </c>
      <c r="B1004" t="s">
        <v>1307</v>
      </c>
      <c r="C1004" t="s">
        <v>1092</v>
      </c>
      <c r="D1004" t="s">
        <v>1061</v>
      </c>
      <c r="E1004">
        <v>7202.5591000000004</v>
      </c>
      <c r="F1004">
        <v>5198</v>
      </c>
      <c r="G1004" t="s">
        <v>1236</v>
      </c>
      <c r="H1004" t="s">
        <v>18</v>
      </c>
    </row>
    <row r="1005" spans="1:8" x14ac:dyDescent="0.2">
      <c r="A1005" t="s">
        <v>301</v>
      </c>
      <c r="B1005" t="s">
        <v>1308</v>
      </c>
      <c r="C1005" t="s">
        <v>1092</v>
      </c>
      <c r="D1005" t="s">
        <v>1061</v>
      </c>
      <c r="E1005">
        <v>1004.991</v>
      </c>
      <c r="F1005">
        <v>727</v>
      </c>
      <c r="G1005" t="s">
        <v>1236</v>
      </c>
      <c r="H1005" t="s">
        <v>18</v>
      </c>
    </row>
    <row r="1006" spans="1:8" x14ac:dyDescent="0.2">
      <c r="A1006" t="s">
        <v>301</v>
      </c>
      <c r="B1006" t="s">
        <v>1309</v>
      </c>
      <c r="C1006" t="s">
        <v>1092</v>
      </c>
      <c r="D1006" t="s">
        <v>1061</v>
      </c>
      <c r="E1006">
        <v>1298.2714639999999</v>
      </c>
      <c r="F1006">
        <v>885</v>
      </c>
      <c r="G1006" t="s">
        <v>1236</v>
      </c>
      <c r="H1006" t="s">
        <v>18</v>
      </c>
    </row>
    <row r="1007" spans="1:8" x14ac:dyDescent="0.2">
      <c r="A1007" t="s">
        <v>301</v>
      </c>
      <c r="B1007" t="s">
        <v>1310</v>
      </c>
      <c r="C1007" t="s">
        <v>1092</v>
      </c>
      <c r="D1007" t="s">
        <v>1061</v>
      </c>
      <c r="E1007">
        <v>5859.8430000000008</v>
      </c>
      <c r="F1007">
        <v>3992</v>
      </c>
      <c r="G1007" t="s">
        <v>1236</v>
      </c>
      <c r="H1007" t="s">
        <v>18</v>
      </c>
    </row>
    <row r="1008" spans="1:8" x14ac:dyDescent="0.2">
      <c r="A1008" t="s">
        <v>301</v>
      </c>
      <c r="B1008" t="s">
        <v>1311</v>
      </c>
      <c r="C1008" t="s">
        <v>1092</v>
      </c>
      <c r="D1008" t="s">
        <v>1061</v>
      </c>
      <c r="E1008">
        <v>2630.078</v>
      </c>
      <c r="F1008">
        <v>1738</v>
      </c>
      <c r="G1008" t="s">
        <v>1236</v>
      </c>
      <c r="H1008" t="s">
        <v>18</v>
      </c>
    </row>
    <row r="1009" spans="1:8" x14ac:dyDescent="0.2">
      <c r="A1009" t="s">
        <v>301</v>
      </c>
      <c r="B1009" t="s">
        <v>1312</v>
      </c>
      <c r="C1009" t="s">
        <v>1092</v>
      </c>
      <c r="D1009" t="s">
        <v>1061</v>
      </c>
      <c r="E1009">
        <v>3370.8500000000004</v>
      </c>
      <c r="F1009">
        <v>2281</v>
      </c>
      <c r="G1009" t="s">
        <v>1236</v>
      </c>
      <c r="H1009" t="s">
        <v>18</v>
      </c>
    </row>
    <row r="1010" spans="1:8" x14ac:dyDescent="0.2">
      <c r="A1010" t="s">
        <v>301</v>
      </c>
      <c r="B1010" t="s">
        <v>1313</v>
      </c>
      <c r="C1010" t="s">
        <v>1092</v>
      </c>
      <c r="D1010" t="s">
        <v>1061</v>
      </c>
      <c r="E1010">
        <v>4892.7730000000001</v>
      </c>
      <c r="F1010">
        <v>0</v>
      </c>
      <c r="G1010" t="s">
        <v>1103</v>
      </c>
      <c r="H1010" t="s">
        <v>18</v>
      </c>
    </row>
    <row r="1011" spans="1:8" x14ac:dyDescent="0.2">
      <c r="A1011" t="s">
        <v>301</v>
      </c>
      <c r="B1011" t="s">
        <v>1314</v>
      </c>
      <c r="C1011" t="s">
        <v>1092</v>
      </c>
      <c r="D1011" t="s">
        <v>1061</v>
      </c>
      <c r="E1011">
        <v>1264.8330000000001</v>
      </c>
      <c r="F1011">
        <v>903</v>
      </c>
      <c r="G1011" t="s">
        <v>1236</v>
      </c>
      <c r="H1011" t="s">
        <v>18</v>
      </c>
    </row>
    <row r="1012" spans="1:8" x14ac:dyDescent="0.2">
      <c r="A1012" t="s">
        <v>301</v>
      </c>
      <c r="B1012" t="s">
        <v>1315</v>
      </c>
      <c r="C1012" t="s">
        <v>1092</v>
      </c>
      <c r="D1012" t="s">
        <v>1061</v>
      </c>
      <c r="E1012">
        <v>2130.9699999999998</v>
      </c>
      <c r="F1012">
        <v>1360</v>
      </c>
      <c r="G1012" t="s">
        <v>1236</v>
      </c>
      <c r="H1012" t="s">
        <v>18</v>
      </c>
    </row>
    <row r="1013" spans="1:8" x14ac:dyDescent="0.2">
      <c r="A1013" t="s">
        <v>301</v>
      </c>
      <c r="B1013" t="s">
        <v>1316</v>
      </c>
      <c r="C1013" t="s">
        <v>1092</v>
      </c>
      <c r="D1013" t="s">
        <v>1061</v>
      </c>
      <c r="E1013">
        <v>1778.9659999999999</v>
      </c>
      <c r="F1013">
        <v>1428</v>
      </c>
      <c r="G1013" t="s">
        <v>1236</v>
      </c>
      <c r="H1013" t="s">
        <v>18</v>
      </c>
    </row>
    <row r="1014" spans="1:8" x14ac:dyDescent="0.2">
      <c r="A1014" t="s">
        <v>301</v>
      </c>
      <c r="B1014" t="s">
        <v>1317</v>
      </c>
      <c r="C1014" t="s">
        <v>1092</v>
      </c>
      <c r="D1014" t="s">
        <v>1061</v>
      </c>
      <c r="E1014">
        <v>9491.3870000000006</v>
      </c>
      <c r="F1014">
        <v>6631</v>
      </c>
      <c r="G1014" t="s">
        <v>1236</v>
      </c>
      <c r="H1014" t="s">
        <v>18</v>
      </c>
    </row>
    <row r="1015" spans="1:8" x14ac:dyDescent="0.2">
      <c r="A1015" t="s">
        <v>301</v>
      </c>
      <c r="B1015" t="s">
        <v>1318</v>
      </c>
      <c r="C1015" t="s">
        <v>1092</v>
      </c>
      <c r="D1015" t="s">
        <v>1061</v>
      </c>
      <c r="E1015">
        <v>3724.77</v>
      </c>
      <c r="F1015">
        <v>2519</v>
      </c>
      <c r="G1015" t="s">
        <v>1236</v>
      </c>
      <c r="H1015" t="s">
        <v>18</v>
      </c>
    </row>
    <row r="1016" spans="1:8" x14ac:dyDescent="0.2">
      <c r="A1016" t="s">
        <v>301</v>
      </c>
      <c r="B1016" t="s">
        <v>1319</v>
      </c>
      <c r="C1016" t="s">
        <v>1092</v>
      </c>
      <c r="D1016" t="s">
        <v>1061</v>
      </c>
      <c r="E1016">
        <v>6476.9049999999997</v>
      </c>
      <c r="F1016">
        <v>0</v>
      </c>
      <c r="G1016" t="s">
        <v>1103</v>
      </c>
      <c r="H1016" t="s">
        <v>18</v>
      </c>
    </row>
    <row r="1017" spans="1:8" x14ac:dyDescent="0.2">
      <c r="A1017" t="s">
        <v>301</v>
      </c>
      <c r="B1017" t="s">
        <v>1320</v>
      </c>
      <c r="C1017" t="s">
        <v>1092</v>
      </c>
      <c r="D1017" t="s">
        <v>1061</v>
      </c>
      <c r="E1017">
        <v>1940.66</v>
      </c>
      <c r="F1017">
        <v>1367</v>
      </c>
      <c r="G1017" t="s">
        <v>1236</v>
      </c>
      <c r="H1017" t="s">
        <v>18</v>
      </c>
    </row>
    <row r="1018" spans="1:8" x14ac:dyDescent="0.2">
      <c r="A1018" t="s">
        <v>301</v>
      </c>
      <c r="B1018" t="s">
        <v>1321</v>
      </c>
      <c r="C1018" t="s">
        <v>1092</v>
      </c>
      <c r="D1018" t="s">
        <v>1061</v>
      </c>
      <c r="E1018">
        <v>615.28100000000006</v>
      </c>
      <c r="F1018">
        <v>469</v>
      </c>
      <c r="G1018" t="s">
        <v>1236</v>
      </c>
      <c r="H1018" t="s">
        <v>18</v>
      </c>
    </row>
    <row r="1019" spans="1:8" x14ac:dyDescent="0.2">
      <c r="A1019" t="s">
        <v>301</v>
      </c>
      <c r="B1019" t="s">
        <v>1322</v>
      </c>
      <c r="C1019" t="s">
        <v>1092</v>
      </c>
      <c r="D1019" t="s">
        <v>1061</v>
      </c>
      <c r="E1019">
        <v>29092.95</v>
      </c>
      <c r="F1019">
        <v>19640</v>
      </c>
      <c r="G1019" t="s">
        <v>1236</v>
      </c>
      <c r="H1019" t="s">
        <v>18</v>
      </c>
    </row>
    <row r="1020" spans="1:8" x14ac:dyDescent="0.2">
      <c r="A1020" t="s">
        <v>301</v>
      </c>
      <c r="B1020" t="s">
        <v>1323</v>
      </c>
      <c r="C1020" t="s">
        <v>1092</v>
      </c>
      <c r="D1020" t="s">
        <v>1061</v>
      </c>
      <c r="E1020">
        <v>1303.829</v>
      </c>
      <c r="F1020">
        <v>1033</v>
      </c>
      <c r="G1020" t="s">
        <v>1236</v>
      </c>
      <c r="H1020" t="s">
        <v>18</v>
      </c>
    </row>
    <row r="1021" spans="1:8" x14ac:dyDescent="0.2">
      <c r="A1021" t="s">
        <v>301</v>
      </c>
      <c r="B1021" t="s">
        <v>1324</v>
      </c>
      <c r="C1021" t="s">
        <v>1092</v>
      </c>
      <c r="D1021" t="s">
        <v>1061</v>
      </c>
      <c r="E1021">
        <v>5128.7971000000007</v>
      </c>
      <c r="F1021">
        <v>3445</v>
      </c>
      <c r="G1021" t="s">
        <v>1236</v>
      </c>
      <c r="H1021" t="s">
        <v>18</v>
      </c>
    </row>
    <row r="1022" spans="1:8" x14ac:dyDescent="0.2">
      <c r="A1022" t="s">
        <v>301</v>
      </c>
      <c r="B1022" t="s">
        <v>1325</v>
      </c>
      <c r="C1022" t="s">
        <v>1092</v>
      </c>
      <c r="D1022" t="s">
        <v>1096</v>
      </c>
      <c r="E1022">
        <v>2862.335</v>
      </c>
      <c r="F1022">
        <v>0</v>
      </c>
      <c r="G1022" t="s">
        <v>1103</v>
      </c>
      <c r="H1022" t="s">
        <v>18</v>
      </c>
    </row>
    <row r="1023" spans="1:8" x14ac:dyDescent="0.2">
      <c r="A1023" t="s">
        <v>301</v>
      </c>
      <c r="B1023" t="s">
        <v>1326</v>
      </c>
      <c r="C1023" t="s">
        <v>1092</v>
      </c>
      <c r="D1023" t="s">
        <v>1061</v>
      </c>
      <c r="E1023">
        <v>1215.8799999999999</v>
      </c>
      <c r="F1023">
        <v>793</v>
      </c>
      <c r="G1023" t="s">
        <v>1236</v>
      </c>
      <c r="H1023" t="s">
        <v>18</v>
      </c>
    </row>
    <row r="1024" spans="1:8" x14ac:dyDescent="0.2">
      <c r="A1024" t="s">
        <v>301</v>
      </c>
      <c r="B1024" t="s">
        <v>1327</v>
      </c>
      <c r="C1024" t="s">
        <v>1092</v>
      </c>
      <c r="D1024" t="s">
        <v>1061</v>
      </c>
      <c r="E1024">
        <v>1797.7739999999999</v>
      </c>
      <c r="F1024">
        <v>1209</v>
      </c>
      <c r="G1024" t="s">
        <v>1236</v>
      </c>
      <c r="H1024" t="s">
        <v>18</v>
      </c>
    </row>
    <row r="1025" spans="1:8" x14ac:dyDescent="0.2">
      <c r="A1025" t="s">
        <v>301</v>
      </c>
      <c r="B1025" t="s">
        <v>1328</v>
      </c>
      <c r="C1025" t="s">
        <v>1092</v>
      </c>
      <c r="D1025" t="s">
        <v>1061</v>
      </c>
      <c r="E1025">
        <v>1763.3380000000002</v>
      </c>
      <c r="F1025">
        <v>1239</v>
      </c>
      <c r="G1025" t="s">
        <v>1236</v>
      </c>
      <c r="H1025" t="s">
        <v>18</v>
      </c>
    </row>
    <row r="1026" spans="1:8" x14ac:dyDescent="0.2">
      <c r="A1026" t="s">
        <v>301</v>
      </c>
      <c r="B1026" t="s">
        <v>1099</v>
      </c>
      <c r="C1026" t="s">
        <v>1100</v>
      </c>
      <c r="D1026" t="s">
        <v>35</v>
      </c>
      <c r="E1026">
        <v>167950.05431599997</v>
      </c>
      <c r="F1026">
        <v>104483</v>
      </c>
      <c r="G1026" t="s">
        <v>35</v>
      </c>
      <c r="H1026" t="s">
        <v>18</v>
      </c>
    </row>
    <row r="1027" spans="1:8" x14ac:dyDescent="0.2">
      <c r="A1027" t="s">
        <v>38</v>
      </c>
      <c r="B1027" t="s">
        <v>1330</v>
      </c>
      <c r="C1027" t="s">
        <v>1092</v>
      </c>
      <c r="D1027" t="s">
        <v>1052</v>
      </c>
      <c r="E1027">
        <v>65958.81</v>
      </c>
      <c r="F1027">
        <v>53821</v>
      </c>
      <c r="G1027" t="s">
        <v>1109</v>
      </c>
      <c r="H1027" t="s">
        <v>18</v>
      </c>
    </row>
    <row r="1028" spans="1:8" x14ac:dyDescent="0.2">
      <c r="A1028" t="s">
        <v>38</v>
      </c>
      <c r="B1028" t="s">
        <v>1331</v>
      </c>
      <c r="C1028" t="s">
        <v>1092</v>
      </c>
      <c r="D1028" t="s">
        <v>1096</v>
      </c>
      <c r="E1028">
        <v>43308.732385000003</v>
      </c>
      <c r="F1028">
        <v>33933</v>
      </c>
      <c r="G1028" t="s">
        <v>1109</v>
      </c>
      <c r="H1028" t="s">
        <v>18</v>
      </c>
    </row>
    <row r="1029" spans="1:8" x14ac:dyDescent="0.2">
      <c r="A1029" t="s">
        <v>38</v>
      </c>
      <c r="B1029" t="s">
        <v>1332</v>
      </c>
      <c r="C1029" t="s">
        <v>1092</v>
      </c>
      <c r="D1029" t="s">
        <v>1058</v>
      </c>
      <c r="E1029">
        <v>7020510.0620000008</v>
      </c>
      <c r="F1029">
        <v>6032263</v>
      </c>
      <c r="G1029" t="s">
        <v>1111</v>
      </c>
      <c r="H1029" t="s">
        <v>18</v>
      </c>
    </row>
    <row r="1030" spans="1:8" x14ac:dyDescent="0.2">
      <c r="A1030" t="s">
        <v>38</v>
      </c>
      <c r="B1030" t="s">
        <v>1333</v>
      </c>
      <c r="C1030" t="s">
        <v>1092</v>
      </c>
      <c r="D1030" t="s">
        <v>1096</v>
      </c>
      <c r="E1030">
        <v>344414.39500000002</v>
      </c>
      <c r="F1030">
        <v>186736</v>
      </c>
      <c r="G1030" t="s">
        <v>1109</v>
      </c>
      <c r="H1030" t="s">
        <v>18</v>
      </c>
    </row>
    <row r="1031" spans="1:8" x14ac:dyDescent="0.2">
      <c r="A1031" t="s">
        <v>38</v>
      </c>
      <c r="B1031" t="s">
        <v>1334</v>
      </c>
      <c r="C1031" t="s">
        <v>1092</v>
      </c>
      <c r="D1031" t="s">
        <v>1058</v>
      </c>
      <c r="E1031">
        <v>603545.45710999996</v>
      </c>
      <c r="F1031">
        <v>256617</v>
      </c>
      <c r="G1031" t="s">
        <v>1109</v>
      </c>
      <c r="H1031" t="s">
        <v>18</v>
      </c>
    </row>
    <row r="1032" spans="1:8" x14ac:dyDescent="0.2">
      <c r="A1032" t="s">
        <v>38</v>
      </c>
      <c r="B1032" t="s">
        <v>1335</v>
      </c>
      <c r="C1032" t="s">
        <v>1092</v>
      </c>
      <c r="D1032" t="s">
        <v>1096</v>
      </c>
      <c r="E1032">
        <v>2306.5121200000003</v>
      </c>
      <c r="F1032">
        <v>0</v>
      </c>
      <c r="G1032" t="s">
        <v>1103</v>
      </c>
      <c r="H1032" t="s">
        <v>18</v>
      </c>
    </row>
    <row r="1033" spans="1:8" x14ac:dyDescent="0.2">
      <c r="A1033" t="s">
        <v>38</v>
      </c>
      <c r="B1033" t="s">
        <v>1336</v>
      </c>
      <c r="C1033" t="s">
        <v>1092</v>
      </c>
      <c r="D1033" t="s">
        <v>1096</v>
      </c>
      <c r="E1033">
        <v>8182830.0000009993</v>
      </c>
      <c r="F1033">
        <v>11017527</v>
      </c>
      <c r="G1033" t="s">
        <v>1128</v>
      </c>
      <c r="H1033" t="s">
        <v>18</v>
      </c>
    </row>
    <row r="1034" spans="1:8" x14ac:dyDescent="0.2">
      <c r="A1034" t="s">
        <v>38</v>
      </c>
      <c r="B1034" t="s">
        <v>1099</v>
      </c>
      <c r="C1034" t="s">
        <v>1100</v>
      </c>
      <c r="D1034" t="s">
        <v>35</v>
      </c>
      <c r="E1034">
        <v>16262873.968615998</v>
      </c>
      <c r="F1034">
        <v>17580897</v>
      </c>
      <c r="G1034" t="s">
        <v>35</v>
      </c>
      <c r="H1034" t="s">
        <v>18</v>
      </c>
    </row>
    <row r="1035" spans="1:8" x14ac:dyDescent="0.2">
      <c r="A1035" t="s">
        <v>1338</v>
      </c>
      <c r="B1035" t="s">
        <v>1339</v>
      </c>
      <c r="C1035" t="s">
        <v>1092</v>
      </c>
      <c r="D1035" t="s">
        <v>1061</v>
      </c>
      <c r="E1035">
        <v>392857.77100000001</v>
      </c>
      <c r="F1035">
        <v>43</v>
      </c>
      <c r="G1035" t="s">
        <v>1103</v>
      </c>
      <c r="H1035" t="s">
        <v>18</v>
      </c>
    </row>
    <row r="1036" spans="1:8" x14ac:dyDescent="0.2">
      <c r="A1036" t="s">
        <v>1338</v>
      </c>
      <c r="B1036" t="s">
        <v>1099</v>
      </c>
      <c r="C1036" t="s">
        <v>1100</v>
      </c>
      <c r="D1036" t="s">
        <v>35</v>
      </c>
      <c r="E1036">
        <v>392857.77100000001</v>
      </c>
      <c r="F1036">
        <v>43</v>
      </c>
      <c r="G1036" t="s">
        <v>35</v>
      </c>
      <c r="H1036" t="s">
        <v>18</v>
      </c>
    </row>
    <row r="1037" spans="1:8" x14ac:dyDescent="0.2">
      <c r="A1037" t="s">
        <v>99</v>
      </c>
      <c r="B1037" t="s">
        <v>1856</v>
      </c>
      <c r="C1037" t="s">
        <v>1092</v>
      </c>
      <c r="D1037" t="s">
        <v>1096</v>
      </c>
      <c r="E1037">
        <v>173691.82805000001</v>
      </c>
      <c r="F1037">
        <v>129093</v>
      </c>
      <c r="G1037" t="s">
        <v>1857</v>
      </c>
      <c r="H1037" t="s">
        <v>18</v>
      </c>
    </row>
    <row r="1038" spans="1:8" x14ac:dyDescent="0.2">
      <c r="A1038" t="s">
        <v>99</v>
      </c>
      <c r="B1038" t="s">
        <v>1099</v>
      </c>
      <c r="C1038" t="s">
        <v>1100</v>
      </c>
      <c r="D1038" t="s">
        <v>35</v>
      </c>
      <c r="E1038">
        <v>173691.82805000001</v>
      </c>
      <c r="F1038">
        <v>129093</v>
      </c>
      <c r="G1038" t="s">
        <v>35</v>
      </c>
      <c r="H1038" t="s">
        <v>18</v>
      </c>
    </row>
    <row r="1039" spans="1:8" x14ac:dyDescent="0.2">
      <c r="A1039" t="s">
        <v>1342</v>
      </c>
      <c r="B1039" t="s">
        <v>1343</v>
      </c>
      <c r="C1039" t="s">
        <v>1092</v>
      </c>
      <c r="D1039" t="s">
        <v>1058</v>
      </c>
      <c r="E1039">
        <v>260550.198</v>
      </c>
      <c r="F1039">
        <v>0</v>
      </c>
      <c r="G1039" t="s">
        <v>1103</v>
      </c>
      <c r="H1039" t="s">
        <v>18</v>
      </c>
    </row>
    <row r="1040" spans="1:8" x14ac:dyDescent="0.2">
      <c r="A1040" t="s">
        <v>1342</v>
      </c>
      <c r="B1040" t="s">
        <v>1099</v>
      </c>
      <c r="C1040" t="s">
        <v>1100</v>
      </c>
      <c r="D1040" t="s">
        <v>35</v>
      </c>
      <c r="E1040">
        <v>260550.198</v>
      </c>
      <c r="F1040">
        <v>0</v>
      </c>
      <c r="G1040" t="s">
        <v>35</v>
      </c>
      <c r="H1040" t="s">
        <v>18</v>
      </c>
    </row>
    <row r="1041" spans="1:8" x14ac:dyDescent="0.2">
      <c r="A1041" t="s">
        <v>840</v>
      </c>
      <c r="B1041" t="s">
        <v>1858</v>
      </c>
      <c r="C1041" t="s">
        <v>1092</v>
      </c>
      <c r="D1041" t="s">
        <v>1126</v>
      </c>
      <c r="E1041">
        <v>180409.85322600001</v>
      </c>
      <c r="F1041">
        <v>426</v>
      </c>
      <c r="G1041" t="s">
        <v>1103</v>
      </c>
      <c r="H1041" t="s">
        <v>18</v>
      </c>
    </row>
    <row r="1042" spans="1:8" x14ac:dyDescent="0.2">
      <c r="A1042" t="s">
        <v>840</v>
      </c>
      <c r="B1042" t="s">
        <v>1344</v>
      </c>
      <c r="C1042" t="s">
        <v>1092</v>
      </c>
      <c r="D1042" t="s">
        <v>1126</v>
      </c>
      <c r="E1042">
        <v>873017.20043700002</v>
      </c>
      <c r="F1042">
        <v>436601</v>
      </c>
      <c r="G1042" t="s">
        <v>1109</v>
      </c>
      <c r="H1042" t="s">
        <v>18</v>
      </c>
    </row>
    <row r="1043" spans="1:8" x14ac:dyDescent="0.2">
      <c r="A1043" t="s">
        <v>840</v>
      </c>
      <c r="B1043" t="s">
        <v>1099</v>
      </c>
      <c r="C1043" t="s">
        <v>1100</v>
      </c>
      <c r="D1043" t="s">
        <v>35</v>
      </c>
      <c r="E1043">
        <v>1053427.053663</v>
      </c>
      <c r="F1043">
        <v>437027</v>
      </c>
      <c r="G1043" t="s">
        <v>35</v>
      </c>
      <c r="H1043" t="s">
        <v>18</v>
      </c>
    </row>
    <row r="1044" spans="1:8" x14ac:dyDescent="0.2">
      <c r="A1044" t="s">
        <v>1347</v>
      </c>
      <c r="B1044" t="s">
        <v>1859</v>
      </c>
      <c r="C1044" t="s">
        <v>1092</v>
      </c>
      <c r="D1044" t="s">
        <v>1061</v>
      </c>
      <c r="E1044">
        <v>0</v>
      </c>
      <c r="F1044">
        <v>1</v>
      </c>
      <c r="G1044" t="s">
        <v>1191</v>
      </c>
      <c r="H1044" t="s">
        <v>18</v>
      </c>
    </row>
    <row r="1045" spans="1:8" x14ac:dyDescent="0.2">
      <c r="A1045" t="s">
        <v>1347</v>
      </c>
      <c r="B1045" t="s">
        <v>1860</v>
      </c>
      <c r="C1045" t="s">
        <v>1092</v>
      </c>
      <c r="D1045" t="s">
        <v>1061</v>
      </c>
      <c r="E1045">
        <v>0</v>
      </c>
      <c r="F1045">
        <v>0</v>
      </c>
      <c r="G1045" t="s">
        <v>1093</v>
      </c>
      <c r="H1045" t="s">
        <v>18</v>
      </c>
    </row>
    <row r="1046" spans="1:8" x14ac:dyDescent="0.2">
      <c r="A1046" t="s">
        <v>1347</v>
      </c>
      <c r="B1046" t="s">
        <v>1348</v>
      </c>
      <c r="C1046" t="s">
        <v>1092</v>
      </c>
      <c r="D1046" t="s">
        <v>1058</v>
      </c>
      <c r="E1046">
        <v>108550.7628</v>
      </c>
      <c r="F1046">
        <v>5</v>
      </c>
      <c r="G1046" t="s">
        <v>1103</v>
      </c>
      <c r="H1046" t="s">
        <v>18</v>
      </c>
    </row>
    <row r="1047" spans="1:8" x14ac:dyDescent="0.2">
      <c r="A1047" t="s">
        <v>1347</v>
      </c>
      <c r="B1047" t="s">
        <v>1861</v>
      </c>
      <c r="C1047" t="s">
        <v>1092</v>
      </c>
      <c r="D1047" t="s">
        <v>1061</v>
      </c>
      <c r="E1047">
        <v>0</v>
      </c>
      <c r="F1047">
        <v>249</v>
      </c>
      <c r="G1047" t="s">
        <v>1103</v>
      </c>
      <c r="H1047" t="s">
        <v>18</v>
      </c>
    </row>
    <row r="1048" spans="1:8" x14ac:dyDescent="0.2">
      <c r="A1048" t="s">
        <v>1347</v>
      </c>
      <c r="B1048" t="s">
        <v>1862</v>
      </c>
      <c r="C1048" t="s">
        <v>1092</v>
      </c>
      <c r="D1048" t="s">
        <v>1061</v>
      </c>
      <c r="E1048">
        <v>0</v>
      </c>
      <c r="F1048">
        <v>1889</v>
      </c>
      <c r="G1048" t="s">
        <v>1107</v>
      </c>
      <c r="H1048" t="s">
        <v>18</v>
      </c>
    </row>
    <row r="1049" spans="1:8" x14ac:dyDescent="0.2">
      <c r="A1049" t="s">
        <v>1347</v>
      </c>
      <c r="B1049" t="s">
        <v>1349</v>
      </c>
      <c r="C1049" t="s">
        <v>1092</v>
      </c>
      <c r="D1049" t="s">
        <v>1058</v>
      </c>
      <c r="E1049">
        <v>90780.763099999996</v>
      </c>
      <c r="F1049">
        <v>15</v>
      </c>
      <c r="G1049" t="s">
        <v>1103</v>
      </c>
      <c r="H1049" t="s">
        <v>18</v>
      </c>
    </row>
    <row r="1050" spans="1:8" x14ac:dyDescent="0.2">
      <c r="A1050" t="s">
        <v>1347</v>
      </c>
      <c r="B1050" t="s">
        <v>1099</v>
      </c>
      <c r="C1050" t="s">
        <v>1100</v>
      </c>
      <c r="D1050" t="s">
        <v>35</v>
      </c>
      <c r="E1050">
        <v>199331.52590000001</v>
      </c>
      <c r="F1050">
        <v>2159</v>
      </c>
      <c r="G1050" t="s">
        <v>35</v>
      </c>
      <c r="H1050" t="s">
        <v>18</v>
      </c>
    </row>
    <row r="1051" spans="1:8" x14ac:dyDescent="0.2">
      <c r="A1051" t="s">
        <v>1350</v>
      </c>
      <c r="B1051" t="s">
        <v>1351</v>
      </c>
      <c r="C1051" t="s">
        <v>1092</v>
      </c>
      <c r="D1051" t="s">
        <v>1061</v>
      </c>
      <c r="E1051">
        <v>165192.99100000001</v>
      </c>
      <c r="F1051">
        <v>41</v>
      </c>
      <c r="G1051" t="s">
        <v>1103</v>
      </c>
      <c r="H1051" t="s">
        <v>18</v>
      </c>
    </row>
    <row r="1052" spans="1:8" x14ac:dyDescent="0.2">
      <c r="A1052" t="s">
        <v>1350</v>
      </c>
      <c r="B1052" t="s">
        <v>1352</v>
      </c>
      <c r="C1052" t="s">
        <v>1092</v>
      </c>
      <c r="D1052" t="s">
        <v>1096</v>
      </c>
      <c r="E1052">
        <v>148778.87899999999</v>
      </c>
      <c r="F1052">
        <v>53</v>
      </c>
      <c r="G1052" t="s">
        <v>1103</v>
      </c>
      <c r="H1052" t="s">
        <v>18</v>
      </c>
    </row>
    <row r="1053" spans="1:8" x14ac:dyDescent="0.2">
      <c r="A1053" t="s">
        <v>1350</v>
      </c>
      <c r="B1053" t="s">
        <v>1099</v>
      </c>
      <c r="C1053" t="s">
        <v>1100</v>
      </c>
      <c r="D1053" t="s">
        <v>35</v>
      </c>
      <c r="E1053">
        <v>313971.87</v>
      </c>
      <c r="F1053">
        <v>94</v>
      </c>
      <c r="G1053" t="s">
        <v>35</v>
      </c>
      <c r="H1053" t="s">
        <v>18</v>
      </c>
    </row>
    <row r="1054" spans="1:8" x14ac:dyDescent="0.2">
      <c r="A1054" t="s">
        <v>63</v>
      </c>
      <c r="B1054" t="s">
        <v>1354</v>
      </c>
      <c r="C1054" t="s">
        <v>1092</v>
      </c>
      <c r="D1054" t="s">
        <v>1061</v>
      </c>
      <c r="E1054">
        <v>5220116.2122840006</v>
      </c>
      <c r="F1054">
        <v>4301871</v>
      </c>
      <c r="G1054" t="s">
        <v>1111</v>
      </c>
      <c r="H1054" t="s">
        <v>18</v>
      </c>
    </row>
    <row r="1055" spans="1:8" x14ac:dyDescent="0.2">
      <c r="A1055" t="s">
        <v>63</v>
      </c>
      <c r="B1055" t="s">
        <v>1099</v>
      </c>
      <c r="C1055" t="s">
        <v>1100</v>
      </c>
      <c r="D1055" t="s">
        <v>35</v>
      </c>
      <c r="E1055">
        <v>5220116.2122840006</v>
      </c>
      <c r="F1055">
        <v>4301871</v>
      </c>
      <c r="G1055" t="s">
        <v>35</v>
      </c>
      <c r="H1055" t="s">
        <v>18</v>
      </c>
    </row>
    <row r="1056" spans="1:8" x14ac:dyDescent="0.2">
      <c r="A1056" t="s">
        <v>69</v>
      </c>
      <c r="B1056" t="s">
        <v>1863</v>
      </c>
      <c r="C1056" t="s">
        <v>1092</v>
      </c>
      <c r="D1056" t="s">
        <v>1061</v>
      </c>
      <c r="E1056">
        <v>730910.13675399998</v>
      </c>
      <c r="F1056">
        <v>239508</v>
      </c>
      <c r="G1056" t="s">
        <v>1109</v>
      </c>
      <c r="H1056" t="s">
        <v>18</v>
      </c>
    </row>
    <row r="1057" spans="1:8" x14ac:dyDescent="0.2">
      <c r="A1057" t="s">
        <v>69</v>
      </c>
      <c r="B1057" t="s">
        <v>1099</v>
      </c>
      <c r="C1057" t="s">
        <v>1100</v>
      </c>
      <c r="D1057" t="s">
        <v>35</v>
      </c>
      <c r="E1057">
        <v>730910.13675399998</v>
      </c>
      <c r="F1057">
        <v>239508</v>
      </c>
      <c r="G1057" t="s">
        <v>35</v>
      </c>
      <c r="H1057" t="s">
        <v>18</v>
      </c>
    </row>
    <row r="1058" spans="1:8" x14ac:dyDescent="0.2">
      <c r="A1058" t="s">
        <v>1355</v>
      </c>
      <c r="B1058" t="s">
        <v>1356</v>
      </c>
      <c r="C1058" t="s">
        <v>1092</v>
      </c>
      <c r="D1058" t="s">
        <v>1096</v>
      </c>
      <c r="E1058">
        <v>276549.53000000003</v>
      </c>
      <c r="F1058">
        <v>83</v>
      </c>
      <c r="G1058" t="s">
        <v>1093</v>
      </c>
      <c r="H1058" t="s">
        <v>18</v>
      </c>
    </row>
    <row r="1059" spans="1:8" x14ac:dyDescent="0.2">
      <c r="A1059" t="s">
        <v>1355</v>
      </c>
      <c r="B1059" t="s">
        <v>1357</v>
      </c>
      <c r="C1059" t="s">
        <v>1092</v>
      </c>
      <c r="D1059" t="s">
        <v>1096</v>
      </c>
      <c r="E1059">
        <v>560200.79999999993</v>
      </c>
      <c r="F1059">
        <v>131</v>
      </c>
      <c r="G1059" t="s">
        <v>1093</v>
      </c>
      <c r="H1059" t="s">
        <v>18</v>
      </c>
    </row>
    <row r="1060" spans="1:8" x14ac:dyDescent="0.2">
      <c r="A1060" t="s">
        <v>1355</v>
      </c>
      <c r="B1060" t="s">
        <v>1864</v>
      </c>
      <c r="C1060" t="s">
        <v>1092</v>
      </c>
      <c r="D1060" t="s">
        <v>1061</v>
      </c>
      <c r="E1060">
        <v>0</v>
      </c>
      <c r="F1060">
        <v>2761</v>
      </c>
      <c r="G1060" t="s">
        <v>1103</v>
      </c>
      <c r="H1060" t="s">
        <v>18</v>
      </c>
    </row>
    <row r="1061" spans="1:8" x14ac:dyDescent="0.2">
      <c r="A1061" t="s">
        <v>1355</v>
      </c>
      <c r="B1061" t="s">
        <v>1358</v>
      </c>
      <c r="C1061" t="s">
        <v>1092</v>
      </c>
      <c r="D1061" t="s">
        <v>1058</v>
      </c>
      <c r="E1061">
        <v>187249.139</v>
      </c>
      <c r="F1061">
        <v>57</v>
      </c>
      <c r="G1061" t="s">
        <v>1093</v>
      </c>
      <c r="H1061" t="s">
        <v>18</v>
      </c>
    </row>
    <row r="1062" spans="1:8" x14ac:dyDescent="0.2">
      <c r="A1062" t="s">
        <v>1355</v>
      </c>
      <c r="B1062" t="s">
        <v>1359</v>
      </c>
      <c r="C1062" t="s">
        <v>1092</v>
      </c>
      <c r="D1062" t="s">
        <v>1058</v>
      </c>
      <c r="E1062">
        <v>97937.600000000006</v>
      </c>
      <c r="F1062">
        <v>38</v>
      </c>
      <c r="G1062" t="s">
        <v>1093</v>
      </c>
      <c r="H1062" t="s">
        <v>18</v>
      </c>
    </row>
    <row r="1063" spans="1:8" x14ac:dyDescent="0.2">
      <c r="A1063" t="s">
        <v>1355</v>
      </c>
      <c r="B1063" t="s">
        <v>1360</v>
      </c>
      <c r="C1063" t="s">
        <v>1092</v>
      </c>
      <c r="D1063" t="s">
        <v>1126</v>
      </c>
      <c r="E1063">
        <v>91348.820999999996</v>
      </c>
      <c r="F1063">
        <v>47</v>
      </c>
      <c r="G1063" t="s">
        <v>1103</v>
      </c>
      <c r="H1063" t="s">
        <v>18</v>
      </c>
    </row>
    <row r="1064" spans="1:8" x14ac:dyDescent="0.2">
      <c r="A1064" t="s">
        <v>1355</v>
      </c>
      <c r="B1064" t="s">
        <v>1865</v>
      </c>
      <c r="C1064" t="s">
        <v>1092</v>
      </c>
      <c r="D1064" t="s">
        <v>1058</v>
      </c>
      <c r="E1064">
        <v>0</v>
      </c>
      <c r="F1064">
        <v>804</v>
      </c>
      <c r="G1064" t="s">
        <v>1103</v>
      </c>
      <c r="H1064" t="s">
        <v>18</v>
      </c>
    </row>
    <row r="1065" spans="1:8" x14ac:dyDescent="0.2">
      <c r="A1065" t="s">
        <v>1355</v>
      </c>
      <c r="B1065" t="s">
        <v>1361</v>
      </c>
      <c r="C1065" t="s">
        <v>1092</v>
      </c>
      <c r="D1065" t="s">
        <v>1096</v>
      </c>
      <c r="E1065">
        <v>244708.63</v>
      </c>
      <c r="F1065">
        <v>43</v>
      </c>
      <c r="G1065" t="s">
        <v>1093</v>
      </c>
      <c r="H1065" t="s">
        <v>18</v>
      </c>
    </row>
    <row r="1066" spans="1:8" x14ac:dyDescent="0.2">
      <c r="A1066" t="s">
        <v>1355</v>
      </c>
      <c r="B1066" t="s">
        <v>1362</v>
      </c>
      <c r="C1066" t="s">
        <v>1092</v>
      </c>
      <c r="D1066" t="s">
        <v>1215</v>
      </c>
      <c r="E1066">
        <v>0</v>
      </c>
      <c r="F1066">
        <v>1</v>
      </c>
      <c r="G1066" t="s">
        <v>1191</v>
      </c>
      <c r="H1066" t="s">
        <v>18</v>
      </c>
    </row>
    <row r="1067" spans="1:8" x14ac:dyDescent="0.2">
      <c r="A1067" t="s">
        <v>1355</v>
      </c>
      <c r="B1067" t="s">
        <v>1363</v>
      </c>
      <c r="C1067" t="s">
        <v>1092</v>
      </c>
      <c r="D1067" t="s">
        <v>1096</v>
      </c>
      <c r="E1067">
        <v>438746.96600000001</v>
      </c>
      <c r="F1067">
        <v>138</v>
      </c>
      <c r="G1067" t="s">
        <v>1093</v>
      </c>
      <c r="H1067" t="s">
        <v>18</v>
      </c>
    </row>
    <row r="1068" spans="1:8" x14ac:dyDescent="0.2">
      <c r="A1068" t="s">
        <v>1355</v>
      </c>
      <c r="B1068" t="s">
        <v>1099</v>
      </c>
      <c r="C1068" t="s">
        <v>1100</v>
      </c>
      <c r="D1068" t="s">
        <v>35</v>
      </c>
      <c r="E1068">
        <v>1896741.486</v>
      </c>
      <c r="F1068">
        <v>4103</v>
      </c>
      <c r="G1068" t="s">
        <v>35</v>
      </c>
      <c r="H1068" t="s">
        <v>18</v>
      </c>
    </row>
    <row r="1069" spans="1:8" x14ac:dyDescent="0.2">
      <c r="A1069" t="s">
        <v>1364</v>
      </c>
      <c r="B1069" t="s">
        <v>1365</v>
      </c>
      <c r="C1069" t="s">
        <v>1092</v>
      </c>
      <c r="D1069" t="s">
        <v>1126</v>
      </c>
      <c r="E1069">
        <v>37604.623510000005</v>
      </c>
      <c r="F1069">
        <v>22282</v>
      </c>
      <c r="G1069" t="s">
        <v>1109</v>
      </c>
      <c r="H1069" t="s">
        <v>18</v>
      </c>
    </row>
    <row r="1070" spans="1:8" x14ac:dyDescent="0.2">
      <c r="A1070" t="s">
        <v>1364</v>
      </c>
      <c r="B1070" t="s">
        <v>1099</v>
      </c>
      <c r="C1070" t="s">
        <v>1100</v>
      </c>
      <c r="D1070" t="s">
        <v>35</v>
      </c>
      <c r="E1070">
        <v>37604.623510000005</v>
      </c>
      <c r="F1070">
        <v>22282</v>
      </c>
      <c r="G1070" t="s">
        <v>35</v>
      </c>
      <c r="H1070" t="s">
        <v>18</v>
      </c>
    </row>
    <row r="1071" spans="1:8" x14ac:dyDescent="0.2">
      <c r="A1071" t="s">
        <v>1366</v>
      </c>
      <c r="B1071" t="s">
        <v>1367</v>
      </c>
      <c r="C1071" t="s">
        <v>1092</v>
      </c>
      <c r="D1071" t="s">
        <v>1058</v>
      </c>
      <c r="E1071">
        <v>102183.89657700001</v>
      </c>
      <c r="F1071">
        <v>34</v>
      </c>
      <c r="G1071" t="s">
        <v>1103</v>
      </c>
      <c r="H1071" t="s">
        <v>18</v>
      </c>
    </row>
    <row r="1072" spans="1:8" x14ac:dyDescent="0.2">
      <c r="A1072" t="s">
        <v>1366</v>
      </c>
      <c r="B1072" t="s">
        <v>1099</v>
      </c>
      <c r="C1072" t="s">
        <v>1100</v>
      </c>
      <c r="D1072" t="s">
        <v>35</v>
      </c>
      <c r="E1072">
        <v>102183.89657700001</v>
      </c>
      <c r="F1072">
        <v>34</v>
      </c>
      <c r="G1072" t="s">
        <v>35</v>
      </c>
      <c r="H1072" t="s">
        <v>18</v>
      </c>
    </row>
    <row r="1073" spans="1:8" x14ac:dyDescent="0.2">
      <c r="A1073" t="s">
        <v>1368</v>
      </c>
      <c r="B1073" t="s">
        <v>1369</v>
      </c>
      <c r="C1073" t="s">
        <v>1092</v>
      </c>
      <c r="D1073" t="s">
        <v>1061</v>
      </c>
      <c r="E1073">
        <v>32316.536</v>
      </c>
      <c r="F1073">
        <v>0</v>
      </c>
      <c r="G1073" t="s">
        <v>1103</v>
      </c>
      <c r="H1073" t="s">
        <v>18</v>
      </c>
    </row>
    <row r="1074" spans="1:8" x14ac:dyDescent="0.2">
      <c r="A1074" t="s">
        <v>1368</v>
      </c>
      <c r="B1074" t="s">
        <v>1099</v>
      </c>
      <c r="C1074" t="s">
        <v>1100</v>
      </c>
      <c r="D1074" t="s">
        <v>35</v>
      </c>
      <c r="E1074">
        <v>32316.536</v>
      </c>
      <c r="F1074">
        <v>0</v>
      </c>
      <c r="G1074" t="s">
        <v>35</v>
      </c>
      <c r="H1074" t="s">
        <v>18</v>
      </c>
    </row>
    <row r="1075" spans="1:8" x14ac:dyDescent="0.2">
      <c r="A1075" t="s">
        <v>1370</v>
      </c>
      <c r="B1075" t="s">
        <v>1371</v>
      </c>
      <c r="C1075" t="s">
        <v>1092</v>
      </c>
      <c r="D1075" t="s">
        <v>1058</v>
      </c>
      <c r="E1075">
        <v>56651</v>
      </c>
      <c r="F1075">
        <v>0</v>
      </c>
      <c r="G1075" t="s">
        <v>1107</v>
      </c>
      <c r="H1075" t="s">
        <v>18</v>
      </c>
    </row>
    <row r="1076" spans="1:8" x14ac:dyDescent="0.2">
      <c r="A1076" t="s">
        <v>1370</v>
      </c>
      <c r="B1076" t="s">
        <v>1372</v>
      </c>
      <c r="C1076" t="s">
        <v>1092</v>
      </c>
      <c r="D1076" t="s">
        <v>1058</v>
      </c>
      <c r="E1076">
        <v>8069</v>
      </c>
      <c r="F1076">
        <v>0</v>
      </c>
      <c r="G1076" t="s">
        <v>1107</v>
      </c>
      <c r="H1076" t="s">
        <v>18</v>
      </c>
    </row>
    <row r="1077" spans="1:8" x14ac:dyDescent="0.2">
      <c r="A1077" t="s">
        <v>1370</v>
      </c>
      <c r="B1077" t="s">
        <v>1099</v>
      </c>
      <c r="C1077" t="s">
        <v>1100</v>
      </c>
      <c r="D1077" t="s">
        <v>35</v>
      </c>
      <c r="E1077">
        <v>64720</v>
      </c>
      <c r="F1077">
        <v>0</v>
      </c>
      <c r="G1077" t="s">
        <v>35</v>
      </c>
      <c r="H1077" t="s">
        <v>18</v>
      </c>
    </row>
    <row r="1078" spans="1:8" x14ac:dyDescent="0.2">
      <c r="A1078" t="s">
        <v>481</v>
      </c>
      <c r="B1078" t="s">
        <v>1373</v>
      </c>
      <c r="C1078" t="s">
        <v>1092</v>
      </c>
      <c r="D1078" t="s">
        <v>1064</v>
      </c>
      <c r="E1078">
        <v>191628.74599999998</v>
      </c>
      <c r="F1078">
        <v>7</v>
      </c>
      <c r="G1078" t="s">
        <v>1107</v>
      </c>
      <c r="H1078" t="s">
        <v>18</v>
      </c>
    </row>
    <row r="1079" spans="1:8" x14ac:dyDescent="0.2">
      <c r="A1079" t="s">
        <v>481</v>
      </c>
      <c r="B1079" t="s">
        <v>1866</v>
      </c>
      <c r="C1079" t="s">
        <v>1092</v>
      </c>
      <c r="D1079" t="s">
        <v>1064</v>
      </c>
      <c r="E1079">
        <v>64775.423999999999</v>
      </c>
      <c r="F1079">
        <v>6</v>
      </c>
      <c r="G1079" t="s">
        <v>1107</v>
      </c>
      <c r="H1079" t="s">
        <v>18</v>
      </c>
    </row>
    <row r="1080" spans="1:8" x14ac:dyDescent="0.2">
      <c r="A1080" t="s">
        <v>481</v>
      </c>
      <c r="B1080" t="s">
        <v>1375</v>
      </c>
      <c r="C1080" t="s">
        <v>1092</v>
      </c>
      <c r="D1080" t="s">
        <v>1064</v>
      </c>
      <c r="E1080">
        <v>191711.59100000001</v>
      </c>
      <c r="F1080">
        <v>14</v>
      </c>
      <c r="G1080" t="s">
        <v>1107</v>
      </c>
      <c r="H1080" t="s">
        <v>18</v>
      </c>
    </row>
    <row r="1081" spans="1:8" x14ac:dyDescent="0.2">
      <c r="A1081" t="s">
        <v>481</v>
      </c>
      <c r="B1081" t="s">
        <v>1376</v>
      </c>
      <c r="C1081" t="s">
        <v>1092</v>
      </c>
      <c r="D1081" t="s">
        <v>1064</v>
      </c>
      <c r="E1081">
        <v>224035.49399999998</v>
      </c>
      <c r="F1081">
        <v>20</v>
      </c>
      <c r="G1081" t="s">
        <v>1107</v>
      </c>
      <c r="H1081" t="s">
        <v>18</v>
      </c>
    </row>
    <row r="1082" spans="1:8" x14ac:dyDescent="0.2">
      <c r="A1082" t="s">
        <v>481</v>
      </c>
      <c r="B1082" t="s">
        <v>1377</v>
      </c>
      <c r="C1082" t="s">
        <v>1092</v>
      </c>
      <c r="D1082" t="s">
        <v>1064</v>
      </c>
      <c r="E1082">
        <v>70203.976999999999</v>
      </c>
      <c r="F1082">
        <v>2</v>
      </c>
      <c r="G1082" t="s">
        <v>1107</v>
      </c>
      <c r="H1082" t="s">
        <v>18</v>
      </c>
    </row>
    <row r="1083" spans="1:8" x14ac:dyDescent="0.2">
      <c r="A1083" t="s">
        <v>481</v>
      </c>
      <c r="B1083" t="s">
        <v>1378</v>
      </c>
      <c r="C1083" t="s">
        <v>1092</v>
      </c>
      <c r="D1083" t="s">
        <v>1064</v>
      </c>
      <c r="E1083">
        <v>162356.886</v>
      </c>
      <c r="F1083">
        <v>6</v>
      </c>
      <c r="G1083" t="s">
        <v>1107</v>
      </c>
      <c r="H1083" t="s">
        <v>18</v>
      </c>
    </row>
    <row r="1084" spans="1:8" x14ac:dyDescent="0.2">
      <c r="A1084" t="s">
        <v>481</v>
      </c>
      <c r="B1084" t="s">
        <v>1867</v>
      </c>
      <c r="C1084" t="s">
        <v>1092</v>
      </c>
      <c r="D1084" t="s">
        <v>1064</v>
      </c>
      <c r="E1084">
        <v>132803.32199999999</v>
      </c>
      <c r="F1084">
        <v>6</v>
      </c>
      <c r="G1084" t="s">
        <v>1107</v>
      </c>
      <c r="H1084" t="s">
        <v>18</v>
      </c>
    </row>
    <row r="1085" spans="1:8" x14ac:dyDescent="0.2">
      <c r="A1085" t="s">
        <v>481</v>
      </c>
      <c r="B1085" t="s">
        <v>1380</v>
      </c>
      <c r="C1085" t="s">
        <v>1092</v>
      </c>
      <c r="D1085" t="s">
        <v>1064</v>
      </c>
      <c r="E1085">
        <v>1029502.426</v>
      </c>
      <c r="F1085">
        <v>137</v>
      </c>
      <c r="G1085" t="s">
        <v>1107</v>
      </c>
      <c r="H1085" t="s">
        <v>18</v>
      </c>
    </row>
    <row r="1086" spans="1:8" x14ac:dyDescent="0.2">
      <c r="A1086" t="s">
        <v>481</v>
      </c>
      <c r="B1086" t="s">
        <v>1381</v>
      </c>
      <c r="C1086" t="s">
        <v>1092</v>
      </c>
      <c r="D1086" t="s">
        <v>1064</v>
      </c>
      <c r="E1086">
        <v>442041.15700000001</v>
      </c>
      <c r="F1086">
        <v>28</v>
      </c>
      <c r="G1086" t="s">
        <v>1107</v>
      </c>
      <c r="H1086" t="s">
        <v>18</v>
      </c>
    </row>
    <row r="1087" spans="1:8" x14ac:dyDescent="0.2">
      <c r="A1087" t="s">
        <v>481</v>
      </c>
      <c r="B1087" t="s">
        <v>1382</v>
      </c>
      <c r="C1087" t="s">
        <v>1092</v>
      </c>
      <c r="D1087" t="s">
        <v>1064</v>
      </c>
      <c r="E1087">
        <v>84420.745999999999</v>
      </c>
      <c r="F1087">
        <v>9</v>
      </c>
      <c r="G1087" t="s">
        <v>1107</v>
      </c>
      <c r="H1087" t="s">
        <v>18</v>
      </c>
    </row>
    <row r="1088" spans="1:8" x14ac:dyDescent="0.2">
      <c r="A1088" t="s">
        <v>481</v>
      </c>
      <c r="B1088" t="s">
        <v>1383</v>
      </c>
      <c r="C1088" t="s">
        <v>1092</v>
      </c>
      <c r="D1088" t="s">
        <v>1064</v>
      </c>
      <c r="E1088">
        <v>0</v>
      </c>
      <c r="F1088">
        <v>0</v>
      </c>
      <c r="G1088" t="s">
        <v>1107</v>
      </c>
      <c r="H1088" t="s">
        <v>18</v>
      </c>
    </row>
    <row r="1089" spans="1:8" x14ac:dyDescent="0.2">
      <c r="A1089" t="s">
        <v>481</v>
      </c>
      <c r="B1089" t="s">
        <v>1384</v>
      </c>
      <c r="C1089" t="s">
        <v>1092</v>
      </c>
      <c r="D1089" t="s">
        <v>1064</v>
      </c>
      <c r="E1089">
        <v>27271.812000000002</v>
      </c>
      <c r="F1089">
        <v>1</v>
      </c>
      <c r="G1089" t="s">
        <v>1107</v>
      </c>
      <c r="H1089" t="s">
        <v>18</v>
      </c>
    </row>
    <row r="1090" spans="1:8" x14ac:dyDescent="0.2">
      <c r="A1090" t="s">
        <v>481</v>
      </c>
      <c r="B1090" t="s">
        <v>1385</v>
      </c>
      <c r="C1090" t="s">
        <v>1092</v>
      </c>
      <c r="D1090" t="s">
        <v>1064</v>
      </c>
      <c r="E1090">
        <v>142000.94199999998</v>
      </c>
      <c r="F1090">
        <v>6</v>
      </c>
      <c r="G1090" t="s">
        <v>1107</v>
      </c>
      <c r="H1090" t="s">
        <v>18</v>
      </c>
    </row>
    <row r="1091" spans="1:8" x14ac:dyDescent="0.2">
      <c r="A1091" t="s">
        <v>481</v>
      </c>
      <c r="B1091" t="s">
        <v>1386</v>
      </c>
      <c r="C1091" t="s">
        <v>1092</v>
      </c>
      <c r="D1091" t="s">
        <v>1064</v>
      </c>
      <c r="E1091">
        <v>373268.39199999999</v>
      </c>
      <c r="F1091">
        <v>17</v>
      </c>
      <c r="G1091" t="s">
        <v>1107</v>
      </c>
      <c r="H1091" t="s">
        <v>18</v>
      </c>
    </row>
    <row r="1092" spans="1:8" x14ac:dyDescent="0.2">
      <c r="A1092" t="s">
        <v>481</v>
      </c>
      <c r="B1092" t="s">
        <v>1387</v>
      </c>
      <c r="C1092" t="s">
        <v>1092</v>
      </c>
      <c r="D1092" t="s">
        <v>1064</v>
      </c>
      <c r="E1092">
        <v>233383.02500000002</v>
      </c>
      <c r="F1092">
        <v>118</v>
      </c>
      <c r="G1092" t="s">
        <v>1107</v>
      </c>
      <c r="H1092" t="s">
        <v>18</v>
      </c>
    </row>
    <row r="1093" spans="1:8" x14ac:dyDescent="0.2">
      <c r="A1093" t="s">
        <v>481</v>
      </c>
      <c r="B1093" t="s">
        <v>1388</v>
      </c>
      <c r="C1093" t="s">
        <v>1092</v>
      </c>
      <c r="D1093" t="s">
        <v>1064</v>
      </c>
      <c r="E1093">
        <v>121070.73299999999</v>
      </c>
      <c r="F1093">
        <v>6</v>
      </c>
      <c r="G1093" t="s">
        <v>1107</v>
      </c>
      <c r="H1093" t="s">
        <v>18</v>
      </c>
    </row>
    <row r="1094" spans="1:8" x14ac:dyDescent="0.2">
      <c r="A1094" t="s">
        <v>481</v>
      </c>
      <c r="B1094" t="s">
        <v>1389</v>
      </c>
      <c r="C1094" t="s">
        <v>1092</v>
      </c>
      <c r="D1094" t="s">
        <v>1064</v>
      </c>
      <c r="E1094">
        <v>69814.166999999987</v>
      </c>
      <c r="F1094">
        <v>8</v>
      </c>
      <c r="G1094" t="s">
        <v>1107</v>
      </c>
      <c r="H1094" t="s">
        <v>18</v>
      </c>
    </row>
    <row r="1095" spans="1:8" x14ac:dyDescent="0.2">
      <c r="A1095" t="s">
        <v>481</v>
      </c>
      <c r="B1095" t="s">
        <v>1390</v>
      </c>
      <c r="C1095" t="s">
        <v>1092</v>
      </c>
      <c r="D1095" t="s">
        <v>1064</v>
      </c>
      <c r="E1095">
        <v>4913.3119999999999</v>
      </c>
      <c r="F1095">
        <v>0</v>
      </c>
      <c r="G1095" t="s">
        <v>1107</v>
      </c>
      <c r="H1095" t="s">
        <v>18</v>
      </c>
    </row>
    <row r="1096" spans="1:8" x14ac:dyDescent="0.2">
      <c r="A1096" t="s">
        <v>481</v>
      </c>
      <c r="B1096" t="s">
        <v>1868</v>
      </c>
      <c r="C1096" t="s">
        <v>1092</v>
      </c>
      <c r="D1096" t="s">
        <v>1064</v>
      </c>
      <c r="E1096">
        <v>508690.36</v>
      </c>
      <c r="F1096">
        <v>7</v>
      </c>
      <c r="G1096" t="s">
        <v>1107</v>
      </c>
      <c r="H1096" t="s">
        <v>18</v>
      </c>
    </row>
    <row r="1097" spans="1:8" x14ac:dyDescent="0.2">
      <c r="A1097" t="s">
        <v>481</v>
      </c>
      <c r="B1097" t="s">
        <v>1392</v>
      </c>
      <c r="C1097" t="s">
        <v>1092</v>
      </c>
      <c r="D1097" t="s">
        <v>1064</v>
      </c>
      <c r="E1097">
        <v>650609.03600000008</v>
      </c>
      <c r="F1097">
        <v>74</v>
      </c>
      <c r="G1097" t="s">
        <v>1107</v>
      </c>
      <c r="H1097" t="s">
        <v>18</v>
      </c>
    </row>
    <row r="1098" spans="1:8" x14ac:dyDescent="0.2">
      <c r="A1098" t="s">
        <v>481</v>
      </c>
      <c r="B1098" t="s">
        <v>1393</v>
      </c>
      <c r="C1098" t="s">
        <v>1092</v>
      </c>
      <c r="D1098" t="s">
        <v>1064</v>
      </c>
      <c r="E1098">
        <v>106549.99099999999</v>
      </c>
      <c r="F1098">
        <v>7</v>
      </c>
      <c r="G1098" t="s">
        <v>1107</v>
      </c>
      <c r="H1098" t="s">
        <v>18</v>
      </c>
    </row>
    <row r="1099" spans="1:8" x14ac:dyDescent="0.2">
      <c r="A1099" t="s">
        <v>481</v>
      </c>
      <c r="B1099" t="s">
        <v>1394</v>
      </c>
      <c r="C1099" t="s">
        <v>1092</v>
      </c>
      <c r="D1099" t="s">
        <v>1064</v>
      </c>
      <c r="E1099">
        <v>496664.72499999998</v>
      </c>
      <c r="F1099">
        <v>1143</v>
      </c>
      <c r="G1099" t="s">
        <v>1107</v>
      </c>
      <c r="H1099" t="s">
        <v>18</v>
      </c>
    </row>
    <row r="1100" spans="1:8" x14ac:dyDescent="0.2">
      <c r="A1100" t="s">
        <v>481</v>
      </c>
      <c r="B1100" t="s">
        <v>1395</v>
      </c>
      <c r="C1100" t="s">
        <v>1092</v>
      </c>
      <c r="D1100" t="s">
        <v>1064</v>
      </c>
      <c r="E1100">
        <v>0</v>
      </c>
      <c r="F1100">
        <v>0</v>
      </c>
      <c r="G1100" t="s">
        <v>1107</v>
      </c>
      <c r="H1100" t="s">
        <v>18</v>
      </c>
    </row>
    <row r="1101" spans="1:8" x14ac:dyDescent="0.2">
      <c r="A1101" t="s">
        <v>481</v>
      </c>
      <c r="B1101" t="s">
        <v>1396</v>
      </c>
      <c r="C1101" t="s">
        <v>1092</v>
      </c>
      <c r="D1101" t="s">
        <v>1064</v>
      </c>
      <c r="E1101">
        <v>241891.05600000001</v>
      </c>
      <c r="F1101">
        <v>0</v>
      </c>
      <c r="G1101" t="s">
        <v>1107</v>
      </c>
      <c r="H1101" t="s">
        <v>18</v>
      </c>
    </row>
    <row r="1102" spans="1:8" x14ac:dyDescent="0.2">
      <c r="A1102" t="s">
        <v>481</v>
      </c>
      <c r="B1102" t="s">
        <v>1869</v>
      </c>
      <c r="C1102" t="s">
        <v>1092</v>
      </c>
      <c r="D1102" t="s">
        <v>1064</v>
      </c>
      <c r="E1102">
        <v>185640.019</v>
      </c>
      <c r="F1102">
        <v>26</v>
      </c>
      <c r="G1102" t="s">
        <v>1107</v>
      </c>
      <c r="H1102" t="s">
        <v>18</v>
      </c>
    </row>
    <row r="1103" spans="1:8" x14ac:dyDescent="0.2">
      <c r="A1103" t="s">
        <v>481</v>
      </c>
      <c r="B1103" t="s">
        <v>1398</v>
      </c>
      <c r="C1103" t="s">
        <v>1092</v>
      </c>
      <c r="D1103" t="s">
        <v>1064</v>
      </c>
      <c r="E1103">
        <v>405846.24800000002</v>
      </c>
      <c r="F1103">
        <v>40</v>
      </c>
      <c r="G1103" t="s">
        <v>1107</v>
      </c>
      <c r="H1103" t="s">
        <v>18</v>
      </c>
    </row>
    <row r="1104" spans="1:8" x14ac:dyDescent="0.2">
      <c r="A1104" t="s">
        <v>481</v>
      </c>
      <c r="B1104" t="s">
        <v>1399</v>
      </c>
      <c r="C1104" t="s">
        <v>1092</v>
      </c>
      <c r="D1104" t="s">
        <v>1064</v>
      </c>
      <c r="E1104">
        <v>205038.02</v>
      </c>
      <c r="F1104">
        <v>0</v>
      </c>
      <c r="G1104" t="s">
        <v>1107</v>
      </c>
      <c r="H1104" t="s">
        <v>18</v>
      </c>
    </row>
    <row r="1105" spans="1:8" x14ac:dyDescent="0.2">
      <c r="A1105" t="s">
        <v>481</v>
      </c>
      <c r="B1105" t="s">
        <v>1400</v>
      </c>
      <c r="C1105" t="s">
        <v>1092</v>
      </c>
      <c r="D1105" t="s">
        <v>1064</v>
      </c>
      <c r="E1105">
        <v>83661.032999999996</v>
      </c>
      <c r="F1105">
        <v>6</v>
      </c>
      <c r="G1105" t="s">
        <v>1107</v>
      </c>
      <c r="H1105" t="s">
        <v>18</v>
      </c>
    </row>
    <row r="1106" spans="1:8" x14ac:dyDescent="0.2">
      <c r="A1106" t="s">
        <v>481</v>
      </c>
      <c r="B1106" t="s">
        <v>1401</v>
      </c>
      <c r="C1106" t="s">
        <v>1092</v>
      </c>
      <c r="D1106" t="s">
        <v>1064</v>
      </c>
      <c r="E1106">
        <v>5916.9400000000005</v>
      </c>
      <c r="F1106">
        <v>2053</v>
      </c>
      <c r="G1106" t="s">
        <v>1093</v>
      </c>
      <c r="H1106" t="s">
        <v>18</v>
      </c>
    </row>
    <row r="1107" spans="1:8" x14ac:dyDescent="0.2">
      <c r="A1107" t="s">
        <v>481</v>
      </c>
      <c r="B1107" t="s">
        <v>1402</v>
      </c>
      <c r="C1107" t="s">
        <v>1092</v>
      </c>
      <c r="D1107" t="s">
        <v>1064</v>
      </c>
      <c r="E1107">
        <v>15197.558999999999</v>
      </c>
      <c r="F1107">
        <v>7802</v>
      </c>
      <c r="G1107" t="s">
        <v>1093</v>
      </c>
      <c r="H1107" t="s">
        <v>18</v>
      </c>
    </row>
    <row r="1108" spans="1:8" x14ac:dyDescent="0.2">
      <c r="A1108" t="s">
        <v>481</v>
      </c>
      <c r="B1108" t="s">
        <v>1403</v>
      </c>
      <c r="C1108" t="s">
        <v>1092</v>
      </c>
      <c r="D1108" t="s">
        <v>1064</v>
      </c>
      <c r="E1108">
        <v>302062.13200000004</v>
      </c>
      <c r="F1108">
        <v>133215</v>
      </c>
      <c r="G1108" t="s">
        <v>1109</v>
      </c>
      <c r="H1108" t="s">
        <v>18</v>
      </c>
    </row>
    <row r="1109" spans="1:8" x14ac:dyDescent="0.2">
      <c r="A1109" t="s">
        <v>481</v>
      </c>
      <c r="B1109" t="s">
        <v>1099</v>
      </c>
      <c r="C1109" t="s">
        <v>1100</v>
      </c>
      <c r="D1109" t="s">
        <v>35</v>
      </c>
      <c r="E1109">
        <v>6772969.2709999988</v>
      </c>
      <c r="F1109">
        <v>144764</v>
      </c>
      <c r="G1109" t="s">
        <v>35</v>
      </c>
      <c r="H1109" t="s">
        <v>18</v>
      </c>
    </row>
    <row r="1110" spans="1:8" x14ac:dyDescent="0.2">
      <c r="A1110" t="s">
        <v>874</v>
      </c>
      <c r="B1110" t="s">
        <v>1404</v>
      </c>
      <c r="C1110" t="s">
        <v>1092</v>
      </c>
      <c r="D1110" t="s">
        <v>1126</v>
      </c>
      <c r="E1110">
        <v>266527.60399999999</v>
      </c>
      <c r="F1110">
        <v>47</v>
      </c>
      <c r="G1110" t="s">
        <v>1093</v>
      </c>
      <c r="H1110" t="s">
        <v>18</v>
      </c>
    </row>
    <row r="1111" spans="1:8" x14ac:dyDescent="0.2">
      <c r="A1111" t="s">
        <v>874</v>
      </c>
      <c r="B1111" t="s">
        <v>1405</v>
      </c>
      <c r="C1111" t="s">
        <v>1092</v>
      </c>
      <c r="D1111" t="s">
        <v>1058</v>
      </c>
      <c r="E1111">
        <v>403278.68180000002</v>
      </c>
      <c r="F1111">
        <v>91</v>
      </c>
      <c r="G1111" t="s">
        <v>1103</v>
      </c>
      <c r="H1111" t="s">
        <v>18</v>
      </c>
    </row>
    <row r="1112" spans="1:8" x14ac:dyDescent="0.2">
      <c r="A1112" t="s">
        <v>874</v>
      </c>
      <c r="B1112" t="s">
        <v>1406</v>
      </c>
      <c r="C1112" t="s">
        <v>1092</v>
      </c>
      <c r="D1112" t="s">
        <v>1058</v>
      </c>
      <c r="E1112">
        <v>274278.55200000003</v>
      </c>
      <c r="F1112">
        <v>46</v>
      </c>
      <c r="G1112" t="s">
        <v>1093</v>
      </c>
      <c r="H1112" t="s">
        <v>18</v>
      </c>
    </row>
    <row r="1113" spans="1:8" x14ac:dyDescent="0.2">
      <c r="A1113" t="s">
        <v>874</v>
      </c>
      <c r="B1113" t="s">
        <v>1407</v>
      </c>
      <c r="C1113" t="s">
        <v>1092</v>
      </c>
      <c r="D1113" t="s">
        <v>1052</v>
      </c>
      <c r="E1113">
        <v>40593.668000000005</v>
      </c>
      <c r="F1113">
        <v>22689</v>
      </c>
      <c r="G1113" t="s">
        <v>1109</v>
      </c>
      <c r="H1113" t="s">
        <v>18</v>
      </c>
    </row>
    <row r="1114" spans="1:8" x14ac:dyDescent="0.2">
      <c r="A1114" t="s">
        <v>874</v>
      </c>
      <c r="B1114" t="s">
        <v>1408</v>
      </c>
      <c r="C1114" t="s">
        <v>1092</v>
      </c>
      <c r="D1114" t="s">
        <v>1058</v>
      </c>
      <c r="E1114">
        <v>317925.07199999999</v>
      </c>
      <c r="F1114">
        <v>106</v>
      </c>
      <c r="G1114" t="s">
        <v>1093</v>
      </c>
      <c r="H1114" t="s">
        <v>18</v>
      </c>
    </row>
    <row r="1115" spans="1:8" x14ac:dyDescent="0.2">
      <c r="A1115" t="s">
        <v>874</v>
      </c>
      <c r="B1115" t="s">
        <v>1870</v>
      </c>
      <c r="C1115" t="s">
        <v>1092</v>
      </c>
      <c r="D1115" t="s">
        <v>1058</v>
      </c>
      <c r="E1115">
        <v>373718.88900000002</v>
      </c>
      <c r="F1115">
        <v>166</v>
      </c>
      <c r="G1115" t="s">
        <v>1093</v>
      </c>
      <c r="H1115" t="s">
        <v>18</v>
      </c>
    </row>
    <row r="1116" spans="1:8" x14ac:dyDescent="0.2">
      <c r="A1116" t="s">
        <v>874</v>
      </c>
      <c r="B1116" t="s">
        <v>1409</v>
      </c>
      <c r="C1116" t="s">
        <v>1092</v>
      </c>
      <c r="D1116" t="s">
        <v>1052</v>
      </c>
      <c r="E1116">
        <v>0</v>
      </c>
      <c r="F1116">
        <v>5</v>
      </c>
      <c r="G1116" t="s">
        <v>1191</v>
      </c>
      <c r="H1116" t="s">
        <v>18</v>
      </c>
    </row>
    <row r="1117" spans="1:8" x14ac:dyDescent="0.2">
      <c r="A1117" t="s">
        <v>874</v>
      </c>
      <c r="B1117" t="s">
        <v>1410</v>
      </c>
      <c r="C1117" t="s">
        <v>1092</v>
      </c>
      <c r="D1117" t="s">
        <v>1052</v>
      </c>
      <c r="E1117">
        <v>491400.53859999997</v>
      </c>
      <c r="F1117">
        <v>59</v>
      </c>
      <c r="G1117" t="s">
        <v>1093</v>
      </c>
      <c r="H1117" t="s">
        <v>18</v>
      </c>
    </row>
    <row r="1118" spans="1:8" x14ac:dyDescent="0.2">
      <c r="A1118" t="s">
        <v>874</v>
      </c>
      <c r="B1118" t="s">
        <v>1871</v>
      </c>
      <c r="C1118" t="s">
        <v>1092</v>
      </c>
      <c r="D1118" t="s">
        <v>1052</v>
      </c>
      <c r="E1118">
        <v>667365.02920000011</v>
      </c>
      <c r="F1118">
        <v>195</v>
      </c>
      <c r="G1118" t="s">
        <v>1093</v>
      </c>
      <c r="H1118" t="s">
        <v>18</v>
      </c>
    </row>
    <row r="1119" spans="1:8" x14ac:dyDescent="0.2">
      <c r="A1119" t="s">
        <v>874</v>
      </c>
      <c r="B1119" t="s">
        <v>1412</v>
      </c>
      <c r="C1119" t="s">
        <v>1092</v>
      </c>
      <c r="D1119" t="s">
        <v>1058</v>
      </c>
      <c r="E1119">
        <v>56060.028899999998</v>
      </c>
      <c r="F1119">
        <v>37532</v>
      </c>
      <c r="G1119" t="s">
        <v>1109</v>
      </c>
      <c r="H1119" t="s">
        <v>18</v>
      </c>
    </row>
    <row r="1120" spans="1:8" x14ac:dyDescent="0.2">
      <c r="A1120" t="s">
        <v>874</v>
      </c>
      <c r="B1120" t="s">
        <v>1413</v>
      </c>
      <c r="C1120" t="s">
        <v>1092</v>
      </c>
      <c r="D1120" t="s">
        <v>1058</v>
      </c>
      <c r="E1120">
        <v>127353.198</v>
      </c>
      <c r="F1120">
        <v>29</v>
      </c>
      <c r="G1120" t="s">
        <v>1093</v>
      </c>
      <c r="H1120" t="s">
        <v>18</v>
      </c>
    </row>
    <row r="1121" spans="1:8" x14ac:dyDescent="0.2">
      <c r="A1121" t="s">
        <v>874</v>
      </c>
      <c r="B1121" t="s">
        <v>1099</v>
      </c>
      <c r="C1121" t="s">
        <v>1100</v>
      </c>
      <c r="D1121" t="s">
        <v>35</v>
      </c>
      <c r="E1121">
        <v>3018501.261500001</v>
      </c>
      <c r="F1121">
        <v>60965</v>
      </c>
      <c r="G1121" t="s">
        <v>35</v>
      </c>
      <c r="H1121" t="s">
        <v>18</v>
      </c>
    </row>
    <row r="1122" spans="1:8" x14ac:dyDescent="0.2">
      <c r="A1122" t="s">
        <v>904</v>
      </c>
      <c r="B1122" t="s">
        <v>1189</v>
      </c>
      <c r="C1122" t="s">
        <v>1092</v>
      </c>
      <c r="D1122" t="s">
        <v>1061</v>
      </c>
      <c r="E1122">
        <v>4195086.0410000002</v>
      </c>
      <c r="F1122">
        <v>3699076</v>
      </c>
      <c r="G1122" t="s">
        <v>1111</v>
      </c>
      <c r="H1122" t="s">
        <v>18</v>
      </c>
    </row>
    <row r="1123" spans="1:8" x14ac:dyDescent="0.2">
      <c r="A1123" t="s">
        <v>904</v>
      </c>
      <c r="B1123" t="s">
        <v>1099</v>
      </c>
      <c r="C1123" t="s">
        <v>1100</v>
      </c>
      <c r="D1123" t="s">
        <v>35</v>
      </c>
      <c r="E1123">
        <v>4195086.0410000002</v>
      </c>
      <c r="F1123">
        <v>3699076</v>
      </c>
      <c r="G1123" t="s">
        <v>35</v>
      </c>
      <c r="H1123" t="s">
        <v>18</v>
      </c>
    </row>
    <row r="1124" spans="1:8" x14ac:dyDescent="0.2">
      <c r="A1124" t="s">
        <v>1414</v>
      </c>
      <c r="B1124" t="s">
        <v>1415</v>
      </c>
      <c r="C1124" t="s">
        <v>1092</v>
      </c>
      <c r="D1124" t="s">
        <v>1061</v>
      </c>
      <c r="E1124">
        <v>242529.53400000001</v>
      </c>
      <c r="F1124">
        <v>45</v>
      </c>
      <c r="G1124" t="s">
        <v>1103</v>
      </c>
      <c r="H1124" t="s">
        <v>18</v>
      </c>
    </row>
    <row r="1125" spans="1:8" x14ac:dyDescent="0.2">
      <c r="A1125" t="s">
        <v>1414</v>
      </c>
      <c r="B1125" t="s">
        <v>1099</v>
      </c>
      <c r="C1125" t="s">
        <v>1100</v>
      </c>
      <c r="D1125" t="s">
        <v>35</v>
      </c>
      <c r="E1125">
        <v>242529.53400000001</v>
      </c>
      <c r="F1125">
        <v>45</v>
      </c>
      <c r="G1125" t="s">
        <v>35</v>
      </c>
      <c r="H1125" t="s">
        <v>18</v>
      </c>
    </row>
    <row r="1126" spans="1:8" x14ac:dyDescent="0.2">
      <c r="A1126" t="s">
        <v>151</v>
      </c>
      <c r="B1126" t="s">
        <v>1193</v>
      </c>
      <c r="C1126" t="s">
        <v>1092</v>
      </c>
      <c r="D1126" t="s">
        <v>1052</v>
      </c>
      <c r="E1126">
        <v>92168</v>
      </c>
      <c r="F1126">
        <v>18</v>
      </c>
      <c r="G1126" t="s">
        <v>1093</v>
      </c>
      <c r="H1126" t="s">
        <v>18</v>
      </c>
    </row>
    <row r="1127" spans="1:8" x14ac:dyDescent="0.2">
      <c r="A1127" t="s">
        <v>151</v>
      </c>
      <c r="B1127" t="s">
        <v>1760</v>
      </c>
      <c r="C1127" t="s">
        <v>1092</v>
      </c>
      <c r="D1127" t="s">
        <v>1052</v>
      </c>
      <c r="E1127">
        <v>20366.61</v>
      </c>
      <c r="F1127">
        <v>17992</v>
      </c>
      <c r="G1127" t="s">
        <v>1109</v>
      </c>
      <c r="H1127" t="s">
        <v>18</v>
      </c>
    </row>
    <row r="1128" spans="1:8" x14ac:dyDescent="0.2">
      <c r="A1128" t="s">
        <v>151</v>
      </c>
      <c r="B1128" t="s">
        <v>1872</v>
      </c>
      <c r="C1128" t="s">
        <v>1092</v>
      </c>
      <c r="D1128" t="s">
        <v>1096</v>
      </c>
      <c r="E1128">
        <v>2.1760000000000002</v>
      </c>
      <c r="F1128">
        <v>1008</v>
      </c>
      <c r="G1128" t="s">
        <v>1103</v>
      </c>
      <c r="H1128" t="s">
        <v>18</v>
      </c>
    </row>
    <row r="1129" spans="1:8" x14ac:dyDescent="0.2">
      <c r="A1129" t="s">
        <v>151</v>
      </c>
      <c r="B1129" t="s">
        <v>1761</v>
      </c>
      <c r="C1129" t="s">
        <v>1092</v>
      </c>
      <c r="D1129" t="s">
        <v>1096</v>
      </c>
      <c r="E1129">
        <v>37373</v>
      </c>
      <c r="F1129">
        <v>30202</v>
      </c>
      <c r="G1129" t="s">
        <v>1109</v>
      </c>
      <c r="H1129" t="s">
        <v>18</v>
      </c>
    </row>
    <row r="1130" spans="1:8" x14ac:dyDescent="0.2">
      <c r="A1130" t="s">
        <v>151</v>
      </c>
      <c r="B1130" t="s">
        <v>1538</v>
      </c>
      <c r="C1130" t="s">
        <v>1092</v>
      </c>
      <c r="D1130" t="s">
        <v>1052</v>
      </c>
      <c r="E1130">
        <v>1069200</v>
      </c>
      <c r="F1130">
        <v>467340</v>
      </c>
      <c r="G1130" t="s">
        <v>1109</v>
      </c>
      <c r="H1130" t="s">
        <v>18</v>
      </c>
    </row>
    <row r="1131" spans="1:8" x14ac:dyDescent="0.2">
      <c r="A1131" t="s">
        <v>151</v>
      </c>
      <c r="B1131" t="s">
        <v>1762</v>
      </c>
      <c r="C1131" t="s">
        <v>1092</v>
      </c>
      <c r="D1131" t="s">
        <v>1052</v>
      </c>
      <c r="E1131">
        <v>223.5</v>
      </c>
      <c r="F1131">
        <v>469</v>
      </c>
      <c r="G1131" t="s">
        <v>1236</v>
      </c>
      <c r="H1131" t="s">
        <v>18</v>
      </c>
    </row>
    <row r="1132" spans="1:8" x14ac:dyDescent="0.2">
      <c r="A1132" t="s">
        <v>151</v>
      </c>
      <c r="B1132" t="s">
        <v>1763</v>
      </c>
      <c r="C1132" t="s">
        <v>1092</v>
      </c>
      <c r="D1132" t="s">
        <v>1052</v>
      </c>
      <c r="E1132">
        <v>162.30000000000001</v>
      </c>
      <c r="F1132">
        <v>1885</v>
      </c>
      <c r="G1132" t="s">
        <v>1236</v>
      </c>
      <c r="H1132" t="s">
        <v>18</v>
      </c>
    </row>
    <row r="1133" spans="1:8" x14ac:dyDescent="0.2">
      <c r="A1133" t="s">
        <v>151</v>
      </c>
      <c r="B1133" t="s">
        <v>1099</v>
      </c>
      <c r="C1133" t="s">
        <v>1100</v>
      </c>
      <c r="D1133" t="s">
        <v>35</v>
      </c>
      <c r="E1133">
        <v>1219495.5859999999</v>
      </c>
      <c r="F1133">
        <v>518914</v>
      </c>
      <c r="G1133" t="s">
        <v>35</v>
      </c>
      <c r="H1133" t="s">
        <v>18</v>
      </c>
    </row>
    <row r="1134" spans="1:8" x14ac:dyDescent="0.2">
      <c r="A1134" t="s">
        <v>1416</v>
      </c>
      <c r="B1134" t="s">
        <v>1417</v>
      </c>
      <c r="C1134" t="s">
        <v>1092</v>
      </c>
      <c r="D1134" t="s">
        <v>1215</v>
      </c>
      <c r="E1134">
        <v>195315.46900000001</v>
      </c>
      <c r="F1134">
        <v>42</v>
      </c>
      <c r="G1134" t="s">
        <v>1093</v>
      </c>
      <c r="H1134" t="s">
        <v>18</v>
      </c>
    </row>
    <row r="1135" spans="1:8" x14ac:dyDescent="0.2">
      <c r="A1135" t="s">
        <v>1416</v>
      </c>
      <c r="B1135" t="s">
        <v>1099</v>
      </c>
      <c r="C1135" t="s">
        <v>1100</v>
      </c>
      <c r="D1135" t="s">
        <v>35</v>
      </c>
      <c r="E1135">
        <v>195315.46900000001</v>
      </c>
      <c r="F1135">
        <v>42</v>
      </c>
      <c r="G1135" t="s">
        <v>35</v>
      </c>
      <c r="H1135" t="s">
        <v>18</v>
      </c>
    </row>
    <row r="1136" spans="1:8" x14ac:dyDescent="0.2">
      <c r="A1136" t="s">
        <v>1873</v>
      </c>
      <c r="B1136" t="s">
        <v>1874</v>
      </c>
      <c r="C1136" t="s">
        <v>1092</v>
      </c>
      <c r="D1136" t="s">
        <v>1061</v>
      </c>
      <c r="E1136">
        <v>34998</v>
      </c>
      <c r="F1136">
        <v>0</v>
      </c>
      <c r="G1136" t="s">
        <v>1103</v>
      </c>
      <c r="H1136" t="s">
        <v>18</v>
      </c>
    </row>
    <row r="1137" spans="1:8" x14ac:dyDescent="0.2">
      <c r="A1137" t="s">
        <v>1873</v>
      </c>
      <c r="B1137" t="s">
        <v>1099</v>
      </c>
      <c r="C1137" t="s">
        <v>1100</v>
      </c>
      <c r="D1137" t="s">
        <v>35</v>
      </c>
      <c r="E1137">
        <v>34998</v>
      </c>
      <c r="F1137">
        <v>0</v>
      </c>
      <c r="G1137" t="s">
        <v>35</v>
      </c>
      <c r="H1137" t="s">
        <v>18</v>
      </c>
    </row>
    <row r="1138" spans="1:8" x14ac:dyDescent="0.2">
      <c r="A1138" t="s">
        <v>1418</v>
      </c>
      <c r="B1138" t="s">
        <v>1419</v>
      </c>
      <c r="C1138" t="s">
        <v>1092</v>
      </c>
      <c r="D1138" t="s">
        <v>1096</v>
      </c>
      <c r="E1138">
        <v>137082</v>
      </c>
      <c r="F1138">
        <v>0</v>
      </c>
      <c r="G1138" t="s">
        <v>1103</v>
      </c>
      <c r="H1138" t="s">
        <v>18</v>
      </c>
    </row>
    <row r="1139" spans="1:8" x14ac:dyDescent="0.2">
      <c r="A1139" t="s">
        <v>1418</v>
      </c>
      <c r="B1139" t="s">
        <v>1099</v>
      </c>
      <c r="C1139" t="s">
        <v>1100</v>
      </c>
      <c r="D1139" t="s">
        <v>35</v>
      </c>
      <c r="E1139">
        <v>137082</v>
      </c>
      <c r="F1139">
        <v>0</v>
      </c>
      <c r="G1139" t="s">
        <v>35</v>
      </c>
      <c r="H1139" t="s">
        <v>18</v>
      </c>
    </row>
    <row r="1140" spans="1:8" x14ac:dyDescent="0.2">
      <c r="A1140" t="s">
        <v>1420</v>
      </c>
      <c r="B1140" t="s">
        <v>1421</v>
      </c>
      <c r="C1140" t="s">
        <v>1092</v>
      </c>
      <c r="D1140" t="s">
        <v>1096</v>
      </c>
      <c r="E1140">
        <v>495009</v>
      </c>
      <c r="F1140">
        <v>102</v>
      </c>
      <c r="G1140" t="s">
        <v>1093</v>
      </c>
      <c r="H1140" t="s">
        <v>18</v>
      </c>
    </row>
    <row r="1141" spans="1:8" x14ac:dyDescent="0.2">
      <c r="A1141" t="s">
        <v>1420</v>
      </c>
      <c r="B1141" t="s">
        <v>1099</v>
      </c>
      <c r="C1141" t="s">
        <v>1100</v>
      </c>
      <c r="D1141" t="s">
        <v>35</v>
      </c>
      <c r="E1141">
        <v>495009</v>
      </c>
      <c r="F1141">
        <v>102</v>
      </c>
      <c r="G1141" t="s">
        <v>35</v>
      </c>
      <c r="H1141" t="s">
        <v>18</v>
      </c>
    </row>
    <row r="1142" spans="1:8" x14ac:dyDescent="0.2">
      <c r="A1142" t="s">
        <v>1425</v>
      </c>
      <c r="B1142" t="s">
        <v>1426</v>
      </c>
      <c r="C1142" t="s">
        <v>1092</v>
      </c>
      <c r="D1142" t="s">
        <v>1061</v>
      </c>
      <c r="E1142">
        <v>8852.2759999999998</v>
      </c>
      <c r="F1142">
        <v>862</v>
      </c>
      <c r="G1142" t="s">
        <v>1238</v>
      </c>
      <c r="H1142" t="s">
        <v>18</v>
      </c>
    </row>
    <row r="1143" spans="1:8" x14ac:dyDescent="0.2">
      <c r="A1143" t="s">
        <v>1425</v>
      </c>
      <c r="B1143" t="s">
        <v>1427</v>
      </c>
      <c r="C1143" t="s">
        <v>1092</v>
      </c>
      <c r="D1143" t="s">
        <v>1061</v>
      </c>
      <c r="E1143">
        <v>5820.3230000000003</v>
      </c>
      <c r="F1143">
        <v>611</v>
      </c>
      <c r="G1143" t="s">
        <v>1238</v>
      </c>
      <c r="H1143" t="s">
        <v>18</v>
      </c>
    </row>
    <row r="1144" spans="1:8" x14ac:dyDescent="0.2">
      <c r="A1144" t="s">
        <v>1425</v>
      </c>
      <c r="B1144" t="s">
        <v>1428</v>
      </c>
      <c r="C1144" t="s">
        <v>1092</v>
      </c>
      <c r="D1144" t="s">
        <v>1061</v>
      </c>
      <c r="E1144">
        <v>15765.026</v>
      </c>
      <c r="F1144">
        <v>1523</v>
      </c>
      <c r="G1144" t="s">
        <v>1238</v>
      </c>
      <c r="H1144" t="s">
        <v>18</v>
      </c>
    </row>
    <row r="1145" spans="1:8" x14ac:dyDescent="0.2">
      <c r="A1145" t="s">
        <v>1425</v>
      </c>
      <c r="B1145" t="s">
        <v>1429</v>
      </c>
      <c r="C1145" t="s">
        <v>1092</v>
      </c>
      <c r="D1145" t="s">
        <v>1061</v>
      </c>
      <c r="E1145">
        <v>14939.119999999999</v>
      </c>
      <c r="F1145">
        <v>1118</v>
      </c>
      <c r="G1145" t="s">
        <v>1238</v>
      </c>
      <c r="H1145" t="s">
        <v>18</v>
      </c>
    </row>
    <row r="1146" spans="1:8" x14ac:dyDescent="0.2">
      <c r="A1146" t="s">
        <v>1425</v>
      </c>
      <c r="B1146" t="s">
        <v>1430</v>
      </c>
      <c r="C1146" t="s">
        <v>1092</v>
      </c>
      <c r="D1146" t="s">
        <v>1061</v>
      </c>
      <c r="E1146">
        <v>11761.295999999998</v>
      </c>
      <c r="F1146">
        <v>1176</v>
      </c>
      <c r="G1146" t="s">
        <v>1238</v>
      </c>
      <c r="H1146" t="s">
        <v>18</v>
      </c>
    </row>
    <row r="1147" spans="1:8" x14ac:dyDescent="0.2">
      <c r="A1147" t="s">
        <v>1425</v>
      </c>
      <c r="B1147" t="s">
        <v>1431</v>
      </c>
      <c r="C1147" t="s">
        <v>1092</v>
      </c>
      <c r="D1147" t="s">
        <v>1215</v>
      </c>
      <c r="E1147">
        <v>41168.712</v>
      </c>
      <c r="F1147">
        <v>4257</v>
      </c>
      <c r="G1147" t="s">
        <v>1238</v>
      </c>
      <c r="H1147" t="s">
        <v>18</v>
      </c>
    </row>
    <row r="1148" spans="1:8" x14ac:dyDescent="0.2">
      <c r="A1148" t="s">
        <v>1425</v>
      </c>
      <c r="B1148" t="s">
        <v>1432</v>
      </c>
      <c r="C1148" t="s">
        <v>1092</v>
      </c>
      <c r="D1148" t="s">
        <v>1061</v>
      </c>
      <c r="E1148">
        <v>4729.8119999999999</v>
      </c>
      <c r="F1148">
        <v>408</v>
      </c>
      <c r="G1148" t="s">
        <v>1238</v>
      </c>
      <c r="H1148" t="s">
        <v>18</v>
      </c>
    </row>
    <row r="1149" spans="1:8" x14ac:dyDescent="0.2">
      <c r="A1149" t="s">
        <v>1425</v>
      </c>
      <c r="B1149" t="s">
        <v>1099</v>
      </c>
      <c r="C1149" t="s">
        <v>1100</v>
      </c>
      <c r="D1149" t="s">
        <v>35</v>
      </c>
      <c r="E1149">
        <v>103036.56499999999</v>
      </c>
      <c r="F1149">
        <v>9955</v>
      </c>
      <c r="G1149" t="s">
        <v>35</v>
      </c>
      <c r="H1149" t="s">
        <v>18</v>
      </c>
    </row>
    <row r="1150" spans="1:8" x14ac:dyDescent="0.2">
      <c r="A1150" t="s">
        <v>1433</v>
      </c>
      <c r="B1150" t="s">
        <v>1434</v>
      </c>
      <c r="C1150" t="s">
        <v>1092</v>
      </c>
      <c r="D1150" t="s">
        <v>1061</v>
      </c>
      <c r="E1150">
        <v>172780.68900000001</v>
      </c>
      <c r="F1150">
        <v>17</v>
      </c>
      <c r="G1150" t="s">
        <v>1103</v>
      </c>
      <c r="H1150" t="s">
        <v>18</v>
      </c>
    </row>
    <row r="1151" spans="1:8" x14ac:dyDescent="0.2">
      <c r="A1151" t="s">
        <v>1433</v>
      </c>
      <c r="B1151" t="s">
        <v>1099</v>
      </c>
      <c r="C1151" t="s">
        <v>1100</v>
      </c>
      <c r="D1151" t="s">
        <v>35</v>
      </c>
      <c r="E1151">
        <v>172780.68900000001</v>
      </c>
      <c r="F1151">
        <v>17</v>
      </c>
      <c r="G1151" t="s">
        <v>35</v>
      </c>
      <c r="H1151" t="s">
        <v>18</v>
      </c>
    </row>
    <row r="1152" spans="1:8" x14ac:dyDescent="0.2">
      <c r="A1152" t="s">
        <v>1435</v>
      </c>
      <c r="B1152" t="s">
        <v>1436</v>
      </c>
      <c r="C1152" t="s">
        <v>1092</v>
      </c>
      <c r="D1152" t="s">
        <v>1061</v>
      </c>
      <c r="E1152">
        <v>178698.62700000001</v>
      </c>
      <c r="F1152">
        <v>54</v>
      </c>
      <c r="G1152" t="s">
        <v>1103</v>
      </c>
      <c r="H1152" t="s">
        <v>18</v>
      </c>
    </row>
    <row r="1153" spans="1:8" x14ac:dyDescent="0.2">
      <c r="A1153" t="s">
        <v>1435</v>
      </c>
      <c r="B1153" t="s">
        <v>1099</v>
      </c>
      <c r="C1153" t="s">
        <v>1100</v>
      </c>
      <c r="D1153" t="s">
        <v>35</v>
      </c>
      <c r="E1153">
        <v>178698.62700000001</v>
      </c>
      <c r="F1153">
        <v>54</v>
      </c>
      <c r="G1153" t="s">
        <v>35</v>
      </c>
      <c r="H1153" t="s">
        <v>18</v>
      </c>
    </row>
    <row r="1154" spans="1:8" x14ac:dyDescent="0.2">
      <c r="A1154" t="s">
        <v>1437</v>
      </c>
      <c r="B1154" t="s">
        <v>1438</v>
      </c>
      <c r="C1154" t="s">
        <v>1092</v>
      </c>
      <c r="D1154" t="s">
        <v>1052</v>
      </c>
      <c r="E1154">
        <v>569389.90595000004</v>
      </c>
      <c r="F1154">
        <v>151</v>
      </c>
      <c r="G1154" t="s">
        <v>1093</v>
      </c>
      <c r="H1154" t="s">
        <v>18</v>
      </c>
    </row>
    <row r="1155" spans="1:8" x14ac:dyDescent="0.2">
      <c r="A1155" t="s">
        <v>1437</v>
      </c>
      <c r="B1155" t="s">
        <v>1099</v>
      </c>
      <c r="C1155" t="s">
        <v>1100</v>
      </c>
      <c r="D1155" t="s">
        <v>35</v>
      </c>
      <c r="E1155">
        <v>569389.90595000004</v>
      </c>
      <c r="F1155">
        <v>151</v>
      </c>
      <c r="G1155" t="s">
        <v>35</v>
      </c>
      <c r="H1155" t="s">
        <v>18</v>
      </c>
    </row>
    <row r="1156" spans="1:8" x14ac:dyDescent="0.2">
      <c r="A1156" t="s">
        <v>543</v>
      </c>
      <c r="B1156" t="s">
        <v>1439</v>
      </c>
      <c r="C1156" t="s">
        <v>1092</v>
      </c>
      <c r="D1156" t="s">
        <v>1058</v>
      </c>
      <c r="E1156">
        <v>6376.9340000000002</v>
      </c>
      <c r="F1156">
        <v>470</v>
      </c>
      <c r="G1156" t="s">
        <v>1238</v>
      </c>
      <c r="H1156" t="s">
        <v>18</v>
      </c>
    </row>
    <row r="1157" spans="1:8" x14ac:dyDescent="0.2">
      <c r="A1157" t="s">
        <v>543</v>
      </c>
      <c r="B1157" t="s">
        <v>1440</v>
      </c>
      <c r="C1157" t="s">
        <v>1092</v>
      </c>
      <c r="D1157" t="s">
        <v>1058</v>
      </c>
      <c r="E1157">
        <v>1028.3499999999999</v>
      </c>
      <c r="F1157">
        <v>0</v>
      </c>
      <c r="G1157" t="s">
        <v>1103</v>
      </c>
      <c r="H1157" t="s">
        <v>18</v>
      </c>
    </row>
    <row r="1158" spans="1:8" x14ac:dyDescent="0.2">
      <c r="A1158" t="s">
        <v>543</v>
      </c>
      <c r="B1158" t="s">
        <v>1441</v>
      </c>
      <c r="C1158" t="s">
        <v>1092</v>
      </c>
      <c r="D1158" t="s">
        <v>1058</v>
      </c>
      <c r="E1158">
        <v>869.33799999999997</v>
      </c>
      <c r="F1158">
        <v>71</v>
      </c>
      <c r="G1158" t="s">
        <v>1238</v>
      </c>
      <c r="H1158" t="s">
        <v>18</v>
      </c>
    </row>
    <row r="1159" spans="1:8" x14ac:dyDescent="0.2">
      <c r="A1159" t="s">
        <v>543</v>
      </c>
      <c r="B1159" t="s">
        <v>1442</v>
      </c>
      <c r="C1159" t="s">
        <v>1092</v>
      </c>
      <c r="D1159" t="s">
        <v>1096</v>
      </c>
      <c r="E1159">
        <v>10090.737000000001</v>
      </c>
      <c r="F1159">
        <v>781</v>
      </c>
      <c r="G1159" t="s">
        <v>1238</v>
      </c>
      <c r="H1159" t="s">
        <v>18</v>
      </c>
    </row>
    <row r="1160" spans="1:8" x14ac:dyDescent="0.2">
      <c r="A1160" t="s">
        <v>543</v>
      </c>
      <c r="B1160" t="s">
        <v>1443</v>
      </c>
      <c r="C1160" t="s">
        <v>1092</v>
      </c>
      <c r="D1160" t="s">
        <v>1096</v>
      </c>
      <c r="E1160">
        <v>4124.4520000000002</v>
      </c>
      <c r="F1160">
        <v>291</v>
      </c>
      <c r="G1160" t="s">
        <v>1238</v>
      </c>
      <c r="H1160" t="s">
        <v>18</v>
      </c>
    </row>
    <row r="1161" spans="1:8" x14ac:dyDescent="0.2">
      <c r="A1161" t="s">
        <v>543</v>
      </c>
      <c r="B1161" t="s">
        <v>1444</v>
      </c>
      <c r="C1161" t="s">
        <v>1092</v>
      </c>
      <c r="D1161" t="s">
        <v>1061</v>
      </c>
      <c r="E1161">
        <v>6347.5209999999997</v>
      </c>
      <c r="F1161">
        <v>451</v>
      </c>
      <c r="G1161" t="s">
        <v>1238</v>
      </c>
      <c r="H1161" t="s">
        <v>18</v>
      </c>
    </row>
    <row r="1162" spans="1:8" x14ac:dyDescent="0.2">
      <c r="A1162" t="s">
        <v>543</v>
      </c>
      <c r="B1162" t="s">
        <v>1445</v>
      </c>
      <c r="C1162" t="s">
        <v>1092</v>
      </c>
      <c r="D1162" t="s">
        <v>1064</v>
      </c>
      <c r="E1162">
        <v>15159.003999999999</v>
      </c>
      <c r="F1162">
        <v>1094</v>
      </c>
      <c r="G1162" t="s">
        <v>1238</v>
      </c>
      <c r="H1162" t="s">
        <v>18</v>
      </c>
    </row>
    <row r="1163" spans="1:8" x14ac:dyDescent="0.2">
      <c r="A1163" t="s">
        <v>543</v>
      </c>
      <c r="B1163" t="s">
        <v>1446</v>
      </c>
      <c r="C1163" t="s">
        <v>1092</v>
      </c>
      <c r="D1163" t="s">
        <v>1223</v>
      </c>
      <c r="E1163">
        <v>8197.4220000000005</v>
      </c>
      <c r="F1163">
        <v>582</v>
      </c>
      <c r="G1163" t="s">
        <v>1238</v>
      </c>
      <c r="H1163" t="s">
        <v>18</v>
      </c>
    </row>
    <row r="1164" spans="1:8" x14ac:dyDescent="0.2">
      <c r="A1164" t="s">
        <v>543</v>
      </c>
      <c r="B1164" t="s">
        <v>1447</v>
      </c>
      <c r="C1164" t="s">
        <v>1092</v>
      </c>
      <c r="D1164" t="s">
        <v>1096</v>
      </c>
      <c r="E1164">
        <v>8974.0990000000002</v>
      </c>
      <c r="F1164">
        <v>661</v>
      </c>
      <c r="G1164" t="s">
        <v>1238</v>
      </c>
      <c r="H1164" t="s">
        <v>18</v>
      </c>
    </row>
    <row r="1165" spans="1:8" x14ac:dyDescent="0.2">
      <c r="A1165" t="s">
        <v>543</v>
      </c>
      <c r="B1165" t="s">
        <v>1448</v>
      </c>
      <c r="C1165" t="s">
        <v>1092</v>
      </c>
      <c r="D1165" t="s">
        <v>1058</v>
      </c>
      <c r="E1165">
        <v>34389.521000000001</v>
      </c>
      <c r="F1165">
        <v>2395</v>
      </c>
      <c r="G1165" t="s">
        <v>1238</v>
      </c>
      <c r="H1165" t="s">
        <v>18</v>
      </c>
    </row>
    <row r="1166" spans="1:8" x14ac:dyDescent="0.2">
      <c r="A1166" t="s">
        <v>543</v>
      </c>
      <c r="B1166" t="s">
        <v>1449</v>
      </c>
      <c r="C1166" t="s">
        <v>1092</v>
      </c>
      <c r="D1166" t="s">
        <v>1064</v>
      </c>
      <c r="E1166">
        <v>8344.1099999999988</v>
      </c>
      <c r="F1166">
        <v>640</v>
      </c>
      <c r="G1166" t="s">
        <v>1109</v>
      </c>
      <c r="H1166" t="s">
        <v>18</v>
      </c>
    </row>
    <row r="1167" spans="1:8" x14ac:dyDescent="0.2">
      <c r="A1167" t="s">
        <v>543</v>
      </c>
      <c r="B1167" t="s">
        <v>1450</v>
      </c>
      <c r="C1167" t="s">
        <v>1092</v>
      </c>
      <c r="D1167" t="s">
        <v>1096</v>
      </c>
      <c r="E1167">
        <v>67958.361999999994</v>
      </c>
      <c r="F1167">
        <v>5064</v>
      </c>
      <c r="G1167" t="s">
        <v>1238</v>
      </c>
      <c r="H1167" t="s">
        <v>18</v>
      </c>
    </row>
    <row r="1168" spans="1:8" x14ac:dyDescent="0.2">
      <c r="A1168" t="s">
        <v>543</v>
      </c>
      <c r="B1168" t="s">
        <v>1451</v>
      </c>
      <c r="C1168" t="s">
        <v>1092</v>
      </c>
      <c r="D1168" t="s">
        <v>1126</v>
      </c>
      <c r="E1168">
        <v>15670.901</v>
      </c>
      <c r="F1168">
        <v>1184</v>
      </c>
      <c r="G1168" t="s">
        <v>1238</v>
      </c>
      <c r="H1168" t="s">
        <v>18</v>
      </c>
    </row>
    <row r="1169" spans="1:8" x14ac:dyDescent="0.2">
      <c r="A1169" t="s">
        <v>543</v>
      </c>
      <c r="B1169" t="s">
        <v>1452</v>
      </c>
      <c r="C1169" t="s">
        <v>1092</v>
      </c>
      <c r="D1169" t="s">
        <v>1061</v>
      </c>
      <c r="E1169">
        <v>2224.172</v>
      </c>
      <c r="F1169">
        <v>174</v>
      </c>
      <c r="G1169" t="s">
        <v>1238</v>
      </c>
      <c r="H1169" t="s">
        <v>18</v>
      </c>
    </row>
    <row r="1170" spans="1:8" x14ac:dyDescent="0.2">
      <c r="A1170" t="s">
        <v>543</v>
      </c>
      <c r="B1170" t="s">
        <v>1453</v>
      </c>
      <c r="C1170" t="s">
        <v>1092</v>
      </c>
      <c r="D1170" t="s">
        <v>1064</v>
      </c>
      <c r="E1170">
        <v>5113.3900000000003</v>
      </c>
      <c r="F1170">
        <v>371</v>
      </c>
      <c r="G1170" t="s">
        <v>1238</v>
      </c>
      <c r="H1170" t="s">
        <v>18</v>
      </c>
    </row>
    <row r="1171" spans="1:8" x14ac:dyDescent="0.2">
      <c r="A1171" t="s">
        <v>543</v>
      </c>
      <c r="B1171" t="s">
        <v>1454</v>
      </c>
      <c r="C1171" t="s">
        <v>1092</v>
      </c>
      <c r="D1171" t="s">
        <v>1096</v>
      </c>
      <c r="E1171">
        <v>3522.2240000000002</v>
      </c>
      <c r="F1171">
        <v>277</v>
      </c>
      <c r="G1171" t="s">
        <v>1238</v>
      </c>
      <c r="H1171" t="s">
        <v>18</v>
      </c>
    </row>
    <row r="1172" spans="1:8" x14ac:dyDescent="0.2">
      <c r="A1172" t="s">
        <v>543</v>
      </c>
      <c r="B1172" t="s">
        <v>1455</v>
      </c>
      <c r="C1172" t="s">
        <v>1092</v>
      </c>
      <c r="D1172" t="s">
        <v>1052</v>
      </c>
      <c r="E1172">
        <v>6313.3559999999998</v>
      </c>
      <c r="F1172">
        <v>473</v>
      </c>
      <c r="G1172" t="s">
        <v>1238</v>
      </c>
      <c r="H1172" t="s">
        <v>18</v>
      </c>
    </row>
    <row r="1173" spans="1:8" x14ac:dyDescent="0.2">
      <c r="A1173" t="s">
        <v>543</v>
      </c>
      <c r="B1173" t="s">
        <v>1456</v>
      </c>
      <c r="C1173" t="s">
        <v>1092</v>
      </c>
      <c r="D1173" t="s">
        <v>1052</v>
      </c>
      <c r="E1173">
        <v>820.69299999999998</v>
      </c>
      <c r="F1173">
        <v>0</v>
      </c>
      <c r="G1173" t="s">
        <v>1103</v>
      </c>
      <c r="H1173" t="s">
        <v>18</v>
      </c>
    </row>
    <row r="1174" spans="1:8" x14ac:dyDescent="0.2">
      <c r="A1174" t="s">
        <v>543</v>
      </c>
      <c r="B1174" t="s">
        <v>1457</v>
      </c>
      <c r="C1174" t="s">
        <v>1092</v>
      </c>
      <c r="D1174" t="s">
        <v>1058</v>
      </c>
      <c r="E1174">
        <v>24620.884999999998</v>
      </c>
      <c r="F1174">
        <v>1830</v>
      </c>
      <c r="G1174" t="s">
        <v>1238</v>
      </c>
      <c r="H1174" t="s">
        <v>18</v>
      </c>
    </row>
    <row r="1175" spans="1:8" x14ac:dyDescent="0.2">
      <c r="A1175" t="s">
        <v>543</v>
      </c>
      <c r="B1175" t="s">
        <v>1458</v>
      </c>
      <c r="C1175" t="s">
        <v>1092</v>
      </c>
      <c r="D1175" t="s">
        <v>1058</v>
      </c>
      <c r="E1175">
        <v>7752.9</v>
      </c>
      <c r="F1175">
        <v>562</v>
      </c>
      <c r="G1175" t="s">
        <v>1238</v>
      </c>
      <c r="H1175" t="s">
        <v>18</v>
      </c>
    </row>
    <row r="1176" spans="1:8" x14ac:dyDescent="0.2">
      <c r="A1176" t="s">
        <v>543</v>
      </c>
      <c r="B1176" t="s">
        <v>1459</v>
      </c>
      <c r="C1176" t="s">
        <v>1092</v>
      </c>
      <c r="D1176" t="s">
        <v>1061</v>
      </c>
      <c r="E1176">
        <v>6760.5990000000002</v>
      </c>
      <c r="F1176">
        <v>501</v>
      </c>
      <c r="G1176" t="s">
        <v>1238</v>
      </c>
      <c r="H1176" t="s">
        <v>18</v>
      </c>
    </row>
    <row r="1177" spans="1:8" x14ac:dyDescent="0.2">
      <c r="A1177" t="s">
        <v>543</v>
      </c>
      <c r="B1177" t="s">
        <v>1460</v>
      </c>
      <c r="C1177" t="s">
        <v>1092</v>
      </c>
      <c r="D1177" t="s">
        <v>1064</v>
      </c>
      <c r="E1177">
        <v>9216.4940000000006</v>
      </c>
      <c r="F1177">
        <v>671</v>
      </c>
      <c r="G1177" t="s">
        <v>1238</v>
      </c>
      <c r="H1177" t="s">
        <v>18</v>
      </c>
    </row>
    <row r="1178" spans="1:8" x14ac:dyDescent="0.2">
      <c r="A1178" t="s">
        <v>543</v>
      </c>
      <c r="B1178" t="s">
        <v>1461</v>
      </c>
      <c r="C1178" t="s">
        <v>1092</v>
      </c>
      <c r="D1178" t="s">
        <v>1061</v>
      </c>
      <c r="E1178">
        <v>61185.371000000006</v>
      </c>
      <c r="F1178">
        <v>4766</v>
      </c>
      <c r="G1178" t="s">
        <v>1238</v>
      </c>
      <c r="H1178" t="s">
        <v>18</v>
      </c>
    </row>
    <row r="1179" spans="1:8" x14ac:dyDescent="0.2">
      <c r="A1179" t="s">
        <v>543</v>
      </c>
      <c r="B1179" t="s">
        <v>1462</v>
      </c>
      <c r="C1179" t="s">
        <v>1092</v>
      </c>
      <c r="D1179" t="s">
        <v>1126</v>
      </c>
      <c r="E1179">
        <v>14820.386</v>
      </c>
      <c r="F1179">
        <v>1115</v>
      </c>
      <c r="G1179" t="s">
        <v>1238</v>
      </c>
      <c r="H1179" t="s">
        <v>18</v>
      </c>
    </row>
    <row r="1180" spans="1:8" x14ac:dyDescent="0.2">
      <c r="A1180" t="s">
        <v>543</v>
      </c>
      <c r="B1180" t="s">
        <v>1463</v>
      </c>
      <c r="C1180" t="s">
        <v>1092</v>
      </c>
      <c r="D1180" t="s">
        <v>1052</v>
      </c>
      <c r="E1180">
        <v>15914.698999999999</v>
      </c>
      <c r="F1180">
        <v>1167</v>
      </c>
      <c r="G1180" t="s">
        <v>1238</v>
      </c>
      <c r="H1180" t="s">
        <v>18</v>
      </c>
    </row>
    <row r="1181" spans="1:8" x14ac:dyDescent="0.2">
      <c r="A1181" t="s">
        <v>543</v>
      </c>
      <c r="B1181" t="s">
        <v>1464</v>
      </c>
      <c r="C1181" t="s">
        <v>1092</v>
      </c>
      <c r="D1181" t="s">
        <v>1052</v>
      </c>
      <c r="E1181">
        <v>503.38499999999999</v>
      </c>
      <c r="F1181">
        <v>0</v>
      </c>
      <c r="G1181" t="s">
        <v>1103</v>
      </c>
      <c r="H1181" t="s">
        <v>18</v>
      </c>
    </row>
    <row r="1182" spans="1:8" x14ac:dyDescent="0.2">
      <c r="A1182" t="s">
        <v>543</v>
      </c>
      <c r="B1182" t="s">
        <v>1465</v>
      </c>
      <c r="C1182" t="s">
        <v>1092</v>
      </c>
      <c r="D1182" t="s">
        <v>1096</v>
      </c>
      <c r="E1182">
        <v>4994.0420000000004</v>
      </c>
      <c r="F1182">
        <v>376</v>
      </c>
      <c r="G1182" t="s">
        <v>1238</v>
      </c>
      <c r="H1182" t="s">
        <v>18</v>
      </c>
    </row>
    <row r="1183" spans="1:8" x14ac:dyDescent="0.2">
      <c r="A1183" t="s">
        <v>543</v>
      </c>
      <c r="B1183" t="s">
        <v>1466</v>
      </c>
      <c r="C1183" t="s">
        <v>1092</v>
      </c>
      <c r="D1183" t="s">
        <v>1126</v>
      </c>
      <c r="E1183">
        <v>12865.641</v>
      </c>
      <c r="F1183">
        <v>1011</v>
      </c>
      <c r="G1183" t="s">
        <v>1238</v>
      </c>
      <c r="H1183" t="s">
        <v>18</v>
      </c>
    </row>
    <row r="1184" spans="1:8" x14ac:dyDescent="0.2">
      <c r="A1184" t="s">
        <v>543</v>
      </c>
      <c r="B1184" t="s">
        <v>1467</v>
      </c>
      <c r="C1184" t="s">
        <v>1092</v>
      </c>
      <c r="D1184" t="s">
        <v>1061</v>
      </c>
      <c r="E1184">
        <v>25405.227999999999</v>
      </c>
      <c r="F1184">
        <v>1999</v>
      </c>
      <c r="G1184" t="s">
        <v>1238</v>
      </c>
      <c r="H1184" t="s">
        <v>18</v>
      </c>
    </row>
    <row r="1185" spans="1:8" x14ac:dyDescent="0.2">
      <c r="A1185" t="s">
        <v>543</v>
      </c>
      <c r="B1185" t="s">
        <v>1468</v>
      </c>
      <c r="C1185" t="s">
        <v>1092</v>
      </c>
      <c r="D1185" t="s">
        <v>1061</v>
      </c>
      <c r="E1185">
        <v>25948.207000000002</v>
      </c>
      <c r="F1185">
        <v>1918</v>
      </c>
      <c r="G1185" t="s">
        <v>1238</v>
      </c>
      <c r="H1185" t="s">
        <v>18</v>
      </c>
    </row>
    <row r="1186" spans="1:8" x14ac:dyDescent="0.2">
      <c r="A1186" t="s">
        <v>543</v>
      </c>
      <c r="B1186" t="s">
        <v>1469</v>
      </c>
      <c r="C1186" t="s">
        <v>1092</v>
      </c>
      <c r="D1186" t="s">
        <v>1096</v>
      </c>
      <c r="E1186">
        <v>67412.81</v>
      </c>
      <c r="F1186">
        <v>5163</v>
      </c>
      <c r="G1186" t="s">
        <v>1238</v>
      </c>
      <c r="H1186" t="s">
        <v>18</v>
      </c>
    </row>
    <row r="1187" spans="1:8" x14ac:dyDescent="0.2">
      <c r="A1187" t="s">
        <v>543</v>
      </c>
      <c r="B1187" t="s">
        <v>1470</v>
      </c>
      <c r="C1187" t="s">
        <v>1092</v>
      </c>
      <c r="D1187" t="s">
        <v>1058</v>
      </c>
      <c r="E1187">
        <v>7408.5009999999993</v>
      </c>
      <c r="F1187">
        <v>504</v>
      </c>
      <c r="G1187" t="s">
        <v>1238</v>
      </c>
      <c r="H1187" t="s">
        <v>18</v>
      </c>
    </row>
    <row r="1188" spans="1:8" x14ac:dyDescent="0.2">
      <c r="A1188" t="s">
        <v>543</v>
      </c>
      <c r="B1188" t="s">
        <v>1471</v>
      </c>
      <c r="C1188" t="s">
        <v>1092</v>
      </c>
      <c r="D1188" t="s">
        <v>1096</v>
      </c>
      <c r="E1188">
        <v>38039.159</v>
      </c>
      <c r="F1188">
        <v>2789</v>
      </c>
      <c r="G1188" t="s">
        <v>1238</v>
      </c>
      <c r="H1188" t="s">
        <v>18</v>
      </c>
    </row>
    <row r="1189" spans="1:8" x14ac:dyDescent="0.2">
      <c r="A1189" t="s">
        <v>543</v>
      </c>
      <c r="B1189" t="s">
        <v>1472</v>
      </c>
      <c r="C1189" t="s">
        <v>1092</v>
      </c>
      <c r="D1189" t="s">
        <v>1058</v>
      </c>
      <c r="E1189">
        <v>16260.482</v>
      </c>
      <c r="F1189">
        <v>1228</v>
      </c>
      <c r="G1189" t="s">
        <v>1238</v>
      </c>
      <c r="H1189" t="s">
        <v>18</v>
      </c>
    </row>
    <row r="1190" spans="1:8" x14ac:dyDescent="0.2">
      <c r="A1190" t="s">
        <v>543</v>
      </c>
      <c r="B1190" t="s">
        <v>1099</v>
      </c>
      <c r="C1190" t="s">
        <v>1100</v>
      </c>
      <c r="D1190" t="s">
        <v>35</v>
      </c>
      <c r="E1190">
        <v>544633.375</v>
      </c>
      <c r="F1190">
        <v>40579</v>
      </c>
      <c r="G1190" t="s">
        <v>35</v>
      </c>
      <c r="H1190" t="s">
        <v>18</v>
      </c>
    </row>
    <row r="1191" spans="1:8" x14ac:dyDescent="0.2">
      <c r="A1191" t="s">
        <v>1875</v>
      </c>
      <c r="B1191" t="s">
        <v>1876</v>
      </c>
      <c r="C1191" t="s">
        <v>1092</v>
      </c>
      <c r="D1191" t="s">
        <v>1058</v>
      </c>
      <c r="E1191">
        <v>738589.19700000004</v>
      </c>
      <c r="F1191">
        <v>190</v>
      </c>
      <c r="G1191" t="s">
        <v>1103</v>
      </c>
      <c r="H1191" t="s">
        <v>18</v>
      </c>
    </row>
    <row r="1192" spans="1:8" x14ac:dyDescent="0.2">
      <c r="A1192" t="s">
        <v>1875</v>
      </c>
      <c r="B1192" t="s">
        <v>1877</v>
      </c>
      <c r="C1192" t="s">
        <v>1092</v>
      </c>
      <c r="D1192" t="s">
        <v>1096</v>
      </c>
      <c r="E1192">
        <v>55834.109600000003</v>
      </c>
      <c r="F1192">
        <v>42</v>
      </c>
      <c r="G1192" t="s">
        <v>1103</v>
      </c>
      <c r="H1192" t="s">
        <v>18</v>
      </c>
    </row>
    <row r="1193" spans="1:8" x14ac:dyDescent="0.2">
      <c r="A1193" t="s">
        <v>1875</v>
      </c>
      <c r="B1193" t="s">
        <v>1099</v>
      </c>
      <c r="C1193" t="s">
        <v>1100</v>
      </c>
      <c r="D1193" t="s">
        <v>35</v>
      </c>
      <c r="E1193">
        <v>794423.30660000001</v>
      </c>
      <c r="F1193">
        <v>232</v>
      </c>
      <c r="G1193" t="s">
        <v>35</v>
      </c>
      <c r="H1193" t="s">
        <v>18</v>
      </c>
    </row>
    <row r="1194" spans="1:8" x14ac:dyDescent="0.2">
      <c r="A1194" t="s">
        <v>1473</v>
      </c>
      <c r="B1194" t="s">
        <v>1474</v>
      </c>
      <c r="C1194" t="s">
        <v>1092</v>
      </c>
      <c r="D1194" t="s">
        <v>1058</v>
      </c>
      <c r="E1194">
        <v>369008.95299999998</v>
      </c>
      <c r="F1194">
        <v>30</v>
      </c>
      <c r="G1194" t="s">
        <v>1103</v>
      </c>
      <c r="H1194" t="s">
        <v>18</v>
      </c>
    </row>
    <row r="1195" spans="1:8" x14ac:dyDescent="0.2">
      <c r="A1195" t="s">
        <v>1473</v>
      </c>
      <c r="B1195" t="s">
        <v>1099</v>
      </c>
      <c r="C1195" t="s">
        <v>1100</v>
      </c>
      <c r="D1195" t="s">
        <v>35</v>
      </c>
      <c r="E1195">
        <v>369008.95299999998</v>
      </c>
      <c r="F1195">
        <v>30</v>
      </c>
      <c r="G1195" t="s">
        <v>35</v>
      </c>
      <c r="H1195" t="s">
        <v>18</v>
      </c>
    </row>
    <row r="1196" spans="1:8" x14ac:dyDescent="0.2">
      <c r="A1196" t="s">
        <v>1475</v>
      </c>
      <c r="B1196" t="s">
        <v>1476</v>
      </c>
      <c r="C1196" t="s">
        <v>1092</v>
      </c>
      <c r="D1196" t="s">
        <v>1058</v>
      </c>
      <c r="E1196">
        <v>66025.118600000002</v>
      </c>
      <c r="F1196">
        <v>0</v>
      </c>
      <c r="G1196" t="s">
        <v>1103</v>
      </c>
      <c r="H1196" t="s">
        <v>18</v>
      </c>
    </row>
    <row r="1197" spans="1:8" x14ac:dyDescent="0.2">
      <c r="A1197" t="s">
        <v>1475</v>
      </c>
      <c r="B1197" t="s">
        <v>1477</v>
      </c>
      <c r="C1197" t="s">
        <v>1092</v>
      </c>
      <c r="D1197" t="s">
        <v>1058</v>
      </c>
      <c r="E1197">
        <v>48869.912600000003</v>
      </c>
      <c r="F1197">
        <v>0</v>
      </c>
      <c r="G1197" t="s">
        <v>1103</v>
      </c>
      <c r="H1197" t="s">
        <v>18</v>
      </c>
    </row>
    <row r="1198" spans="1:8" x14ac:dyDescent="0.2">
      <c r="A1198" t="s">
        <v>1475</v>
      </c>
      <c r="B1198" t="s">
        <v>1478</v>
      </c>
      <c r="C1198" t="s">
        <v>1092</v>
      </c>
      <c r="D1198" t="s">
        <v>1058</v>
      </c>
      <c r="E1198">
        <v>77867.010699999999</v>
      </c>
      <c r="F1198">
        <v>0</v>
      </c>
      <c r="G1198" t="s">
        <v>1103</v>
      </c>
      <c r="H1198" t="s">
        <v>18</v>
      </c>
    </row>
    <row r="1199" spans="1:8" x14ac:dyDescent="0.2">
      <c r="A1199" t="s">
        <v>1475</v>
      </c>
      <c r="B1199" t="s">
        <v>1099</v>
      </c>
      <c r="C1199" t="s">
        <v>1100</v>
      </c>
      <c r="D1199" t="s">
        <v>35</v>
      </c>
      <c r="E1199">
        <v>192762.04190000001</v>
      </c>
      <c r="F1199">
        <v>0</v>
      </c>
      <c r="G1199" t="s">
        <v>35</v>
      </c>
      <c r="H1199" t="s">
        <v>18</v>
      </c>
    </row>
    <row r="1200" spans="1:8" x14ac:dyDescent="0.2">
      <c r="A1200" t="s">
        <v>1479</v>
      </c>
      <c r="B1200" t="s">
        <v>1480</v>
      </c>
      <c r="C1200" t="s">
        <v>1092</v>
      </c>
      <c r="D1200" t="s">
        <v>1058</v>
      </c>
      <c r="E1200">
        <v>218871.144</v>
      </c>
      <c r="F1200">
        <v>41</v>
      </c>
      <c r="G1200" t="s">
        <v>1103</v>
      </c>
      <c r="H1200" t="s">
        <v>18</v>
      </c>
    </row>
    <row r="1201" spans="1:8" x14ac:dyDescent="0.2">
      <c r="A1201" t="s">
        <v>1479</v>
      </c>
      <c r="B1201" t="s">
        <v>1099</v>
      </c>
      <c r="C1201" t="s">
        <v>1100</v>
      </c>
      <c r="D1201" t="s">
        <v>35</v>
      </c>
      <c r="E1201">
        <v>218871.144</v>
      </c>
      <c r="F1201">
        <v>41</v>
      </c>
      <c r="G1201" t="s">
        <v>35</v>
      </c>
      <c r="H1201" t="s">
        <v>18</v>
      </c>
    </row>
    <row r="1202" spans="1:8" x14ac:dyDescent="0.2">
      <c r="A1202" t="s">
        <v>1483</v>
      </c>
      <c r="B1202" t="s">
        <v>1484</v>
      </c>
      <c r="C1202" t="s">
        <v>1092</v>
      </c>
      <c r="D1202" t="s">
        <v>1096</v>
      </c>
      <c r="E1202">
        <v>443328.925208</v>
      </c>
      <c r="F1202">
        <v>66</v>
      </c>
      <c r="G1202" t="s">
        <v>1093</v>
      </c>
      <c r="H1202" t="s">
        <v>18</v>
      </c>
    </row>
    <row r="1203" spans="1:8" x14ac:dyDescent="0.2">
      <c r="A1203" t="s">
        <v>1483</v>
      </c>
      <c r="B1203" t="s">
        <v>1099</v>
      </c>
      <c r="C1203" t="s">
        <v>1100</v>
      </c>
      <c r="D1203" t="s">
        <v>35</v>
      </c>
      <c r="E1203">
        <v>443328.925208</v>
      </c>
      <c r="F1203">
        <v>66</v>
      </c>
      <c r="G1203" t="s">
        <v>35</v>
      </c>
      <c r="H1203" t="s">
        <v>18</v>
      </c>
    </row>
    <row r="1204" spans="1:8" x14ac:dyDescent="0.2">
      <c r="A1204" t="s">
        <v>1481</v>
      </c>
      <c r="B1204" t="s">
        <v>1482</v>
      </c>
      <c r="C1204" t="s">
        <v>1092</v>
      </c>
      <c r="D1204" t="s">
        <v>1096</v>
      </c>
      <c r="E1204">
        <v>409226.70019200002</v>
      </c>
      <c r="F1204">
        <v>62</v>
      </c>
      <c r="G1204" t="s">
        <v>1093</v>
      </c>
      <c r="H1204" t="s">
        <v>18</v>
      </c>
    </row>
    <row r="1205" spans="1:8" x14ac:dyDescent="0.2">
      <c r="A1205" t="s">
        <v>1481</v>
      </c>
      <c r="B1205" t="s">
        <v>1099</v>
      </c>
      <c r="C1205" t="s">
        <v>1100</v>
      </c>
      <c r="D1205" t="s">
        <v>35</v>
      </c>
      <c r="E1205">
        <v>409226.70019200002</v>
      </c>
      <c r="F1205">
        <v>62</v>
      </c>
      <c r="G1205" t="s">
        <v>35</v>
      </c>
      <c r="H1205" t="s">
        <v>18</v>
      </c>
    </row>
    <row r="1206" spans="1:8" x14ac:dyDescent="0.2">
      <c r="A1206" t="s">
        <v>1485</v>
      </c>
      <c r="B1206" t="s">
        <v>1486</v>
      </c>
      <c r="C1206" t="s">
        <v>1092</v>
      </c>
      <c r="D1206" t="s">
        <v>1052</v>
      </c>
      <c r="E1206">
        <v>120038.48856</v>
      </c>
      <c r="F1206">
        <v>26</v>
      </c>
      <c r="G1206" t="s">
        <v>1103</v>
      </c>
      <c r="H1206" t="s">
        <v>18</v>
      </c>
    </row>
    <row r="1207" spans="1:8" x14ac:dyDescent="0.2">
      <c r="A1207" t="s">
        <v>1485</v>
      </c>
      <c r="B1207" t="s">
        <v>1099</v>
      </c>
      <c r="C1207" t="s">
        <v>1100</v>
      </c>
      <c r="D1207" t="s">
        <v>35</v>
      </c>
      <c r="E1207">
        <v>120038.48856</v>
      </c>
      <c r="F1207">
        <v>26</v>
      </c>
      <c r="G1207" t="s">
        <v>35</v>
      </c>
      <c r="H1207" t="s">
        <v>18</v>
      </c>
    </row>
    <row r="1208" spans="1:8" x14ac:dyDescent="0.2">
      <c r="A1208" t="s">
        <v>1487</v>
      </c>
      <c r="B1208" t="s">
        <v>1488</v>
      </c>
      <c r="C1208" t="s">
        <v>1092</v>
      </c>
      <c r="D1208" t="s">
        <v>1061</v>
      </c>
      <c r="E1208">
        <v>210817.43299999999</v>
      </c>
      <c r="F1208">
        <v>0</v>
      </c>
      <c r="G1208" t="s">
        <v>1103</v>
      </c>
      <c r="H1208" t="s">
        <v>18</v>
      </c>
    </row>
    <row r="1209" spans="1:8" x14ac:dyDescent="0.2">
      <c r="A1209" t="s">
        <v>1487</v>
      </c>
      <c r="B1209" t="s">
        <v>1099</v>
      </c>
      <c r="C1209" t="s">
        <v>1100</v>
      </c>
      <c r="D1209" t="s">
        <v>35</v>
      </c>
      <c r="E1209">
        <v>210817.43299999999</v>
      </c>
      <c r="F1209">
        <v>0</v>
      </c>
      <c r="G1209" t="s">
        <v>35</v>
      </c>
      <c r="H1209" t="s">
        <v>18</v>
      </c>
    </row>
    <row r="1210" spans="1:8" x14ac:dyDescent="0.2">
      <c r="A1210" t="s">
        <v>1489</v>
      </c>
      <c r="B1210" t="s">
        <v>1490</v>
      </c>
      <c r="C1210" t="s">
        <v>1092</v>
      </c>
      <c r="D1210" t="s">
        <v>1126</v>
      </c>
      <c r="E1210">
        <v>168430.6</v>
      </c>
      <c r="F1210">
        <v>50</v>
      </c>
      <c r="G1210" t="s">
        <v>1093</v>
      </c>
      <c r="H1210" t="s">
        <v>18</v>
      </c>
    </row>
    <row r="1211" spans="1:8" x14ac:dyDescent="0.2">
      <c r="A1211" t="s">
        <v>1489</v>
      </c>
      <c r="B1211" t="s">
        <v>1099</v>
      </c>
      <c r="C1211" t="s">
        <v>1100</v>
      </c>
      <c r="D1211" t="s">
        <v>35</v>
      </c>
      <c r="E1211">
        <v>168430.6</v>
      </c>
      <c r="F1211">
        <v>50</v>
      </c>
      <c r="G1211" t="s">
        <v>35</v>
      </c>
      <c r="H1211" t="s">
        <v>18</v>
      </c>
    </row>
    <row r="1212" spans="1:8" x14ac:dyDescent="0.2">
      <c r="A1212" t="s">
        <v>1878</v>
      </c>
      <c r="B1212" t="s">
        <v>1879</v>
      </c>
      <c r="C1212" t="s">
        <v>1092</v>
      </c>
      <c r="D1212" t="s">
        <v>1058</v>
      </c>
      <c r="E1212">
        <v>0</v>
      </c>
      <c r="F1212">
        <v>234</v>
      </c>
      <c r="G1212" t="s">
        <v>1191</v>
      </c>
      <c r="H1212" t="s">
        <v>18</v>
      </c>
    </row>
    <row r="1213" spans="1:8" x14ac:dyDescent="0.2">
      <c r="A1213" t="s">
        <v>1878</v>
      </c>
      <c r="B1213" t="s">
        <v>1099</v>
      </c>
      <c r="C1213" t="s">
        <v>1100</v>
      </c>
      <c r="D1213" t="s">
        <v>35</v>
      </c>
      <c r="E1213">
        <v>0</v>
      </c>
      <c r="F1213">
        <v>234</v>
      </c>
      <c r="G1213" t="s">
        <v>35</v>
      </c>
      <c r="H1213" t="s">
        <v>18</v>
      </c>
    </row>
    <row r="1214" spans="1:8" x14ac:dyDescent="0.2">
      <c r="A1214" t="s">
        <v>1491</v>
      </c>
      <c r="B1214" t="s">
        <v>1492</v>
      </c>
      <c r="C1214" t="s">
        <v>1092</v>
      </c>
      <c r="D1214" t="s">
        <v>1096</v>
      </c>
      <c r="E1214">
        <v>541296.13900000008</v>
      </c>
      <c r="F1214">
        <v>89</v>
      </c>
      <c r="G1214" t="s">
        <v>1093</v>
      </c>
      <c r="H1214" t="s">
        <v>18</v>
      </c>
    </row>
    <row r="1215" spans="1:8" x14ac:dyDescent="0.2">
      <c r="A1215" t="s">
        <v>1491</v>
      </c>
      <c r="B1215" t="s">
        <v>1099</v>
      </c>
      <c r="C1215" t="s">
        <v>1100</v>
      </c>
      <c r="D1215" t="s">
        <v>35</v>
      </c>
      <c r="E1215">
        <v>541296.13900000008</v>
      </c>
      <c r="F1215">
        <v>89</v>
      </c>
      <c r="G1215" t="s">
        <v>35</v>
      </c>
      <c r="H1215" t="s">
        <v>18</v>
      </c>
    </row>
    <row r="1216" spans="1:8" x14ac:dyDescent="0.2">
      <c r="A1216" t="s">
        <v>971</v>
      </c>
      <c r="B1216" t="s">
        <v>1880</v>
      </c>
      <c r="C1216" t="s">
        <v>1092</v>
      </c>
      <c r="D1216" t="s">
        <v>1052</v>
      </c>
      <c r="E1216">
        <v>0</v>
      </c>
      <c r="F1216">
        <v>1141</v>
      </c>
      <c r="G1216" t="s">
        <v>1191</v>
      </c>
      <c r="H1216" t="s">
        <v>18</v>
      </c>
    </row>
    <row r="1217" spans="1:8" x14ac:dyDescent="0.2">
      <c r="A1217" t="s">
        <v>971</v>
      </c>
      <c r="B1217" t="s">
        <v>1493</v>
      </c>
      <c r="C1217" t="s">
        <v>1092</v>
      </c>
      <c r="D1217" t="s">
        <v>1096</v>
      </c>
      <c r="E1217">
        <v>418977.97454999998</v>
      </c>
      <c r="F1217">
        <v>76</v>
      </c>
      <c r="G1217" t="s">
        <v>1093</v>
      </c>
      <c r="H1217" t="s">
        <v>18</v>
      </c>
    </row>
    <row r="1218" spans="1:8" x14ac:dyDescent="0.2">
      <c r="A1218" t="s">
        <v>971</v>
      </c>
      <c r="B1218" t="s">
        <v>1881</v>
      </c>
      <c r="C1218" t="s">
        <v>1092</v>
      </c>
      <c r="D1218" t="s">
        <v>1215</v>
      </c>
      <c r="E1218">
        <v>0</v>
      </c>
      <c r="F1218">
        <v>517</v>
      </c>
      <c r="G1218" t="s">
        <v>1191</v>
      </c>
      <c r="H1218" t="s">
        <v>18</v>
      </c>
    </row>
    <row r="1219" spans="1:8" x14ac:dyDescent="0.2">
      <c r="A1219" t="s">
        <v>971</v>
      </c>
      <c r="B1219" t="s">
        <v>1494</v>
      </c>
      <c r="C1219" t="s">
        <v>1092</v>
      </c>
      <c r="D1219" t="s">
        <v>1058</v>
      </c>
      <c r="E1219">
        <v>305256.25293000002</v>
      </c>
      <c r="F1219">
        <v>41</v>
      </c>
      <c r="G1219" t="s">
        <v>1103</v>
      </c>
      <c r="H1219" t="s">
        <v>18</v>
      </c>
    </row>
    <row r="1220" spans="1:8" x14ac:dyDescent="0.2">
      <c r="A1220" t="s">
        <v>971</v>
      </c>
      <c r="B1220" t="s">
        <v>1882</v>
      </c>
      <c r="C1220" t="s">
        <v>1092</v>
      </c>
      <c r="D1220" t="s">
        <v>1126</v>
      </c>
      <c r="E1220">
        <v>0</v>
      </c>
      <c r="F1220">
        <v>2011</v>
      </c>
      <c r="G1220" t="s">
        <v>1191</v>
      </c>
      <c r="H1220" t="s">
        <v>18</v>
      </c>
    </row>
    <row r="1221" spans="1:8" x14ac:dyDescent="0.2">
      <c r="A1221" t="s">
        <v>971</v>
      </c>
      <c r="B1221" t="s">
        <v>1496</v>
      </c>
      <c r="C1221" t="s">
        <v>1092</v>
      </c>
      <c r="D1221" t="s">
        <v>1058</v>
      </c>
      <c r="E1221">
        <v>56848.304670000005</v>
      </c>
      <c r="F1221">
        <v>8</v>
      </c>
      <c r="G1221" t="s">
        <v>1103</v>
      </c>
      <c r="H1221" t="s">
        <v>18</v>
      </c>
    </row>
    <row r="1222" spans="1:8" x14ac:dyDescent="0.2">
      <c r="A1222" t="s">
        <v>971</v>
      </c>
      <c r="B1222" t="s">
        <v>1497</v>
      </c>
      <c r="C1222" t="s">
        <v>1092</v>
      </c>
      <c r="D1222" t="s">
        <v>1058</v>
      </c>
      <c r="E1222">
        <v>63583.586369999997</v>
      </c>
      <c r="F1222">
        <v>4</v>
      </c>
      <c r="G1222" t="s">
        <v>1103</v>
      </c>
      <c r="H1222" t="s">
        <v>18</v>
      </c>
    </row>
    <row r="1223" spans="1:8" x14ac:dyDescent="0.2">
      <c r="A1223" t="s">
        <v>971</v>
      </c>
      <c r="B1223" t="s">
        <v>1498</v>
      </c>
      <c r="C1223" t="s">
        <v>1092</v>
      </c>
      <c r="D1223" t="s">
        <v>1052</v>
      </c>
      <c r="E1223">
        <v>0</v>
      </c>
      <c r="F1223">
        <v>198</v>
      </c>
      <c r="G1223" t="s">
        <v>1191</v>
      </c>
      <c r="H1223" t="s">
        <v>18</v>
      </c>
    </row>
    <row r="1224" spans="1:8" x14ac:dyDescent="0.2">
      <c r="A1224" t="s">
        <v>971</v>
      </c>
      <c r="B1224" t="s">
        <v>1883</v>
      </c>
      <c r="C1224" t="s">
        <v>1092</v>
      </c>
      <c r="D1224" t="s">
        <v>1052</v>
      </c>
      <c r="E1224">
        <v>366304.571</v>
      </c>
      <c r="F1224">
        <v>28</v>
      </c>
      <c r="G1224" t="s">
        <v>1093</v>
      </c>
      <c r="H1224" t="s">
        <v>18</v>
      </c>
    </row>
    <row r="1225" spans="1:8" x14ac:dyDescent="0.2">
      <c r="A1225" t="s">
        <v>971</v>
      </c>
      <c r="B1225" t="s">
        <v>1884</v>
      </c>
      <c r="C1225" t="s">
        <v>1092</v>
      </c>
      <c r="D1225" t="s">
        <v>1052</v>
      </c>
      <c r="E1225">
        <v>353845.864</v>
      </c>
      <c r="F1225">
        <v>28</v>
      </c>
      <c r="G1225" t="s">
        <v>1093</v>
      </c>
      <c r="H1225" t="s">
        <v>18</v>
      </c>
    </row>
    <row r="1226" spans="1:8" x14ac:dyDescent="0.2">
      <c r="A1226" t="s">
        <v>971</v>
      </c>
      <c r="B1226" t="s">
        <v>1501</v>
      </c>
      <c r="C1226" t="s">
        <v>1092</v>
      </c>
      <c r="D1226" t="s">
        <v>1052</v>
      </c>
      <c r="E1226">
        <v>378486.22700000001</v>
      </c>
      <c r="F1226">
        <v>29</v>
      </c>
      <c r="G1226" t="s">
        <v>1093</v>
      </c>
      <c r="H1226" t="s">
        <v>18</v>
      </c>
    </row>
    <row r="1227" spans="1:8" x14ac:dyDescent="0.2">
      <c r="A1227" t="s">
        <v>971</v>
      </c>
      <c r="B1227" t="s">
        <v>1502</v>
      </c>
      <c r="C1227" t="s">
        <v>1092</v>
      </c>
      <c r="D1227" t="s">
        <v>1061</v>
      </c>
      <c r="E1227">
        <v>361209.42224000004</v>
      </c>
      <c r="F1227">
        <v>36</v>
      </c>
      <c r="G1227" t="s">
        <v>1093</v>
      </c>
      <c r="H1227" t="s">
        <v>18</v>
      </c>
    </row>
    <row r="1228" spans="1:8" x14ac:dyDescent="0.2">
      <c r="A1228" t="s">
        <v>971</v>
      </c>
      <c r="B1228" t="s">
        <v>1503</v>
      </c>
      <c r="C1228" t="s">
        <v>1092</v>
      </c>
      <c r="D1228" t="s">
        <v>1058</v>
      </c>
      <c r="E1228">
        <v>194403.82626999999</v>
      </c>
      <c r="F1228">
        <v>47</v>
      </c>
      <c r="G1228" t="s">
        <v>1103</v>
      </c>
      <c r="H1228" t="s">
        <v>18</v>
      </c>
    </row>
    <row r="1229" spans="1:8" x14ac:dyDescent="0.2">
      <c r="A1229" t="s">
        <v>971</v>
      </c>
      <c r="B1229" t="s">
        <v>1504</v>
      </c>
      <c r="C1229" t="s">
        <v>1092</v>
      </c>
      <c r="D1229" t="s">
        <v>1058</v>
      </c>
      <c r="E1229">
        <v>83548.447220000002</v>
      </c>
      <c r="F1229">
        <v>27</v>
      </c>
      <c r="G1229" t="s">
        <v>1103</v>
      </c>
      <c r="H1229" t="s">
        <v>18</v>
      </c>
    </row>
    <row r="1230" spans="1:8" x14ac:dyDescent="0.2">
      <c r="A1230" t="s">
        <v>971</v>
      </c>
      <c r="B1230" t="s">
        <v>1505</v>
      </c>
      <c r="C1230" t="s">
        <v>1092</v>
      </c>
      <c r="D1230" t="s">
        <v>1096</v>
      </c>
      <c r="E1230">
        <v>0</v>
      </c>
      <c r="F1230">
        <v>575</v>
      </c>
      <c r="G1230" t="s">
        <v>1191</v>
      </c>
      <c r="H1230" t="s">
        <v>18</v>
      </c>
    </row>
    <row r="1231" spans="1:8" x14ac:dyDescent="0.2">
      <c r="A1231" t="s">
        <v>971</v>
      </c>
      <c r="B1231" t="s">
        <v>1885</v>
      </c>
      <c r="C1231" t="s">
        <v>1092</v>
      </c>
      <c r="D1231" t="s">
        <v>1061</v>
      </c>
      <c r="E1231">
        <v>0</v>
      </c>
      <c r="F1231">
        <v>161</v>
      </c>
      <c r="G1231" t="s">
        <v>1191</v>
      </c>
      <c r="H1231" t="s">
        <v>18</v>
      </c>
    </row>
    <row r="1232" spans="1:8" x14ac:dyDescent="0.2">
      <c r="A1232" t="s">
        <v>971</v>
      </c>
      <c r="B1232" t="s">
        <v>1506</v>
      </c>
      <c r="C1232" t="s">
        <v>1092</v>
      </c>
      <c r="D1232" t="s">
        <v>1061</v>
      </c>
      <c r="E1232">
        <v>867628.33447</v>
      </c>
      <c r="F1232">
        <v>253</v>
      </c>
      <c r="G1232" t="s">
        <v>1103</v>
      </c>
      <c r="H1232" t="s">
        <v>18</v>
      </c>
    </row>
    <row r="1233" spans="1:8" x14ac:dyDescent="0.2">
      <c r="A1233" t="s">
        <v>971</v>
      </c>
      <c r="B1233" t="s">
        <v>1099</v>
      </c>
      <c r="C1233" t="s">
        <v>1100</v>
      </c>
      <c r="D1233" t="s">
        <v>35</v>
      </c>
      <c r="E1233">
        <v>3450092.81072</v>
      </c>
      <c r="F1233">
        <v>5180</v>
      </c>
      <c r="G1233" t="s">
        <v>35</v>
      </c>
      <c r="H1233" t="s">
        <v>18</v>
      </c>
    </row>
    <row r="1234" spans="1:8" x14ac:dyDescent="0.2">
      <c r="A1234" t="s">
        <v>171</v>
      </c>
      <c r="B1234" t="s">
        <v>1507</v>
      </c>
      <c r="C1234" t="s">
        <v>1092</v>
      </c>
      <c r="D1234" t="s">
        <v>1126</v>
      </c>
      <c r="E1234">
        <v>2002218.948476</v>
      </c>
      <c r="F1234">
        <v>797700</v>
      </c>
      <c r="G1234" t="s">
        <v>1109</v>
      </c>
      <c r="H1234" t="s">
        <v>18</v>
      </c>
    </row>
    <row r="1235" spans="1:8" x14ac:dyDescent="0.2">
      <c r="A1235" t="s">
        <v>171</v>
      </c>
      <c r="B1235" t="s">
        <v>1099</v>
      </c>
      <c r="C1235" t="s">
        <v>1100</v>
      </c>
      <c r="D1235" t="s">
        <v>35</v>
      </c>
      <c r="E1235">
        <v>2002218.948476</v>
      </c>
      <c r="F1235">
        <v>797700</v>
      </c>
      <c r="G1235" t="s">
        <v>35</v>
      </c>
      <c r="H1235" t="s">
        <v>18</v>
      </c>
    </row>
    <row r="1236" spans="1:8" x14ac:dyDescent="0.2">
      <c r="A1236" t="s">
        <v>59</v>
      </c>
      <c r="B1236" t="s">
        <v>1508</v>
      </c>
      <c r="C1236" t="s">
        <v>1092</v>
      </c>
      <c r="D1236" t="s">
        <v>1061</v>
      </c>
      <c r="E1236">
        <v>6373570.3470000001</v>
      </c>
      <c r="F1236">
        <v>6366079</v>
      </c>
      <c r="G1236" t="s">
        <v>1111</v>
      </c>
      <c r="H1236" t="s">
        <v>18</v>
      </c>
    </row>
    <row r="1237" spans="1:8" x14ac:dyDescent="0.2">
      <c r="A1237" t="s">
        <v>59</v>
      </c>
      <c r="B1237" t="s">
        <v>1099</v>
      </c>
      <c r="C1237" t="s">
        <v>1100</v>
      </c>
      <c r="D1237" t="s">
        <v>35</v>
      </c>
      <c r="E1237">
        <v>6373570.3470000001</v>
      </c>
      <c r="F1237">
        <v>6366079</v>
      </c>
      <c r="G1237" t="s">
        <v>35</v>
      </c>
      <c r="H1237" t="s">
        <v>18</v>
      </c>
    </row>
    <row r="1238" spans="1:8" x14ac:dyDescent="0.2">
      <c r="A1238" t="s">
        <v>1511</v>
      </c>
      <c r="B1238" t="s">
        <v>1512</v>
      </c>
      <c r="C1238" t="s">
        <v>1092</v>
      </c>
      <c r="D1238" t="s">
        <v>1058</v>
      </c>
      <c r="E1238">
        <v>625783</v>
      </c>
      <c r="F1238">
        <v>119</v>
      </c>
      <c r="G1238" t="s">
        <v>1093</v>
      </c>
      <c r="H1238" t="s">
        <v>18</v>
      </c>
    </row>
    <row r="1239" spans="1:8" x14ac:dyDescent="0.2">
      <c r="A1239" t="s">
        <v>1511</v>
      </c>
      <c r="B1239" t="s">
        <v>1099</v>
      </c>
      <c r="C1239" t="s">
        <v>1100</v>
      </c>
      <c r="D1239" t="s">
        <v>35</v>
      </c>
      <c r="E1239">
        <v>625783</v>
      </c>
      <c r="F1239">
        <v>119</v>
      </c>
      <c r="G1239" t="s">
        <v>35</v>
      </c>
      <c r="H1239" t="s">
        <v>18</v>
      </c>
    </row>
    <row r="1240" spans="1:8" x14ac:dyDescent="0.2">
      <c r="A1240" t="s">
        <v>40</v>
      </c>
      <c r="B1240" t="s">
        <v>1513</v>
      </c>
      <c r="C1240" t="s">
        <v>1092</v>
      </c>
      <c r="D1240" t="s">
        <v>1096</v>
      </c>
      <c r="E1240">
        <v>331.12177600000001</v>
      </c>
      <c r="F1240">
        <v>0</v>
      </c>
      <c r="G1240" t="s">
        <v>1103</v>
      </c>
      <c r="H1240" t="s">
        <v>18</v>
      </c>
    </row>
    <row r="1241" spans="1:8" x14ac:dyDescent="0.2">
      <c r="A1241" t="s">
        <v>40</v>
      </c>
      <c r="B1241" t="s">
        <v>1514</v>
      </c>
      <c r="C1241" t="s">
        <v>1092</v>
      </c>
      <c r="D1241" t="s">
        <v>1096</v>
      </c>
      <c r="E1241">
        <v>419.29693799999995</v>
      </c>
      <c r="F1241">
        <v>0</v>
      </c>
      <c r="G1241" t="s">
        <v>1103</v>
      </c>
      <c r="H1241" t="s">
        <v>18</v>
      </c>
    </row>
    <row r="1242" spans="1:8" x14ac:dyDescent="0.2">
      <c r="A1242" t="s">
        <v>40</v>
      </c>
      <c r="B1242" t="s">
        <v>1515</v>
      </c>
      <c r="C1242" t="s">
        <v>1092</v>
      </c>
      <c r="D1242" t="s">
        <v>1061</v>
      </c>
      <c r="E1242">
        <v>1753435.317846</v>
      </c>
      <c r="F1242">
        <v>760003</v>
      </c>
      <c r="G1242" t="s">
        <v>1109</v>
      </c>
      <c r="H1242" t="s">
        <v>18</v>
      </c>
    </row>
    <row r="1243" spans="1:8" x14ac:dyDescent="0.2">
      <c r="A1243" t="s">
        <v>40</v>
      </c>
      <c r="B1243" t="s">
        <v>1516</v>
      </c>
      <c r="C1243" t="s">
        <v>1092</v>
      </c>
      <c r="D1243" t="s">
        <v>1058</v>
      </c>
      <c r="E1243">
        <v>15439045.806133</v>
      </c>
      <c r="F1243">
        <v>13500225</v>
      </c>
      <c r="G1243" t="s">
        <v>1111</v>
      </c>
      <c r="H1243" t="s">
        <v>18</v>
      </c>
    </row>
    <row r="1244" spans="1:8" x14ac:dyDescent="0.2">
      <c r="A1244" t="s">
        <v>40</v>
      </c>
      <c r="B1244" t="s">
        <v>1517</v>
      </c>
      <c r="C1244" t="s">
        <v>1092</v>
      </c>
      <c r="D1244" t="s">
        <v>1096</v>
      </c>
      <c r="E1244">
        <v>0</v>
      </c>
      <c r="F1244">
        <v>0</v>
      </c>
      <c r="G1244" t="s">
        <v>1109</v>
      </c>
      <c r="H1244" t="s">
        <v>18</v>
      </c>
    </row>
    <row r="1245" spans="1:8" x14ac:dyDescent="0.2">
      <c r="A1245" t="s">
        <v>40</v>
      </c>
      <c r="B1245" t="s">
        <v>1518</v>
      </c>
      <c r="C1245" t="s">
        <v>1092</v>
      </c>
      <c r="D1245" t="s">
        <v>1052</v>
      </c>
      <c r="E1245">
        <v>73626.532719999988</v>
      </c>
      <c r="F1245">
        <v>37382</v>
      </c>
      <c r="G1245" t="s">
        <v>1109</v>
      </c>
      <c r="H1245" t="s">
        <v>18</v>
      </c>
    </row>
    <row r="1246" spans="1:8" x14ac:dyDescent="0.2">
      <c r="A1246" t="s">
        <v>40</v>
      </c>
      <c r="B1246" t="s">
        <v>1519</v>
      </c>
      <c r="C1246" t="s">
        <v>1092</v>
      </c>
      <c r="D1246" t="s">
        <v>1096</v>
      </c>
      <c r="E1246">
        <v>583713.61622100009</v>
      </c>
      <c r="F1246">
        <v>326608</v>
      </c>
      <c r="G1246" t="s">
        <v>1109</v>
      </c>
      <c r="H1246" t="s">
        <v>18</v>
      </c>
    </row>
    <row r="1247" spans="1:8" x14ac:dyDescent="0.2">
      <c r="A1247" t="s">
        <v>40</v>
      </c>
      <c r="B1247" t="s">
        <v>1520</v>
      </c>
      <c r="C1247" t="s">
        <v>1092</v>
      </c>
      <c r="D1247" t="s">
        <v>1061</v>
      </c>
      <c r="E1247">
        <v>29543.826607999999</v>
      </c>
      <c r="F1247">
        <v>28919</v>
      </c>
      <c r="G1247" t="s">
        <v>1886</v>
      </c>
      <c r="H1247" t="s">
        <v>18</v>
      </c>
    </row>
    <row r="1248" spans="1:8" x14ac:dyDescent="0.2">
      <c r="A1248" t="s">
        <v>40</v>
      </c>
      <c r="B1248" t="s">
        <v>1521</v>
      </c>
      <c r="C1248" t="s">
        <v>1092</v>
      </c>
      <c r="D1248" t="s">
        <v>1058</v>
      </c>
      <c r="E1248">
        <v>0</v>
      </c>
      <c r="F1248">
        <v>662</v>
      </c>
      <c r="G1248" t="s">
        <v>1191</v>
      </c>
      <c r="H1248" t="s">
        <v>18</v>
      </c>
    </row>
    <row r="1249" spans="1:8" x14ac:dyDescent="0.2">
      <c r="A1249" t="s">
        <v>40</v>
      </c>
      <c r="B1249" t="s">
        <v>1887</v>
      </c>
      <c r="C1249" t="s">
        <v>1092</v>
      </c>
      <c r="D1249" t="s">
        <v>1096</v>
      </c>
      <c r="E1249">
        <v>0</v>
      </c>
      <c r="F1249">
        <v>265</v>
      </c>
      <c r="G1249" t="s">
        <v>1191</v>
      </c>
      <c r="H1249" t="s">
        <v>18</v>
      </c>
    </row>
    <row r="1250" spans="1:8" x14ac:dyDescent="0.2">
      <c r="A1250" t="s">
        <v>40</v>
      </c>
      <c r="B1250" t="s">
        <v>1522</v>
      </c>
      <c r="C1250" t="s">
        <v>1092</v>
      </c>
      <c r="D1250" t="s">
        <v>1052</v>
      </c>
      <c r="E1250">
        <v>205040.06873499998</v>
      </c>
      <c r="F1250">
        <v>132376</v>
      </c>
      <c r="G1250" t="s">
        <v>1109</v>
      </c>
      <c r="H1250" t="s">
        <v>18</v>
      </c>
    </row>
    <row r="1251" spans="1:8" x14ac:dyDescent="0.2">
      <c r="A1251" t="s">
        <v>40</v>
      </c>
      <c r="B1251" t="s">
        <v>1523</v>
      </c>
      <c r="C1251" t="s">
        <v>1092</v>
      </c>
      <c r="D1251" t="s">
        <v>1061</v>
      </c>
      <c r="E1251">
        <v>20336.232737000002</v>
      </c>
      <c r="F1251">
        <v>14233</v>
      </c>
      <c r="G1251" t="s">
        <v>1109</v>
      </c>
      <c r="H1251" t="s">
        <v>18</v>
      </c>
    </row>
    <row r="1252" spans="1:8" x14ac:dyDescent="0.2">
      <c r="A1252" t="s">
        <v>40</v>
      </c>
      <c r="B1252" t="s">
        <v>1524</v>
      </c>
      <c r="C1252" t="s">
        <v>1092</v>
      </c>
      <c r="D1252" t="s">
        <v>1058</v>
      </c>
      <c r="E1252">
        <v>170829.015931</v>
      </c>
      <c r="F1252">
        <v>3</v>
      </c>
      <c r="G1252" t="s">
        <v>1107</v>
      </c>
      <c r="H1252" t="s">
        <v>18</v>
      </c>
    </row>
    <row r="1253" spans="1:8" x14ac:dyDescent="0.2">
      <c r="A1253" t="s">
        <v>40</v>
      </c>
      <c r="B1253" t="s">
        <v>1525</v>
      </c>
      <c r="C1253" t="s">
        <v>1092</v>
      </c>
      <c r="D1253" t="s">
        <v>1058</v>
      </c>
      <c r="E1253">
        <v>451952.69217900001</v>
      </c>
      <c r="F1253">
        <v>271243</v>
      </c>
      <c r="G1253" t="s">
        <v>1109</v>
      </c>
      <c r="H1253" t="s">
        <v>18</v>
      </c>
    </row>
    <row r="1254" spans="1:8" x14ac:dyDescent="0.2">
      <c r="A1254" t="s">
        <v>40</v>
      </c>
      <c r="B1254" t="s">
        <v>1099</v>
      </c>
      <c r="C1254" t="s">
        <v>1100</v>
      </c>
      <c r="D1254" t="s">
        <v>35</v>
      </c>
      <c r="E1254">
        <v>18728273.527823992</v>
      </c>
      <c r="F1254">
        <v>15071919</v>
      </c>
      <c r="G1254" t="s">
        <v>35</v>
      </c>
      <c r="H1254" t="s">
        <v>18</v>
      </c>
    </row>
    <row r="1255" spans="1:8" x14ac:dyDescent="0.2">
      <c r="A1255" t="s">
        <v>1526</v>
      </c>
      <c r="B1255" t="s">
        <v>1527</v>
      </c>
      <c r="C1255" t="s">
        <v>1092</v>
      </c>
      <c r="D1255" t="s">
        <v>1064</v>
      </c>
      <c r="E1255">
        <v>369999.84646999999</v>
      </c>
      <c r="F1255">
        <v>51</v>
      </c>
      <c r="G1255" t="s">
        <v>1093</v>
      </c>
      <c r="H1255" t="s">
        <v>18</v>
      </c>
    </row>
    <row r="1256" spans="1:8" x14ac:dyDescent="0.2">
      <c r="A1256" t="s">
        <v>1526</v>
      </c>
      <c r="B1256" t="s">
        <v>1099</v>
      </c>
      <c r="C1256" t="s">
        <v>1100</v>
      </c>
      <c r="D1256" t="s">
        <v>35</v>
      </c>
      <c r="E1256">
        <v>369999.84646999999</v>
      </c>
      <c r="F1256">
        <v>51</v>
      </c>
      <c r="G1256" t="s">
        <v>35</v>
      </c>
      <c r="H1256" t="s">
        <v>18</v>
      </c>
    </row>
    <row r="1257" spans="1:8" x14ac:dyDescent="0.2">
      <c r="A1257" t="s">
        <v>1528</v>
      </c>
      <c r="B1257" t="s">
        <v>1529</v>
      </c>
      <c r="C1257" t="s">
        <v>1092</v>
      </c>
      <c r="D1257" t="s">
        <v>1052</v>
      </c>
      <c r="E1257">
        <v>374856.49</v>
      </c>
      <c r="F1257">
        <v>160</v>
      </c>
      <c r="G1257" t="s">
        <v>1093</v>
      </c>
      <c r="H1257" t="s">
        <v>18</v>
      </c>
    </row>
    <row r="1258" spans="1:8" x14ac:dyDescent="0.2">
      <c r="A1258" t="s">
        <v>1528</v>
      </c>
      <c r="B1258" t="s">
        <v>1099</v>
      </c>
      <c r="C1258" t="s">
        <v>1100</v>
      </c>
      <c r="D1258" t="s">
        <v>35</v>
      </c>
      <c r="E1258">
        <v>374856.49</v>
      </c>
      <c r="F1258">
        <v>160</v>
      </c>
      <c r="G1258" t="s">
        <v>35</v>
      </c>
      <c r="H1258" t="s">
        <v>18</v>
      </c>
    </row>
    <row r="1259" spans="1:8" x14ac:dyDescent="0.2">
      <c r="A1259" t="s">
        <v>1530</v>
      </c>
      <c r="B1259" t="s">
        <v>1217</v>
      </c>
      <c r="C1259" t="s">
        <v>1092</v>
      </c>
      <c r="D1259" t="s">
        <v>1096</v>
      </c>
      <c r="E1259">
        <v>980359.89709999994</v>
      </c>
      <c r="F1259">
        <v>240</v>
      </c>
      <c r="G1259" t="s">
        <v>1093</v>
      </c>
      <c r="H1259" t="s">
        <v>18</v>
      </c>
    </row>
    <row r="1260" spans="1:8" x14ac:dyDescent="0.2">
      <c r="A1260" t="s">
        <v>1530</v>
      </c>
      <c r="B1260" t="s">
        <v>1531</v>
      </c>
      <c r="C1260" t="s">
        <v>1092</v>
      </c>
      <c r="D1260" t="s">
        <v>1058</v>
      </c>
      <c r="E1260">
        <v>1147264.2527999999</v>
      </c>
      <c r="F1260">
        <v>179</v>
      </c>
      <c r="G1260" t="s">
        <v>1093</v>
      </c>
      <c r="H1260" t="s">
        <v>18</v>
      </c>
    </row>
    <row r="1261" spans="1:8" x14ac:dyDescent="0.2">
      <c r="A1261" t="s">
        <v>1530</v>
      </c>
      <c r="B1261" t="s">
        <v>1695</v>
      </c>
      <c r="C1261" t="s">
        <v>1092</v>
      </c>
      <c r="D1261" t="s">
        <v>1096</v>
      </c>
      <c r="E1261">
        <v>122036.38155999999</v>
      </c>
      <c r="F1261">
        <v>68</v>
      </c>
      <c r="G1261" t="s">
        <v>1093</v>
      </c>
      <c r="H1261" t="s">
        <v>18</v>
      </c>
    </row>
    <row r="1262" spans="1:8" x14ac:dyDescent="0.2">
      <c r="A1262" t="s">
        <v>1530</v>
      </c>
      <c r="B1262" t="s">
        <v>1715</v>
      </c>
      <c r="C1262" t="s">
        <v>1092</v>
      </c>
      <c r="D1262" t="s">
        <v>1052</v>
      </c>
      <c r="E1262">
        <v>290763.46337999997</v>
      </c>
      <c r="F1262">
        <v>122</v>
      </c>
      <c r="G1262" t="s">
        <v>1093</v>
      </c>
      <c r="H1262" t="s">
        <v>18</v>
      </c>
    </row>
    <row r="1263" spans="1:8" x14ac:dyDescent="0.2">
      <c r="A1263" t="s">
        <v>1530</v>
      </c>
      <c r="B1263" t="s">
        <v>1099</v>
      </c>
      <c r="C1263" t="s">
        <v>1100</v>
      </c>
      <c r="D1263" t="s">
        <v>35</v>
      </c>
      <c r="E1263">
        <v>2540423.9948399998</v>
      </c>
      <c r="F1263">
        <v>609</v>
      </c>
      <c r="G1263" t="s">
        <v>35</v>
      </c>
      <c r="H1263" t="s">
        <v>18</v>
      </c>
    </row>
    <row r="1264" spans="1:8" x14ac:dyDescent="0.2">
      <c r="A1264" t="s">
        <v>1532</v>
      </c>
      <c r="B1264" t="s">
        <v>1533</v>
      </c>
      <c r="C1264" t="s">
        <v>1092</v>
      </c>
      <c r="D1264" t="s">
        <v>1058</v>
      </c>
      <c r="E1264">
        <v>72789.08</v>
      </c>
      <c r="F1264">
        <v>4</v>
      </c>
      <c r="G1264" t="s">
        <v>1107</v>
      </c>
      <c r="H1264" t="s">
        <v>18</v>
      </c>
    </row>
    <row r="1265" spans="1:8" x14ac:dyDescent="0.2">
      <c r="A1265" t="s">
        <v>1532</v>
      </c>
      <c r="B1265" t="s">
        <v>1534</v>
      </c>
      <c r="C1265" t="s">
        <v>1092</v>
      </c>
      <c r="D1265" t="s">
        <v>1058</v>
      </c>
      <c r="E1265">
        <v>173809.22</v>
      </c>
      <c r="F1265">
        <v>31</v>
      </c>
      <c r="G1265" t="s">
        <v>1107</v>
      </c>
      <c r="H1265" t="s">
        <v>18</v>
      </c>
    </row>
    <row r="1266" spans="1:8" x14ac:dyDescent="0.2">
      <c r="A1266" t="s">
        <v>1532</v>
      </c>
      <c r="B1266" t="s">
        <v>1535</v>
      </c>
      <c r="C1266" t="s">
        <v>1092</v>
      </c>
      <c r="D1266" t="s">
        <v>1058</v>
      </c>
      <c r="E1266">
        <v>9956.7800000000007</v>
      </c>
      <c r="F1266">
        <v>10</v>
      </c>
      <c r="G1266" t="s">
        <v>1107</v>
      </c>
      <c r="H1266" t="s">
        <v>18</v>
      </c>
    </row>
    <row r="1267" spans="1:8" x14ac:dyDescent="0.2">
      <c r="A1267" t="s">
        <v>1532</v>
      </c>
      <c r="B1267" t="s">
        <v>1536</v>
      </c>
      <c r="C1267" t="s">
        <v>1092</v>
      </c>
      <c r="D1267" t="s">
        <v>1096</v>
      </c>
      <c r="E1267">
        <v>262856.19</v>
      </c>
      <c r="F1267">
        <v>61</v>
      </c>
      <c r="G1267" t="s">
        <v>1093</v>
      </c>
      <c r="H1267" t="s">
        <v>18</v>
      </c>
    </row>
    <row r="1268" spans="1:8" x14ac:dyDescent="0.2">
      <c r="A1268" t="s">
        <v>1532</v>
      </c>
      <c r="B1268" t="s">
        <v>1537</v>
      </c>
      <c r="C1268" t="s">
        <v>1092</v>
      </c>
      <c r="D1268" t="s">
        <v>1052</v>
      </c>
      <c r="E1268">
        <v>141750.16</v>
      </c>
      <c r="F1268">
        <v>38</v>
      </c>
      <c r="G1268" t="s">
        <v>1093</v>
      </c>
      <c r="H1268" t="s">
        <v>18</v>
      </c>
    </row>
    <row r="1269" spans="1:8" x14ac:dyDescent="0.2">
      <c r="A1269" t="s">
        <v>1532</v>
      </c>
      <c r="B1269" t="s">
        <v>1099</v>
      </c>
      <c r="C1269" t="s">
        <v>1100</v>
      </c>
      <c r="D1269" t="s">
        <v>35</v>
      </c>
      <c r="E1269">
        <v>661161.43000000005</v>
      </c>
      <c r="F1269">
        <v>144</v>
      </c>
      <c r="G1269" t="s">
        <v>35</v>
      </c>
      <c r="H1269" t="s">
        <v>18</v>
      </c>
    </row>
    <row r="1270" spans="1:8" x14ac:dyDescent="0.2">
      <c r="A1270" t="s">
        <v>44</v>
      </c>
      <c r="B1270" t="s">
        <v>1142</v>
      </c>
      <c r="C1270" t="s">
        <v>1092</v>
      </c>
      <c r="D1270" t="s">
        <v>1096</v>
      </c>
      <c r="E1270">
        <v>28073.774872000002</v>
      </c>
      <c r="F1270">
        <v>15006</v>
      </c>
      <c r="G1270" t="s">
        <v>1109</v>
      </c>
      <c r="H1270" t="s">
        <v>18</v>
      </c>
    </row>
    <row r="1271" spans="1:8" x14ac:dyDescent="0.2">
      <c r="A1271" t="s">
        <v>44</v>
      </c>
      <c r="B1271" t="s">
        <v>1143</v>
      </c>
      <c r="C1271" t="s">
        <v>1092</v>
      </c>
      <c r="D1271" t="s">
        <v>1061</v>
      </c>
      <c r="E1271">
        <v>283925.26120499999</v>
      </c>
      <c r="F1271">
        <v>160884</v>
      </c>
      <c r="G1271" t="s">
        <v>1144</v>
      </c>
      <c r="H1271" t="s">
        <v>18</v>
      </c>
    </row>
    <row r="1272" spans="1:8" x14ac:dyDescent="0.2">
      <c r="A1272" t="s">
        <v>44</v>
      </c>
      <c r="B1272" t="s">
        <v>1145</v>
      </c>
      <c r="C1272" t="s">
        <v>1092</v>
      </c>
      <c r="D1272" t="s">
        <v>1096</v>
      </c>
      <c r="E1272">
        <v>8582163.3731530011</v>
      </c>
      <c r="F1272">
        <v>9854846</v>
      </c>
      <c r="G1272" t="s">
        <v>1128</v>
      </c>
      <c r="H1272" t="s">
        <v>18</v>
      </c>
    </row>
    <row r="1273" spans="1:8" x14ac:dyDescent="0.2">
      <c r="A1273" t="s">
        <v>44</v>
      </c>
      <c r="B1273" t="s">
        <v>1146</v>
      </c>
      <c r="C1273" t="s">
        <v>1092</v>
      </c>
      <c r="D1273" t="s">
        <v>1126</v>
      </c>
      <c r="E1273">
        <v>718110.76194500003</v>
      </c>
      <c r="F1273">
        <v>423929</v>
      </c>
      <c r="G1273" t="s">
        <v>1109</v>
      </c>
      <c r="H1273" t="s">
        <v>18</v>
      </c>
    </row>
    <row r="1274" spans="1:8" x14ac:dyDescent="0.2">
      <c r="A1274" t="s">
        <v>44</v>
      </c>
      <c r="B1274" t="s">
        <v>1147</v>
      </c>
      <c r="C1274" t="s">
        <v>1092</v>
      </c>
      <c r="D1274" t="s">
        <v>1126</v>
      </c>
      <c r="E1274">
        <v>814822.22166000004</v>
      </c>
      <c r="F1274">
        <v>190</v>
      </c>
      <c r="G1274" t="s">
        <v>1093</v>
      </c>
      <c r="H1274" t="s">
        <v>18</v>
      </c>
    </row>
    <row r="1275" spans="1:8" x14ac:dyDescent="0.2">
      <c r="A1275" t="s">
        <v>44</v>
      </c>
      <c r="B1275" t="s">
        <v>1099</v>
      </c>
      <c r="C1275" t="s">
        <v>1100</v>
      </c>
      <c r="D1275" t="s">
        <v>35</v>
      </c>
      <c r="E1275">
        <v>10427095.392835001</v>
      </c>
      <c r="F1275">
        <v>10454855</v>
      </c>
      <c r="G1275" t="s">
        <v>35</v>
      </c>
      <c r="H1275" t="s">
        <v>18</v>
      </c>
    </row>
    <row r="1276" spans="1:8" x14ac:dyDescent="0.2">
      <c r="A1276" t="s">
        <v>1543</v>
      </c>
      <c r="B1276" t="s">
        <v>1544</v>
      </c>
      <c r="C1276" t="s">
        <v>1092</v>
      </c>
      <c r="D1276" t="s">
        <v>1052</v>
      </c>
      <c r="E1276">
        <v>44171</v>
      </c>
      <c r="F1276">
        <v>21396</v>
      </c>
      <c r="G1276" t="s">
        <v>1236</v>
      </c>
      <c r="H1276" t="s">
        <v>18</v>
      </c>
    </row>
    <row r="1277" spans="1:8" x14ac:dyDescent="0.2">
      <c r="A1277" t="s">
        <v>1543</v>
      </c>
      <c r="B1277" t="s">
        <v>1099</v>
      </c>
      <c r="C1277" t="s">
        <v>1100</v>
      </c>
      <c r="D1277" t="s">
        <v>35</v>
      </c>
      <c r="E1277">
        <v>44171</v>
      </c>
      <c r="F1277">
        <v>21396</v>
      </c>
      <c r="G1277" t="s">
        <v>35</v>
      </c>
      <c r="H1277" t="s">
        <v>18</v>
      </c>
    </row>
    <row r="1278" spans="1:8" x14ac:dyDescent="0.2">
      <c r="A1278" t="s">
        <v>1277</v>
      </c>
      <c r="B1278" t="s">
        <v>1278</v>
      </c>
      <c r="C1278" t="s">
        <v>1092</v>
      </c>
      <c r="D1278" t="s">
        <v>1052</v>
      </c>
      <c r="E1278">
        <v>176634.79125000001</v>
      </c>
      <c r="F1278">
        <v>6</v>
      </c>
      <c r="G1278" t="s">
        <v>1103</v>
      </c>
      <c r="H1278" t="s">
        <v>18</v>
      </c>
    </row>
    <row r="1279" spans="1:8" x14ac:dyDescent="0.2">
      <c r="A1279" t="s">
        <v>1277</v>
      </c>
      <c r="B1279" t="s">
        <v>1279</v>
      </c>
      <c r="C1279" t="s">
        <v>1092</v>
      </c>
      <c r="D1279" t="s">
        <v>1052</v>
      </c>
      <c r="E1279">
        <v>190784.92418</v>
      </c>
      <c r="F1279">
        <v>3</v>
      </c>
      <c r="G1279" t="s">
        <v>1103</v>
      </c>
      <c r="H1279" t="s">
        <v>18</v>
      </c>
    </row>
    <row r="1280" spans="1:8" x14ac:dyDescent="0.2">
      <c r="A1280" t="s">
        <v>1277</v>
      </c>
      <c r="B1280" t="s">
        <v>1280</v>
      </c>
      <c r="C1280" t="s">
        <v>1092</v>
      </c>
      <c r="D1280" t="s">
        <v>1096</v>
      </c>
      <c r="E1280">
        <v>6988.8643000000002</v>
      </c>
      <c r="F1280">
        <v>17</v>
      </c>
      <c r="G1280" t="s">
        <v>1103</v>
      </c>
      <c r="H1280" t="s">
        <v>18</v>
      </c>
    </row>
    <row r="1281" spans="1:8" x14ac:dyDescent="0.2">
      <c r="A1281" t="s">
        <v>1277</v>
      </c>
      <c r="B1281" t="s">
        <v>1888</v>
      </c>
      <c r="C1281" t="s">
        <v>1092</v>
      </c>
      <c r="D1281" t="s">
        <v>1126</v>
      </c>
      <c r="E1281">
        <v>314334.02840000001</v>
      </c>
      <c r="F1281">
        <v>8</v>
      </c>
      <c r="G1281" t="s">
        <v>1093</v>
      </c>
      <c r="H1281" t="s">
        <v>18</v>
      </c>
    </row>
    <row r="1282" spans="1:8" x14ac:dyDescent="0.2">
      <c r="A1282" t="s">
        <v>1277</v>
      </c>
      <c r="B1282" t="s">
        <v>1889</v>
      </c>
      <c r="C1282" t="s">
        <v>1092</v>
      </c>
      <c r="D1282" t="s">
        <v>1096</v>
      </c>
      <c r="E1282">
        <v>97847.912700000001</v>
      </c>
      <c r="F1282">
        <v>12</v>
      </c>
      <c r="G1282" t="s">
        <v>1103</v>
      </c>
      <c r="H1282" t="s">
        <v>18</v>
      </c>
    </row>
    <row r="1283" spans="1:8" x14ac:dyDescent="0.2">
      <c r="A1283" t="s">
        <v>1277</v>
      </c>
      <c r="B1283" t="s">
        <v>1099</v>
      </c>
      <c r="C1283" t="s">
        <v>1100</v>
      </c>
      <c r="D1283" t="s">
        <v>35</v>
      </c>
      <c r="E1283">
        <v>786590.52083000005</v>
      </c>
      <c r="F1283">
        <v>46</v>
      </c>
      <c r="G1283" t="s">
        <v>35</v>
      </c>
      <c r="H1283" t="s">
        <v>18</v>
      </c>
    </row>
    <row r="1284" spans="1:8" x14ac:dyDescent="0.2">
      <c r="A1284" t="s">
        <v>1890</v>
      </c>
      <c r="B1284" t="s">
        <v>1214</v>
      </c>
      <c r="C1284" t="s">
        <v>1092</v>
      </c>
      <c r="D1284" t="s">
        <v>1215</v>
      </c>
      <c r="E1284">
        <v>34405.290500000003</v>
      </c>
      <c r="F1284">
        <v>0</v>
      </c>
      <c r="G1284" t="s">
        <v>1103</v>
      </c>
      <c r="H1284" t="s">
        <v>18</v>
      </c>
    </row>
    <row r="1285" spans="1:8" x14ac:dyDescent="0.2">
      <c r="A1285" t="s">
        <v>1890</v>
      </c>
      <c r="B1285" t="s">
        <v>1099</v>
      </c>
      <c r="C1285" t="s">
        <v>1100</v>
      </c>
      <c r="D1285" t="s">
        <v>35</v>
      </c>
      <c r="E1285">
        <v>34405.290500000003</v>
      </c>
      <c r="F1285">
        <v>0</v>
      </c>
      <c r="G1285" t="s">
        <v>35</v>
      </c>
      <c r="H1285" t="s">
        <v>18</v>
      </c>
    </row>
    <row r="1286" spans="1:8" x14ac:dyDescent="0.2">
      <c r="A1286" t="s">
        <v>353</v>
      </c>
      <c r="B1286" t="s">
        <v>1545</v>
      </c>
      <c r="C1286" t="s">
        <v>1092</v>
      </c>
      <c r="D1286" t="s">
        <v>1223</v>
      </c>
      <c r="E1286">
        <v>1907.83</v>
      </c>
      <c r="F1286">
        <v>1396</v>
      </c>
      <c r="G1286" t="s">
        <v>1236</v>
      </c>
      <c r="H1286" t="s">
        <v>18</v>
      </c>
    </row>
    <row r="1287" spans="1:8" x14ac:dyDescent="0.2">
      <c r="A1287" t="s">
        <v>353</v>
      </c>
      <c r="B1287" t="s">
        <v>1546</v>
      </c>
      <c r="C1287" t="s">
        <v>1092</v>
      </c>
      <c r="D1287" t="s">
        <v>1223</v>
      </c>
      <c r="E1287">
        <v>433.47999999999996</v>
      </c>
      <c r="F1287">
        <v>400</v>
      </c>
      <c r="G1287" t="s">
        <v>1236</v>
      </c>
      <c r="H1287" t="s">
        <v>18</v>
      </c>
    </row>
    <row r="1288" spans="1:8" x14ac:dyDescent="0.2">
      <c r="A1288" t="s">
        <v>353</v>
      </c>
      <c r="B1288" t="s">
        <v>1547</v>
      </c>
      <c r="C1288" t="s">
        <v>1092</v>
      </c>
      <c r="D1288" t="s">
        <v>1223</v>
      </c>
      <c r="E1288">
        <v>5303.30818</v>
      </c>
      <c r="F1288">
        <v>3298</v>
      </c>
      <c r="G1288" t="s">
        <v>1236</v>
      </c>
      <c r="H1288" t="s">
        <v>18</v>
      </c>
    </row>
    <row r="1289" spans="1:8" x14ac:dyDescent="0.2">
      <c r="A1289" t="s">
        <v>353</v>
      </c>
      <c r="B1289" t="s">
        <v>1548</v>
      </c>
      <c r="C1289" t="s">
        <v>1092</v>
      </c>
      <c r="D1289" t="s">
        <v>1223</v>
      </c>
      <c r="E1289">
        <v>992.76188000000002</v>
      </c>
      <c r="F1289">
        <v>656</v>
      </c>
      <c r="G1289" t="s">
        <v>1236</v>
      </c>
      <c r="H1289" t="s">
        <v>18</v>
      </c>
    </row>
    <row r="1290" spans="1:8" x14ac:dyDescent="0.2">
      <c r="A1290" t="s">
        <v>353</v>
      </c>
      <c r="B1290" t="s">
        <v>1549</v>
      </c>
      <c r="C1290" t="s">
        <v>1092</v>
      </c>
      <c r="D1290" t="s">
        <v>1223</v>
      </c>
      <c r="E1290">
        <v>1244.4781800000001</v>
      </c>
      <c r="F1290">
        <v>806</v>
      </c>
      <c r="G1290" t="s">
        <v>1236</v>
      </c>
      <c r="H1290" t="s">
        <v>18</v>
      </c>
    </row>
    <row r="1291" spans="1:8" x14ac:dyDescent="0.2">
      <c r="A1291" t="s">
        <v>353</v>
      </c>
      <c r="B1291" t="s">
        <v>1550</v>
      </c>
      <c r="C1291" t="s">
        <v>1092</v>
      </c>
      <c r="D1291" t="s">
        <v>1223</v>
      </c>
      <c r="E1291">
        <v>1068.04783</v>
      </c>
      <c r="F1291">
        <v>656</v>
      </c>
      <c r="G1291" t="s">
        <v>1236</v>
      </c>
      <c r="H1291" t="s">
        <v>18</v>
      </c>
    </row>
    <row r="1292" spans="1:8" x14ac:dyDescent="0.2">
      <c r="A1292" t="s">
        <v>353</v>
      </c>
      <c r="B1292" t="s">
        <v>1551</v>
      </c>
      <c r="C1292" t="s">
        <v>1092</v>
      </c>
      <c r="D1292" t="s">
        <v>1223</v>
      </c>
      <c r="E1292">
        <v>1160.28197</v>
      </c>
      <c r="F1292">
        <v>640</v>
      </c>
      <c r="G1292" t="s">
        <v>1236</v>
      </c>
      <c r="H1292" t="s">
        <v>18</v>
      </c>
    </row>
    <row r="1293" spans="1:8" x14ac:dyDescent="0.2">
      <c r="A1293" t="s">
        <v>353</v>
      </c>
      <c r="B1293" t="s">
        <v>1552</v>
      </c>
      <c r="C1293" t="s">
        <v>1092</v>
      </c>
      <c r="D1293" t="s">
        <v>1223</v>
      </c>
      <c r="E1293">
        <v>6986.57</v>
      </c>
      <c r="F1293">
        <v>4795</v>
      </c>
      <c r="G1293" t="s">
        <v>1236</v>
      </c>
      <c r="H1293" t="s">
        <v>18</v>
      </c>
    </row>
    <row r="1294" spans="1:8" x14ac:dyDescent="0.2">
      <c r="A1294" t="s">
        <v>353</v>
      </c>
      <c r="B1294" t="s">
        <v>1553</v>
      </c>
      <c r="C1294" t="s">
        <v>1092</v>
      </c>
      <c r="D1294" t="s">
        <v>1223</v>
      </c>
      <c r="E1294">
        <v>462.78000000000003</v>
      </c>
      <c r="F1294">
        <v>433</v>
      </c>
      <c r="G1294" t="s">
        <v>1236</v>
      </c>
      <c r="H1294" t="s">
        <v>18</v>
      </c>
    </row>
    <row r="1295" spans="1:8" x14ac:dyDescent="0.2">
      <c r="A1295" t="s">
        <v>353</v>
      </c>
      <c r="B1295" t="s">
        <v>1554</v>
      </c>
      <c r="C1295" t="s">
        <v>1092</v>
      </c>
      <c r="D1295" t="s">
        <v>1223</v>
      </c>
      <c r="E1295">
        <v>1516.9507800000001</v>
      </c>
      <c r="F1295">
        <v>1079</v>
      </c>
      <c r="G1295" t="s">
        <v>1236</v>
      </c>
      <c r="H1295" t="s">
        <v>18</v>
      </c>
    </row>
    <row r="1296" spans="1:8" x14ac:dyDescent="0.2">
      <c r="A1296" t="s">
        <v>353</v>
      </c>
      <c r="B1296" t="s">
        <v>1555</v>
      </c>
      <c r="C1296" t="s">
        <v>1092</v>
      </c>
      <c r="D1296" t="s">
        <v>1223</v>
      </c>
      <c r="E1296">
        <v>1891.96</v>
      </c>
      <c r="F1296">
        <v>1428</v>
      </c>
      <c r="G1296" t="s">
        <v>1236</v>
      </c>
      <c r="H1296" t="s">
        <v>18</v>
      </c>
    </row>
    <row r="1297" spans="1:8" x14ac:dyDescent="0.2">
      <c r="A1297" t="s">
        <v>353</v>
      </c>
      <c r="B1297" t="s">
        <v>1556</v>
      </c>
      <c r="C1297" t="s">
        <v>1092</v>
      </c>
      <c r="D1297" t="s">
        <v>1223</v>
      </c>
      <c r="E1297">
        <v>3460.3700000000003</v>
      </c>
      <c r="F1297">
        <v>2338</v>
      </c>
      <c r="G1297" t="s">
        <v>1109</v>
      </c>
      <c r="H1297" t="s">
        <v>18</v>
      </c>
    </row>
    <row r="1298" spans="1:8" x14ac:dyDescent="0.2">
      <c r="A1298" t="s">
        <v>353</v>
      </c>
      <c r="B1298" t="s">
        <v>1557</v>
      </c>
      <c r="C1298" t="s">
        <v>1092</v>
      </c>
      <c r="D1298" t="s">
        <v>1223</v>
      </c>
      <c r="E1298">
        <v>716.23</v>
      </c>
      <c r="F1298">
        <v>527</v>
      </c>
      <c r="G1298" t="s">
        <v>1236</v>
      </c>
      <c r="H1298" t="s">
        <v>18</v>
      </c>
    </row>
    <row r="1299" spans="1:8" x14ac:dyDescent="0.2">
      <c r="A1299" t="s">
        <v>353</v>
      </c>
      <c r="B1299" t="s">
        <v>1558</v>
      </c>
      <c r="C1299" t="s">
        <v>1092</v>
      </c>
      <c r="D1299" t="s">
        <v>1223</v>
      </c>
      <c r="E1299">
        <v>933.39</v>
      </c>
      <c r="F1299">
        <v>761</v>
      </c>
      <c r="G1299" t="s">
        <v>1236</v>
      </c>
      <c r="H1299" t="s">
        <v>18</v>
      </c>
    </row>
    <row r="1300" spans="1:8" x14ac:dyDescent="0.2">
      <c r="A1300" t="s">
        <v>353</v>
      </c>
      <c r="B1300" t="s">
        <v>1559</v>
      </c>
      <c r="C1300" t="s">
        <v>1092</v>
      </c>
      <c r="D1300" t="s">
        <v>1223</v>
      </c>
      <c r="E1300">
        <v>337.26</v>
      </c>
      <c r="F1300">
        <v>276</v>
      </c>
      <c r="G1300" t="s">
        <v>1236</v>
      </c>
      <c r="H1300" t="s">
        <v>18</v>
      </c>
    </row>
    <row r="1301" spans="1:8" x14ac:dyDescent="0.2">
      <c r="A1301" t="s">
        <v>353</v>
      </c>
      <c r="B1301" t="s">
        <v>1560</v>
      </c>
      <c r="C1301" t="s">
        <v>1092</v>
      </c>
      <c r="D1301" t="s">
        <v>1223</v>
      </c>
      <c r="E1301">
        <v>9195.5720000000001</v>
      </c>
      <c r="F1301">
        <v>5885</v>
      </c>
      <c r="G1301" t="s">
        <v>1236</v>
      </c>
      <c r="H1301" t="s">
        <v>18</v>
      </c>
    </row>
    <row r="1302" spans="1:8" x14ac:dyDescent="0.2">
      <c r="A1302" t="s">
        <v>353</v>
      </c>
      <c r="B1302" t="s">
        <v>1561</v>
      </c>
      <c r="C1302" t="s">
        <v>1092</v>
      </c>
      <c r="D1302" t="s">
        <v>1223</v>
      </c>
      <c r="E1302">
        <v>3930.4660200000003</v>
      </c>
      <c r="F1302">
        <v>2465</v>
      </c>
      <c r="G1302" t="s">
        <v>1236</v>
      </c>
      <c r="H1302" t="s">
        <v>18</v>
      </c>
    </row>
    <row r="1303" spans="1:8" x14ac:dyDescent="0.2">
      <c r="A1303" t="s">
        <v>353</v>
      </c>
      <c r="B1303" t="s">
        <v>1562</v>
      </c>
      <c r="C1303" t="s">
        <v>1092</v>
      </c>
      <c r="D1303" t="s">
        <v>1223</v>
      </c>
      <c r="E1303">
        <v>6086.4650000000001</v>
      </c>
      <c r="F1303">
        <v>3897</v>
      </c>
      <c r="G1303" t="s">
        <v>1236</v>
      </c>
      <c r="H1303" t="s">
        <v>18</v>
      </c>
    </row>
    <row r="1304" spans="1:8" x14ac:dyDescent="0.2">
      <c r="A1304" t="s">
        <v>353</v>
      </c>
      <c r="B1304" t="s">
        <v>1563</v>
      </c>
      <c r="C1304" t="s">
        <v>1092</v>
      </c>
      <c r="D1304" t="s">
        <v>1223</v>
      </c>
      <c r="E1304">
        <v>701.39</v>
      </c>
      <c r="F1304">
        <v>601</v>
      </c>
      <c r="G1304" t="s">
        <v>1236</v>
      </c>
      <c r="H1304" t="s">
        <v>18</v>
      </c>
    </row>
    <row r="1305" spans="1:8" x14ac:dyDescent="0.2">
      <c r="A1305" t="s">
        <v>353</v>
      </c>
      <c r="B1305" t="s">
        <v>1564</v>
      </c>
      <c r="C1305" t="s">
        <v>1092</v>
      </c>
      <c r="D1305" t="s">
        <v>1223</v>
      </c>
      <c r="E1305">
        <v>402.46</v>
      </c>
      <c r="F1305">
        <v>316</v>
      </c>
      <c r="G1305" t="s">
        <v>1236</v>
      </c>
      <c r="H1305" t="s">
        <v>18</v>
      </c>
    </row>
    <row r="1306" spans="1:8" x14ac:dyDescent="0.2">
      <c r="A1306" t="s">
        <v>353</v>
      </c>
      <c r="B1306" t="s">
        <v>1565</v>
      </c>
      <c r="C1306" t="s">
        <v>1092</v>
      </c>
      <c r="D1306" t="s">
        <v>1223</v>
      </c>
      <c r="E1306">
        <v>632.34999999999991</v>
      </c>
      <c r="F1306">
        <v>461</v>
      </c>
      <c r="G1306" t="s">
        <v>1236</v>
      </c>
      <c r="H1306" t="s">
        <v>18</v>
      </c>
    </row>
    <row r="1307" spans="1:8" x14ac:dyDescent="0.2">
      <c r="A1307" t="s">
        <v>353</v>
      </c>
      <c r="B1307" t="s">
        <v>1566</v>
      </c>
      <c r="C1307" t="s">
        <v>1092</v>
      </c>
      <c r="D1307" t="s">
        <v>1223</v>
      </c>
      <c r="E1307">
        <v>3096.42</v>
      </c>
      <c r="F1307">
        <v>2138</v>
      </c>
      <c r="G1307" t="s">
        <v>1236</v>
      </c>
      <c r="H1307" t="s">
        <v>18</v>
      </c>
    </row>
    <row r="1308" spans="1:8" x14ac:dyDescent="0.2">
      <c r="A1308" t="s">
        <v>353</v>
      </c>
      <c r="B1308" t="s">
        <v>1567</v>
      </c>
      <c r="C1308" t="s">
        <v>1092</v>
      </c>
      <c r="D1308" t="s">
        <v>1223</v>
      </c>
      <c r="E1308">
        <v>1654.7180000000001</v>
      </c>
      <c r="F1308">
        <v>1030</v>
      </c>
      <c r="G1308" t="s">
        <v>1236</v>
      </c>
      <c r="H1308" t="s">
        <v>18</v>
      </c>
    </row>
    <row r="1309" spans="1:8" x14ac:dyDescent="0.2">
      <c r="A1309" t="s">
        <v>353</v>
      </c>
      <c r="B1309" t="s">
        <v>1568</v>
      </c>
      <c r="C1309" t="s">
        <v>1092</v>
      </c>
      <c r="D1309" t="s">
        <v>1223</v>
      </c>
      <c r="E1309">
        <v>3784.4180000000001</v>
      </c>
      <c r="F1309">
        <v>1997</v>
      </c>
      <c r="G1309" t="s">
        <v>1236</v>
      </c>
      <c r="H1309" t="s">
        <v>18</v>
      </c>
    </row>
    <row r="1310" spans="1:8" x14ac:dyDescent="0.2">
      <c r="A1310" t="s">
        <v>353</v>
      </c>
      <c r="B1310" t="s">
        <v>1569</v>
      </c>
      <c r="C1310" t="s">
        <v>1092</v>
      </c>
      <c r="D1310" t="s">
        <v>1223</v>
      </c>
      <c r="E1310">
        <v>1182</v>
      </c>
      <c r="F1310">
        <v>823</v>
      </c>
      <c r="G1310" t="s">
        <v>1236</v>
      </c>
      <c r="H1310" t="s">
        <v>18</v>
      </c>
    </row>
    <row r="1311" spans="1:8" x14ac:dyDescent="0.2">
      <c r="A1311" t="s">
        <v>353</v>
      </c>
      <c r="B1311" t="s">
        <v>1570</v>
      </c>
      <c r="C1311" t="s">
        <v>1092</v>
      </c>
      <c r="D1311" t="s">
        <v>1223</v>
      </c>
      <c r="E1311">
        <v>11163.200940000001</v>
      </c>
      <c r="F1311">
        <v>6786</v>
      </c>
      <c r="G1311" t="s">
        <v>1236</v>
      </c>
      <c r="H1311" t="s">
        <v>18</v>
      </c>
    </row>
    <row r="1312" spans="1:8" x14ac:dyDescent="0.2">
      <c r="A1312" t="s">
        <v>353</v>
      </c>
      <c r="B1312" t="s">
        <v>1571</v>
      </c>
      <c r="C1312" t="s">
        <v>1092</v>
      </c>
      <c r="D1312" t="s">
        <v>1223</v>
      </c>
      <c r="E1312">
        <v>2850</v>
      </c>
      <c r="F1312">
        <v>2187</v>
      </c>
      <c r="G1312" t="s">
        <v>1236</v>
      </c>
      <c r="H1312" t="s">
        <v>18</v>
      </c>
    </row>
    <row r="1313" spans="1:8" x14ac:dyDescent="0.2">
      <c r="A1313" t="s">
        <v>353</v>
      </c>
      <c r="B1313" t="s">
        <v>1572</v>
      </c>
      <c r="C1313" t="s">
        <v>1092</v>
      </c>
      <c r="D1313" t="s">
        <v>1223</v>
      </c>
      <c r="E1313">
        <v>4299.56999</v>
      </c>
      <c r="F1313">
        <v>2720</v>
      </c>
      <c r="G1313" t="s">
        <v>1236</v>
      </c>
      <c r="H1313" t="s">
        <v>18</v>
      </c>
    </row>
    <row r="1314" spans="1:8" x14ac:dyDescent="0.2">
      <c r="A1314" t="s">
        <v>353</v>
      </c>
      <c r="B1314" t="s">
        <v>1573</v>
      </c>
      <c r="C1314" t="s">
        <v>1092</v>
      </c>
      <c r="D1314" t="s">
        <v>1223</v>
      </c>
      <c r="E1314">
        <v>903.41800000000001</v>
      </c>
      <c r="F1314">
        <v>607</v>
      </c>
      <c r="G1314" t="s">
        <v>1236</v>
      </c>
      <c r="H1314" t="s">
        <v>18</v>
      </c>
    </row>
    <row r="1315" spans="1:8" x14ac:dyDescent="0.2">
      <c r="A1315" t="s">
        <v>353</v>
      </c>
      <c r="B1315" t="s">
        <v>1574</v>
      </c>
      <c r="C1315" t="s">
        <v>1092</v>
      </c>
      <c r="D1315" t="s">
        <v>1223</v>
      </c>
      <c r="E1315">
        <v>1542.33223</v>
      </c>
      <c r="F1315">
        <v>1013</v>
      </c>
      <c r="G1315" t="s">
        <v>1236</v>
      </c>
      <c r="H1315" t="s">
        <v>18</v>
      </c>
    </row>
    <row r="1316" spans="1:8" x14ac:dyDescent="0.2">
      <c r="A1316" t="s">
        <v>353</v>
      </c>
      <c r="B1316" t="s">
        <v>1575</v>
      </c>
      <c r="C1316" t="s">
        <v>1092</v>
      </c>
      <c r="D1316" t="s">
        <v>1223</v>
      </c>
      <c r="E1316">
        <v>2546.8452100000004</v>
      </c>
      <c r="F1316">
        <v>1526</v>
      </c>
      <c r="G1316" t="s">
        <v>1236</v>
      </c>
      <c r="H1316" t="s">
        <v>18</v>
      </c>
    </row>
    <row r="1317" spans="1:8" x14ac:dyDescent="0.2">
      <c r="A1317" t="s">
        <v>353</v>
      </c>
      <c r="B1317" t="s">
        <v>1576</v>
      </c>
      <c r="C1317" t="s">
        <v>1092</v>
      </c>
      <c r="D1317" t="s">
        <v>1223</v>
      </c>
      <c r="E1317">
        <v>3538.8620000000001</v>
      </c>
      <c r="F1317">
        <v>1425</v>
      </c>
      <c r="G1317" t="s">
        <v>1103</v>
      </c>
      <c r="H1317" t="s">
        <v>18</v>
      </c>
    </row>
    <row r="1318" spans="1:8" x14ac:dyDescent="0.2">
      <c r="A1318" t="s">
        <v>353</v>
      </c>
      <c r="B1318" t="s">
        <v>1577</v>
      </c>
      <c r="C1318" t="s">
        <v>1092</v>
      </c>
      <c r="D1318" t="s">
        <v>1223</v>
      </c>
      <c r="E1318">
        <v>6997.5392899999997</v>
      </c>
      <c r="F1318">
        <v>4466</v>
      </c>
      <c r="G1318" t="s">
        <v>1236</v>
      </c>
      <c r="H1318" t="s">
        <v>18</v>
      </c>
    </row>
    <row r="1319" spans="1:8" x14ac:dyDescent="0.2">
      <c r="A1319" t="s">
        <v>353</v>
      </c>
      <c r="B1319" t="s">
        <v>1578</v>
      </c>
      <c r="C1319" t="s">
        <v>1092</v>
      </c>
      <c r="D1319" t="s">
        <v>1223</v>
      </c>
      <c r="E1319">
        <v>6188.9790000000003</v>
      </c>
      <c r="F1319">
        <v>4052</v>
      </c>
      <c r="G1319" t="s">
        <v>1236</v>
      </c>
      <c r="H1319" t="s">
        <v>18</v>
      </c>
    </row>
    <row r="1320" spans="1:8" x14ac:dyDescent="0.2">
      <c r="A1320" t="s">
        <v>353</v>
      </c>
      <c r="B1320" t="s">
        <v>1579</v>
      </c>
      <c r="C1320" t="s">
        <v>1092</v>
      </c>
      <c r="D1320" t="s">
        <v>1223</v>
      </c>
      <c r="E1320">
        <v>2999</v>
      </c>
      <c r="F1320">
        <v>2132</v>
      </c>
      <c r="G1320" t="s">
        <v>1236</v>
      </c>
      <c r="H1320" t="s">
        <v>18</v>
      </c>
    </row>
    <row r="1321" spans="1:8" x14ac:dyDescent="0.2">
      <c r="A1321" t="s">
        <v>353</v>
      </c>
      <c r="B1321" t="s">
        <v>1580</v>
      </c>
      <c r="C1321" t="s">
        <v>1092</v>
      </c>
      <c r="D1321" t="s">
        <v>1223</v>
      </c>
      <c r="E1321">
        <v>1088.0998</v>
      </c>
      <c r="F1321">
        <v>615</v>
      </c>
      <c r="G1321" t="s">
        <v>1236</v>
      </c>
      <c r="H1321" t="s">
        <v>18</v>
      </c>
    </row>
    <row r="1322" spans="1:8" x14ac:dyDescent="0.2">
      <c r="A1322" t="s">
        <v>353</v>
      </c>
      <c r="B1322" t="s">
        <v>1581</v>
      </c>
      <c r="C1322" t="s">
        <v>1092</v>
      </c>
      <c r="D1322" t="s">
        <v>1223</v>
      </c>
      <c r="E1322">
        <v>938.18</v>
      </c>
      <c r="F1322">
        <v>678</v>
      </c>
      <c r="G1322" t="s">
        <v>1236</v>
      </c>
      <c r="H1322" t="s">
        <v>18</v>
      </c>
    </row>
    <row r="1323" spans="1:8" x14ac:dyDescent="0.2">
      <c r="A1323" t="s">
        <v>353</v>
      </c>
      <c r="B1323" t="s">
        <v>1582</v>
      </c>
      <c r="C1323" t="s">
        <v>1092</v>
      </c>
      <c r="D1323" t="s">
        <v>1223</v>
      </c>
      <c r="E1323">
        <v>1786.74</v>
      </c>
      <c r="F1323">
        <v>1295</v>
      </c>
      <c r="G1323" t="s">
        <v>1236</v>
      </c>
      <c r="H1323" t="s">
        <v>18</v>
      </c>
    </row>
    <row r="1324" spans="1:8" x14ac:dyDescent="0.2">
      <c r="A1324" t="s">
        <v>353</v>
      </c>
      <c r="B1324" t="s">
        <v>1583</v>
      </c>
      <c r="C1324" t="s">
        <v>1092</v>
      </c>
      <c r="D1324" t="s">
        <v>1223</v>
      </c>
      <c r="E1324">
        <v>2129.15</v>
      </c>
      <c r="F1324">
        <v>1509</v>
      </c>
      <c r="G1324" t="s">
        <v>1236</v>
      </c>
      <c r="H1324" t="s">
        <v>18</v>
      </c>
    </row>
    <row r="1325" spans="1:8" x14ac:dyDescent="0.2">
      <c r="A1325" t="s">
        <v>353</v>
      </c>
      <c r="B1325" t="s">
        <v>1584</v>
      </c>
      <c r="C1325" t="s">
        <v>1092</v>
      </c>
      <c r="D1325" t="s">
        <v>1223</v>
      </c>
      <c r="E1325">
        <v>1298.96</v>
      </c>
      <c r="F1325">
        <v>924</v>
      </c>
      <c r="G1325" t="s">
        <v>1236</v>
      </c>
      <c r="H1325" t="s">
        <v>18</v>
      </c>
    </row>
    <row r="1326" spans="1:8" x14ac:dyDescent="0.2">
      <c r="A1326" t="s">
        <v>353</v>
      </c>
      <c r="B1326" t="s">
        <v>1585</v>
      </c>
      <c r="C1326" t="s">
        <v>1092</v>
      </c>
      <c r="D1326" t="s">
        <v>1223</v>
      </c>
      <c r="E1326">
        <v>649.44999999999993</v>
      </c>
      <c r="F1326">
        <v>529</v>
      </c>
      <c r="G1326" t="s">
        <v>1236</v>
      </c>
      <c r="H1326" t="s">
        <v>18</v>
      </c>
    </row>
    <row r="1327" spans="1:8" x14ac:dyDescent="0.2">
      <c r="A1327" t="s">
        <v>353</v>
      </c>
      <c r="B1327" t="s">
        <v>1586</v>
      </c>
      <c r="C1327" t="s">
        <v>1092</v>
      </c>
      <c r="D1327" t="s">
        <v>1223</v>
      </c>
      <c r="E1327">
        <v>2289.52</v>
      </c>
      <c r="F1327">
        <v>1782</v>
      </c>
      <c r="G1327" t="s">
        <v>1236</v>
      </c>
      <c r="H1327" t="s">
        <v>18</v>
      </c>
    </row>
    <row r="1328" spans="1:8" x14ac:dyDescent="0.2">
      <c r="A1328" t="s">
        <v>353</v>
      </c>
      <c r="B1328" t="s">
        <v>1587</v>
      </c>
      <c r="C1328" t="s">
        <v>1092</v>
      </c>
      <c r="D1328" t="s">
        <v>1223</v>
      </c>
      <c r="E1328">
        <v>5021.0079900000001</v>
      </c>
      <c r="F1328">
        <v>3201</v>
      </c>
      <c r="G1328" t="s">
        <v>1236</v>
      </c>
      <c r="H1328" t="s">
        <v>18</v>
      </c>
    </row>
    <row r="1329" spans="1:8" x14ac:dyDescent="0.2">
      <c r="A1329" t="s">
        <v>353</v>
      </c>
      <c r="B1329" t="s">
        <v>1588</v>
      </c>
      <c r="C1329" t="s">
        <v>1092</v>
      </c>
      <c r="D1329" t="s">
        <v>1223</v>
      </c>
      <c r="E1329">
        <v>1325.87</v>
      </c>
      <c r="F1329">
        <v>957</v>
      </c>
      <c r="G1329" t="s">
        <v>1236</v>
      </c>
      <c r="H1329" t="s">
        <v>18</v>
      </c>
    </row>
    <row r="1330" spans="1:8" x14ac:dyDescent="0.2">
      <c r="A1330" t="s">
        <v>353</v>
      </c>
      <c r="B1330" t="s">
        <v>1589</v>
      </c>
      <c r="C1330" t="s">
        <v>1092</v>
      </c>
      <c r="D1330" t="s">
        <v>1223</v>
      </c>
      <c r="E1330">
        <v>367.45</v>
      </c>
      <c r="F1330">
        <v>299</v>
      </c>
      <c r="G1330" t="s">
        <v>1236</v>
      </c>
      <c r="H1330" t="s">
        <v>18</v>
      </c>
    </row>
    <row r="1331" spans="1:8" x14ac:dyDescent="0.2">
      <c r="A1331" t="s">
        <v>353</v>
      </c>
      <c r="B1331" t="s">
        <v>1590</v>
      </c>
      <c r="C1331" t="s">
        <v>1092</v>
      </c>
      <c r="D1331" t="s">
        <v>1223</v>
      </c>
      <c r="E1331">
        <v>2791.41</v>
      </c>
      <c r="F1331">
        <v>2024</v>
      </c>
      <c r="G1331" t="s">
        <v>1236</v>
      </c>
      <c r="H1331" t="s">
        <v>18</v>
      </c>
    </row>
    <row r="1332" spans="1:8" x14ac:dyDescent="0.2">
      <c r="A1332" t="s">
        <v>353</v>
      </c>
      <c r="B1332" t="s">
        <v>1591</v>
      </c>
      <c r="C1332" t="s">
        <v>1092</v>
      </c>
      <c r="D1332" t="s">
        <v>1223</v>
      </c>
      <c r="E1332">
        <v>3081.3571900000002</v>
      </c>
      <c r="F1332">
        <v>2089</v>
      </c>
      <c r="G1332" t="s">
        <v>1236</v>
      </c>
      <c r="H1332" t="s">
        <v>18</v>
      </c>
    </row>
    <row r="1333" spans="1:8" x14ac:dyDescent="0.2">
      <c r="A1333" t="s">
        <v>353</v>
      </c>
      <c r="B1333" t="s">
        <v>1592</v>
      </c>
      <c r="C1333" t="s">
        <v>1092</v>
      </c>
      <c r="D1333" t="s">
        <v>1223</v>
      </c>
      <c r="E1333">
        <v>991.38380000000006</v>
      </c>
      <c r="F1333">
        <v>283</v>
      </c>
      <c r="G1333" t="s">
        <v>1236</v>
      </c>
      <c r="H1333" t="s">
        <v>18</v>
      </c>
    </row>
    <row r="1334" spans="1:8" x14ac:dyDescent="0.2">
      <c r="A1334" t="s">
        <v>353</v>
      </c>
      <c r="B1334" t="s">
        <v>1593</v>
      </c>
      <c r="C1334" t="s">
        <v>1092</v>
      </c>
      <c r="D1334" t="s">
        <v>1223</v>
      </c>
      <c r="E1334">
        <v>3169</v>
      </c>
      <c r="F1334">
        <v>2281</v>
      </c>
      <c r="G1334" t="s">
        <v>1236</v>
      </c>
      <c r="H1334" t="s">
        <v>18</v>
      </c>
    </row>
    <row r="1335" spans="1:8" x14ac:dyDescent="0.2">
      <c r="A1335" t="s">
        <v>353</v>
      </c>
      <c r="B1335" t="s">
        <v>1594</v>
      </c>
      <c r="C1335" t="s">
        <v>1092</v>
      </c>
      <c r="D1335" t="s">
        <v>1223</v>
      </c>
      <c r="E1335">
        <v>9596.7469999999994</v>
      </c>
      <c r="F1335">
        <v>6629</v>
      </c>
      <c r="G1335" t="s">
        <v>1109</v>
      </c>
      <c r="H1335" t="s">
        <v>18</v>
      </c>
    </row>
    <row r="1336" spans="1:8" x14ac:dyDescent="0.2">
      <c r="A1336" t="s">
        <v>353</v>
      </c>
      <c r="B1336" t="s">
        <v>1595</v>
      </c>
      <c r="C1336" t="s">
        <v>1092</v>
      </c>
      <c r="D1336" t="s">
        <v>1223</v>
      </c>
      <c r="E1336">
        <v>2089.99323</v>
      </c>
      <c r="F1336">
        <v>1301</v>
      </c>
      <c r="G1336" t="s">
        <v>1236</v>
      </c>
      <c r="H1336" t="s">
        <v>18</v>
      </c>
    </row>
    <row r="1337" spans="1:8" x14ac:dyDescent="0.2">
      <c r="A1337" t="s">
        <v>353</v>
      </c>
      <c r="B1337" t="s">
        <v>1596</v>
      </c>
      <c r="C1337" t="s">
        <v>1092</v>
      </c>
      <c r="D1337" t="s">
        <v>1223</v>
      </c>
      <c r="E1337">
        <v>2167.4007899999997</v>
      </c>
      <c r="F1337">
        <v>1367</v>
      </c>
      <c r="G1337" t="s">
        <v>1236</v>
      </c>
      <c r="H1337" t="s">
        <v>18</v>
      </c>
    </row>
    <row r="1338" spans="1:8" x14ac:dyDescent="0.2">
      <c r="A1338" t="s">
        <v>353</v>
      </c>
      <c r="B1338" t="s">
        <v>1597</v>
      </c>
      <c r="C1338" t="s">
        <v>1092</v>
      </c>
      <c r="D1338" t="s">
        <v>1223</v>
      </c>
      <c r="E1338">
        <v>416.57</v>
      </c>
      <c r="F1338">
        <v>322</v>
      </c>
      <c r="G1338" t="s">
        <v>1236</v>
      </c>
      <c r="H1338" t="s">
        <v>18</v>
      </c>
    </row>
    <row r="1339" spans="1:8" x14ac:dyDescent="0.2">
      <c r="A1339" t="s">
        <v>353</v>
      </c>
      <c r="B1339" t="s">
        <v>1598</v>
      </c>
      <c r="C1339" t="s">
        <v>1092</v>
      </c>
      <c r="D1339" t="s">
        <v>1223</v>
      </c>
      <c r="E1339">
        <v>1158.4000000000001</v>
      </c>
      <c r="F1339">
        <v>832</v>
      </c>
      <c r="G1339" t="s">
        <v>1236</v>
      </c>
      <c r="H1339" t="s">
        <v>18</v>
      </c>
    </row>
    <row r="1340" spans="1:8" x14ac:dyDescent="0.2">
      <c r="A1340" t="s">
        <v>353</v>
      </c>
      <c r="B1340" t="s">
        <v>1599</v>
      </c>
      <c r="C1340" t="s">
        <v>1092</v>
      </c>
      <c r="D1340" t="s">
        <v>1223</v>
      </c>
      <c r="E1340">
        <v>1711.34</v>
      </c>
      <c r="F1340">
        <v>1177</v>
      </c>
      <c r="G1340" t="s">
        <v>1236</v>
      </c>
      <c r="H1340" t="s">
        <v>18</v>
      </c>
    </row>
    <row r="1341" spans="1:8" x14ac:dyDescent="0.2">
      <c r="A1341" t="s">
        <v>353</v>
      </c>
      <c r="B1341" t="s">
        <v>1600</v>
      </c>
      <c r="C1341" t="s">
        <v>1092</v>
      </c>
      <c r="D1341" t="s">
        <v>1223</v>
      </c>
      <c r="E1341">
        <v>5534.21</v>
      </c>
      <c r="F1341">
        <v>3369</v>
      </c>
      <c r="G1341" t="s">
        <v>1236</v>
      </c>
      <c r="H1341" t="s">
        <v>18</v>
      </c>
    </row>
    <row r="1342" spans="1:8" x14ac:dyDescent="0.2">
      <c r="A1342" t="s">
        <v>353</v>
      </c>
      <c r="B1342" t="s">
        <v>1099</v>
      </c>
      <c r="C1342" t="s">
        <v>1100</v>
      </c>
      <c r="D1342" t="s">
        <v>35</v>
      </c>
      <c r="E1342">
        <v>151713.94429999986</v>
      </c>
      <c r="F1342">
        <v>99479</v>
      </c>
      <c r="G1342" t="s">
        <v>35</v>
      </c>
      <c r="H1342" t="s">
        <v>18</v>
      </c>
    </row>
    <row r="1343" spans="1:8" x14ac:dyDescent="0.2">
      <c r="A1343" t="s">
        <v>139</v>
      </c>
      <c r="B1343" t="s">
        <v>1601</v>
      </c>
      <c r="C1343" t="s">
        <v>1092</v>
      </c>
      <c r="D1343" t="s">
        <v>1223</v>
      </c>
      <c r="E1343">
        <v>703882.73800000001</v>
      </c>
      <c r="F1343">
        <v>450592</v>
      </c>
      <c r="G1343" t="s">
        <v>1109</v>
      </c>
      <c r="H1343" t="s">
        <v>18</v>
      </c>
    </row>
    <row r="1344" spans="1:8" x14ac:dyDescent="0.2">
      <c r="A1344" t="s">
        <v>139</v>
      </c>
      <c r="B1344" t="s">
        <v>1602</v>
      </c>
      <c r="C1344" t="s">
        <v>1092</v>
      </c>
      <c r="D1344" t="s">
        <v>1223</v>
      </c>
      <c r="E1344">
        <v>56143.928</v>
      </c>
      <c r="F1344">
        <v>38269</v>
      </c>
      <c r="G1344" t="s">
        <v>1109</v>
      </c>
      <c r="H1344" t="s">
        <v>18</v>
      </c>
    </row>
    <row r="1345" spans="1:8" x14ac:dyDescent="0.2">
      <c r="A1345" t="s">
        <v>139</v>
      </c>
      <c r="B1345" t="s">
        <v>1603</v>
      </c>
      <c r="C1345" t="s">
        <v>1092</v>
      </c>
      <c r="D1345" t="s">
        <v>1223</v>
      </c>
      <c r="E1345">
        <v>1995.8019999999999</v>
      </c>
      <c r="F1345">
        <v>1428</v>
      </c>
      <c r="G1345" t="s">
        <v>1103</v>
      </c>
      <c r="H1345" t="s">
        <v>18</v>
      </c>
    </row>
    <row r="1346" spans="1:8" x14ac:dyDescent="0.2">
      <c r="A1346" t="s">
        <v>139</v>
      </c>
      <c r="B1346" t="s">
        <v>1604</v>
      </c>
      <c r="C1346" t="s">
        <v>1092</v>
      </c>
      <c r="D1346" t="s">
        <v>1223</v>
      </c>
      <c r="E1346">
        <v>190559.60199999998</v>
      </c>
      <c r="F1346">
        <v>95855</v>
      </c>
      <c r="G1346" t="s">
        <v>1109</v>
      </c>
      <c r="H1346" t="s">
        <v>18</v>
      </c>
    </row>
    <row r="1347" spans="1:8" x14ac:dyDescent="0.2">
      <c r="A1347" t="s">
        <v>139</v>
      </c>
      <c r="B1347" t="s">
        <v>1605</v>
      </c>
      <c r="C1347" t="s">
        <v>1092</v>
      </c>
      <c r="D1347" t="s">
        <v>1223</v>
      </c>
      <c r="E1347">
        <v>8918.1369999999988</v>
      </c>
      <c r="F1347">
        <v>7554</v>
      </c>
      <c r="G1347" t="s">
        <v>1109</v>
      </c>
      <c r="H1347" t="s">
        <v>18</v>
      </c>
    </row>
    <row r="1348" spans="1:8" x14ac:dyDescent="0.2">
      <c r="A1348" t="s">
        <v>139</v>
      </c>
      <c r="B1348" t="s">
        <v>1606</v>
      </c>
      <c r="C1348" t="s">
        <v>1092</v>
      </c>
      <c r="D1348" t="s">
        <v>1223</v>
      </c>
      <c r="E1348">
        <v>35518.943999999996</v>
      </c>
      <c r="F1348">
        <v>25488</v>
      </c>
      <c r="G1348" t="s">
        <v>1109</v>
      </c>
      <c r="H1348" t="s">
        <v>18</v>
      </c>
    </row>
    <row r="1349" spans="1:8" x14ac:dyDescent="0.2">
      <c r="A1349" t="s">
        <v>139</v>
      </c>
      <c r="B1349" t="s">
        <v>1607</v>
      </c>
      <c r="C1349" t="s">
        <v>1092</v>
      </c>
      <c r="D1349" t="s">
        <v>1223</v>
      </c>
      <c r="E1349">
        <v>457231.75</v>
      </c>
      <c r="F1349">
        <v>289916</v>
      </c>
      <c r="G1349" t="s">
        <v>1109</v>
      </c>
      <c r="H1349" t="s">
        <v>18</v>
      </c>
    </row>
    <row r="1350" spans="1:8" x14ac:dyDescent="0.2">
      <c r="A1350" t="s">
        <v>139</v>
      </c>
      <c r="B1350" t="s">
        <v>1608</v>
      </c>
      <c r="C1350" t="s">
        <v>1092</v>
      </c>
      <c r="D1350" t="s">
        <v>1223</v>
      </c>
      <c r="E1350">
        <v>20106.488000000001</v>
      </c>
      <c r="F1350">
        <v>15164</v>
      </c>
      <c r="G1350" t="s">
        <v>1109</v>
      </c>
      <c r="H1350" t="s">
        <v>18</v>
      </c>
    </row>
    <row r="1351" spans="1:8" x14ac:dyDescent="0.2">
      <c r="A1351" t="s">
        <v>139</v>
      </c>
      <c r="B1351" t="s">
        <v>1099</v>
      </c>
      <c r="C1351" t="s">
        <v>1100</v>
      </c>
      <c r="D1351" t="s">
        <v>35</v>
      </c>
      <c r="E1351">
        <v>1474357.389</v>
      </c>
      <c r="F1351">
        <v>924266</v>
      </c>
      <c r="G1351" t="s">
        <v>35</v>
      </c>
      <c r="H1351" t="s">
        <v>18</v>
      </c>
    </row>
    <row r="1352" spans="1:8" x14ac:dyDescent="0.2">
      <c r="A1352" t="s">
        <v>161</v>
      </c>
      <c r="B1352" t="s">
        <v>1609</v>
      </c>
      <c r="C1352" t="s">
        <v>1092</v>
      </c>
      <c r="D1352" t="s">
        <v>1096</v>
      </c>
      <c r="E1352">
        <v>22014.409926</v>
      </c>
      <c r="F1352">
        <v>26435</v>
      </c>
      <c r="G1352" t="s">
        <v>1610</v>
      </c>
      <c r="H1352" t="s">
        <v>18</v>
      </c>
    </row>
    <row r="1353" spans="1:8" x14ac:dyDescent="0.2">
      <c r="A1353" t="s">
        <v>161</v>
      </c>
      <c r="B1353" t="s">
        <v>1099</v>
      </c>
      <c r="C1353" t="s">
        <v>1100</v>
      </c>
      <c r="D1353" t="s">
        <v>35</v>
      </c>
      <c r="E1353">
        <v>22014.409926</v>
      </c>
      <c r="F1353">
        <v>26435</v>
      </c>
      <c r="G1353" t="s">
        <v>35</v>
      </c>
      <c r="H1353" t="s">
        <v>18</v>
      </c>
    </row>
    <row r="1354" spans="1:8" x14ac:dyDescent="0.2">
      <c r="A1354" t="s">
        <v>1611</v>
      </c>
      <c r="B1354" t="s">
        <v>1612</v>
      </c>
      <c r="C1354" t="s">
        <v>1092</v>
      </c>
      <c r="D1354" t="s">
        <v>1215</v>
      </c>
      <c r="E1354">
        <v>16751.311000000002</v>
      </c>
      <c r="F1354">
        <v>0</v>
      </c>
      <c r="G1354" t="s">
        <v>1093</v>
      </c>
      <c r="H1354" t="s">
        <v>18</v>
      </c>
    </row>
    <row r="1355" spans="1:8" x14ac:dyDescent="0.2">
      <c r="A1355" t="s">
        <v>1611</v>
      </c>
      <c r="B1355" t="s">
        <v>1613</v>
      </c>
      <c r="C1355" t="s">
        <v>1092</v>
      </c>
      <c r="D1355" t="s">
        <v>1215</v>
      </c>
      <c r="E1355">
        <v>38212</v>
      </c>
      <c r="F1355">
        <v>0</v>
      </c>
      <c r="G1355" t="s">
        <v>1093</v>
      </c>
      <c r="H1355" t="s">
        <v>18</v>
      </c>
    </row>
    <row r="1356" spans="1:8" x14ac:dyDescent="0.2">
      <c r="A1356" t="s">
        <v>1611</v>
      </c>
      <c r="B1356" t="s">
        <v>1614</v>
      </c>
      <c r="C1356" t="s">
        <v>1092</v>
      </c>
      <c r="D1356" t="s">
        <v>1215</v>
      </c>
      <c r="E1356">
        <v>44736.762999999999</v>
      </c>
      <c r="F1356">
        <v>0</v>
      </c>
      <c r="G1356" t="s">
        <v>1093</v>
      </c>
      <c r="H1356" t="s">
        <v>18</v>
      </c>
    </row>
    <row r="1357" spans="1:8" x14ac:dyDescent="0.2">
      <c r="A1357" t="s">
        <v>1611</v>
      </c>
      <c r="B1357" t="s">
        <v>1615</v>
      </c>
      <c r="C1357" t="s">
        <v>1092</v>
      </c>
      <c r="D1357" t="s">
        <v>1215</v>
      </c>
      <c r="E1357">
        <v>26506.588</v>
      </c>
      <c r="F1357">
        <v>0</v>
      </c>
      <c r="G1357" t="s">
        <v>1093</v>
      </c>
      <c r="H1357" t="s">
        <v>18</v>
      </c>
    </row>
    <row r="1358" spans="1:8" x14ac:dyDescent="0.2">
      <c r="A1358" t="s">
        <v>1611</v>
      </c>
      <c r="B1358" t="s">
        <v>1616</v>
      </c>
      <c r="C1358" t="s">
        <v>1092</v>
      </c>
      <c r="D1358" t="s">
        <v>1215</v>
      </c>
      <c r="E1358">
        <v>60234.35</v>
      </c>
      <c r="F1358">
        <v>0</v>
      </c>
      <c r="G1358" t="s">
        <v>1093</v>
      </c>
      <c r="H1358" t="s">
        <v>18</v>
      </c>
    </row>
    <row r="1359" spans="1:8" x14ac:dyDescent="0.2">
      <c r="A1359" t="s">
        <v>1611</v>
      </c>
      <c r="B1359" t="s">
        <v>1099</v>
      </c>
      <c r="C1359" t="s">
        <v>1100</v>
      </c>
      <c r="D1359" t="s">
        <v>35</v>
      </c>
      <c r="E1359">
        <v>186441.01199999999</v>
      </c>
      <c r="F1359">
        <v>0</v>
      </c>
      <c r="G1359" t="s">
        <v>35</v>
      </c>
      <c r="H1359" t="s">
        <v>18</v>
      </c>
    </row>
    <row r="1360" spans="1:8" x14ac:dyDescent="0.2">
      <c r="A1360" t="s">
        <v>137</v>
      </c>
      <c r="B1360" t="s">
        <v>1617</v>
      </c>
      <c r="C1360" t="s">
        <v>1092</v>
      </c>
      <c r="D1360" t="s">
        <v>1061</v>
      </c>
      <c r="E1360">
        <v>86394.518000000011</v>
      </c>
      <c r="F1360">
        <v>54975</v>
      </c>
      <c r="G1360" t="s">
        <v>1109</v>
      </c>
      <c r="H1360" t="s">
        <v>18</v>
      </c>
    </row>
    <row r="1361" spans="1:8" x14ac:dyDescent="0.2">
      <c r="A1361" t="s">
        <v>137</v>
      </c>
      <c r="B1361" t="s">
        <v>1099</v>
      </c>
      <c r="C1361" t="s">
        <v>1100</v>
      </c>
      <c r="D1361" t="s">
        <v>35</v>
      </c>
      <c r="E1361">
        <v>86394.518000000011</v>
      </c>
      <c r="F1361">
        <v>54975</v>
      </c>
      <c r="G1361" t="s">
        <v>35</v>
      </c>
      <c r="H1361" t="s">
        <v>18</v>
      </c>
    </row>
    <row r="1362" spans="1:8" x14ac:dyDescent="0.2">
      <c r="A1362" t="s">
        <v>439</v>
      </c>
      <c r="B1362" t="s">
        <v>1618</v>
      </c>
      <c r="C1362" t="s">
        <v>1092</v>
      </c>
      <c r="D1362" t="s">
        <v>1096</v>
      </c>
      <c r="E1362">
        <v>11538.08</v>
      </c>
      <c r="F1362">
        <v>0</v>
      </c>
      <c r="G1362" t="s">
        <v>1107</v>
      </c>
      <c r="H1362" t="s">
        <v>18</v>
      </c>
    </row>
    <row r="1363" spans="1:8" x14ac:dyDescent="0.2">
      <c r="A1363" t="s">
        <v>439</v>
      </c>
      <c r="B1363" t="s">
        <v>1620</v>
      </c>
      <c r="C1363" t="s">
        <v>1092</v>
      </c>
      <c r="D1363" t="s">
        <v>1126</v>
      </c>
      <c r="E1363">
        <v>0</v>
      </c>
      <c r="F1363">
        <v>0</v>
      </c>
      <c r="G1363" t="s">
        <v>1191</v>
      </c>
      <c r="H1363" t="s">
        <v>18</v>
      </c>
    </row>
    <row r="1364" spans="1:8" x14ac:dyDescent="0.2">
      <c r="A1364" t="s">
        <v>439</v>
      </c>
      <c r="B1364" t="s">
        <v>1621</v>
      </c>
      <c r="C1364" t="s">
        <v>1092</v>
      </c>
      <c r="D1364" t="s">
        <v>1126</v>
      </c>
      <c r="E1364">
        <v>3222.181</v>
      </c>
      <c r="F1364">
        <v>2256</v>
      </c>
      <c r="G1364" t="s">
        <v>1236</v>
      </c>
      <c r="H1364" t="s">
        <v>18</v>
      </c>
    </row>
    <row r="1365" spans="1:8" x14ac:dyDescent="0.2">
      <c r="A1365" t="s">
        <v>439</v>
      </c>
      <c r="B1365" t="s">
        <v>1622</v>
      </c>
      <c r="C1365" t="s">
        <v>1092</v>
      </c>
      <c r="D1365" t="s">
        <v>1126</v>
      </c>
      <c r="E1365">
        <v>80529.502999999997</v>
      </c>
      <c r="F1365">
        <v>24364</v>
      </c>
      <c r="G1365" t="s">
        <v>1109</v>
      </c>
      <c r="H1365" t="s">
        <v>18</v>
      </c>
    </row>
    <row r="1366" spans="1:8" x14ac:dyDescent="0.2">
      <c r="A1366" t="s">
        <v>439</v>
      </c>
      <c r="B1366" t="s">
        <v>1891</v>
      </c>
      <c r="C1366" t="s">
        <v>1092</v>
      </c>
      <c r="D1366" t="s">
        <v>1126</v>
      </c>
      <c r="E1366">
        <v>25832.487999999998</v>
      </c>
      <c r="F1366">
        <v>17771</v>
      </c>
      <c r="G1366" t="s">
        <v>1109</v>
      </c>
      <c r="H1366" t="s">
        <v>18</v>
      </c>
    </row>
    <row r="1367" spans="1:8" x14ac:dyDescent="0.2">
      <c r="A1367" t="s">
        <v>439</v>
      </c>
      <c r="B1367" t="s">
        <v>1623</v>
      </c>
      <c r="C1367" t="s">
        <v>1092</v>
      </c>
      <c r="D1367" t="s">
        <v>1126</v>
      </c>
      <c r="E1367">
        <v>594.51800000000003</v>
      </c>
      <c r="F1367">
        <v>0</v>
      </c>
      <c r="G1367" t="s">
        <v>1103</v>
      </c>
      <c r="H1367" t="s">
        <v>18</v>
      </c>
    </row>
    <row r="1368" spans="1:8" x14ac:dyDescent="0.2">
      <c r="A1368" t="s">
        <v>439</v>
      </c>
      <c r="B1368" t="s">
        <v>1624</v>
      </c>
      <c r="C1368" t="s">
        <v>1092</v>
      </c>
      <c r="D1368" t="s">
        <v>1126</v>
      </c>
      <c r="E1368">
        <v>5389.7190000000001</v>
      </c>
      <c r="F1368">
        <v>3791</v>
      </c>
      <c r="G1368" t="s">
        <v>1236</v>
      </c>
      <c r="H1368" t="s">
        <v>18</v>
      </c>
    </row>
    <row r="1369" spans="1:8" x14ac:dyDescent="0.2">
      <c r="A1369" t="s">
        <v>439</v>
      </c>
      <c r="B1369" t="s">
        <v>1625</v>
      </c>
      <c r="C1369" t="s">
        <v>1092</v>
      </c>
      <c r="D1369" t="s">
        <v>1126</v>
      </c>
      <c r="E1369">
        <v>4405.7150000000001</v>
      </c>
      <c r="F1369">
        <v>2517</v>
      </c>
      <c r="G1369" t="s">
        <v>1109</v>
      </c>
      <c r="H1369" t="s">
        <v>18</v>
      </c>
    </row>
    <row r="1370" spans="1:8" x14ac:dyDescent="0.2">
      <c r="A1370" t="s">
        <v>439</v>
      </c>
      <c r="B1370" t="s">
        <v>1626</v>
      </c>
      <c r="C1370" t="s">
        <v>1092</v>
      </c>
      <c r="D1370" t="s">
        <v>1126</v>
      </c>
      <c r="E1370">
        <v>4131.8369999999995</v>
      </c>
      <c r="F1370">
        <v>2751</v>
      </c>
      <c r="G1370" t="s">
        <v>1236</v>
      </c>
      <c r="H1370" t="s">
        <v>18</v>
      </c>
    </row>
    <row r="1371" spans="1:8" x14ac:dyDescent="0.2">
      <c r="A1371" t="s">
        <v>439</v>
      </c>
      <c r="B1371" t="s">
        <v>1627</v>
      </c>
      <c r="C1371" t="s">
        <v>1092</v>
      </c>
      <c r="D1371" t="s">
        <v>1096</v>
      </c>
      <c r="E1371">
        <v>11419</v>
      </c>
      <c r="F1371">
        <v>5599</v>
      </c>
      <c r="G1371" t="s">
        <v>1109</v>
      </c>
      <c r="H1371" t="s">
        <v>18</v>
      </c>
    </row>
    <row r="1372" spans="1:8" x14ac:dyDescent="0.2">
      <c r="A1372" t="s">
        <v>439</v>
      </c>
      <c r="B1372" t="s">
        <v>1628</v>
      </c>
      <c r="C1372" t="s">
        <v>1092</v>
      </c>
      <c r="D1372" t="s">
        <v>1126</v>
      </c>
      <c r="E1372">
        <v>555.09799999999996</v>
      </c>
      <c r="F1372">
        <v>479</v>
      </c>
      <c r="G1372" t="s">
        <v>1236</v>
      </c>
      <c r="H1372" t="s">
        <v>18</v>
      </c>
    </row>
    <row r="1373" spans="1:8" x14ac:dyDescent="0.2">
      <c r="A1373" t="s">
        <v>439</v>
      </c>
      <c r="B1373" t="s">
        <v>1629</v>
      </c>
      <c r="C1373" t="s">
        <v>1092</v>
      </c>
      <c r="D1373" t="s">
        <v>1126</v>
      </c>
      <c r="E1373">
        <v>2122.355</v>
      </c>
      <c r="F1373">
        <v>1513</v>
      </c>
      <c r="G1373" t="s">
        <v>1236</v>
      </c>
      <c r="H1373" t="s">
        <v>18</v>
      </c>
    </row>
    <row r="1374" spans="1:8" x14ac:dyDescent="0.2">
      <c r="A1374" t="s">
        <v>439</v>
      </c>
      <c r="B1374" t="s">
        <v>1630</v>
      </c>
      <c r="C1374" t="s">
        <v>1092</v>
      </c>
      <c r="D1374" t="s">
        <v>1126</v>
      </c>
      <c r="E1374">
        <v>707.29100000000005</v>
      </c>
      <c r="F1374">
        <v>667</v>
      </c>
      <c r="G1374" t="s">
        <v>1236</v>
      </c>
      <c r="H1374" t="s">
        <v>18</v>
      </c>
    </row>
    <row r="1375" spans="1:8" x14ac:dyDescent="0.2">
      <c r="A1375" t="s">
        <v>439</v>
      </c>
      <c r="B1375" t="s">
        <v>1099</v>
      </c>
      <c r="C1375" t="s">
        <v>1100</v>
      </c>
      <c r="D1375" t="s">
        <v>35</v>
      </c>
      <c r="E1375">
        <v>150447.78499999997</v>
      </c>
      <c r="F1375">
        <v>61708</v>
      </c>
      <c r="G1375" t="s">
        <v>35</v>
      </c>
      <c r="H1375" t="s">
        <v>18</v>
      </c>
    </row>
    <row r="1376" spans="1:8" x14ac:dyDescent="0.2">
      <c r="A1376" t="s">
        <v>951</v>
      </c>
      <c r="B1376" t="s">
        <v>1892</v>
      </c>
      <c r="C1376" t="s">
        <v>1092</v>
      </c>
      <c r="D1376" t="s">
        <v>1061</v>
      </c>
      <c r="E1376">
        <v>30030.895000000004</v>
      </c>
      <c r="F1376">
        <v>16227</v>
      </c>
      <c r="G1376" t="s">
        <v>1144</v>
      </c>
      <c r="H1376" t="s">
        <v>18</v>
      </c>
    </row>
    <row r="1377" spans="1:8" x14ac:dyDescent="0.2">
      <c r="A1377" t="s">
        <v>951</v>
      </c>
      <c r="B1377" t="s">
        <v>1099</v>
      </c>
      <c r="C1377" t="s">
        <v>1100</v>
      </c>
      <c r="D1377" t="s">
        <v>35</v>
      </c>
      <c r="E1377">
        <v>30030.895000000004</v>
      </c>
      <c r="F1377">
        <v>16227</v>
      </c>
      <c r="G1377" t="s">
        <v>35</v>
      </c>
      <c r="H1377" t="s">
        <v>18</v>
      </c>
    </row>
    <row r="1378" spans="1:8" x14ac:dyDescent="0.2">
      <c r="A1378" t="s">
        <v>1631</v>
      </c>
      <c r="B1378" t="s">
        <v>1632</v>
      </c>
      <c r="C1378" t="s">
        <v>1092</v>
      </c>
      <c r="D1378" t="s">
        <v>1052</v>
      </c>
      <c r="E1378">
        <v>11661.8</v>
      </c>
      <c r="F1378">
        <v>0</v>
      </c>
      <c r="G1378" t="s">
        <v>1103</v>
      </c>
      <c r="H1378" t="s">
        <v>18</v>
      </c>
    </row>
    <row r="1379" spans="1:8" x14ac:dyDescent="0.2">
      <c r="A1379" t="s">
        <v>1631</v>
      </c>
      <c r="B1379" t="s">
        <v>1893</v>
      </c>
      <c r="C1379" t="s">
        <v>1092</v>
      </c>
      <c r="D1379" t="s">
        <v>1052</v>
      </c>
      <c r="E1379">
        <v>8683.8639999999996</v>
      </c>
      <c r="F1379">
        <v>0</v>
      </c>
      <c r="G1379" t="s">
        <v>1103</v>
      </c>
      <c r="H1379" t="s">
        <v>18</v>
      </c>
    </row>
    <row r="1380" spans="1:8" x14ac:dyDescent="0.2">
      <c r="A1380" t="s">
        <v>1631</v>
      </c>
      <c r="B1380" t="s">
        <v>1633</v>
      </c>
      <c r="C1380" t="s">
        <v>1092</v>
      </c>
      <c r="D1380" t="s">
        <v>1052</v>
      </c>
      <c r="E1380">
        <v>1714.4680000000001</v>
      </c>
      <c r="F1380">
        <v>0</v>
      </c>
      <c r="G1380" t="s">
        <v>1103</v>
      </c>
      <c r="H1380" t="s">
        <v>18</v>
      </c>
    </row>
    <row r="1381" spans="1:8" x14ac:dyDescent="0.2">
      <c r="A1381" t="s">
        <v>1631</v>
      </c>
      <c r="B1381" t="s">
        <v>1634</v>
      </c>
      <c r="C1381" t="s">
        <v>1092</v>
      </c>
      <c r="D1381" t="s">
        <v>1096</v>
      </c>
      <c r="E1381">
        <v>27228.666000000001</v>
      </c>
      <c r="F1381">
        <v>0</v>
      </c>
      <c r="G1381" t="s">
        <v>1093</v>
      </c>
      <c r="H1381" t="s">
        <v>18</v>
      </c>
    </row>
    <row r="1382" spans="1:8" x14ac:dyDescent="0.2">
      <c r="A1382" t="s">
        <v>1631</v>
      </c>
      <c r="B1382" t="s">
        <v>1635</v>
      </c>
      <c r="C1382" t="s">
        <v>1092</v>
      </c>
      <c r="D1382" t="s">
        <v>1096</v>
      </c>
      <c r="E1382">
        <v>30459.767</v>
      </c>
      <c r="F1382">
        <v>0</v>
      </c>
      <c r="G1382" t="s">
        <v>1093</v>
      </c>
      <c r="H1382" t="s">
        <v>18</v>
      </c>
    </row>
    <row r="1383" spans="1:8" x14ac:dyDescent="0.2">
      <c r="A1383" t="s">
        <v>1631</v>
      </c>
      <c r="B1383" t="s">
        <v>1099</v>
      </c>
      <c r="C1383" t="s">
        <v>1100</v>
      </c>
      <c r="D1383" t="s">
        <v>35</v>
      </c>
      <c r="E1383">
        <v>79748.564999999988</v>
      </c>
      <c r="F1383">
        <v>0</v>
      </c>
      <c r="G1383" t="s">
        <v>35</v>
      </c>
      <c r="H1383" t="s">
        <v>18</v>
      </c>
    </row>
    <row r="1384" spans="1:8" x14ac:dyDescent="0.2">
      <c r="A1384" t="s">
        <v>181</v>
      </c>
      <c r="B1384" t="s">
        <v>1636</v>
      </c>
      <c r="C1384" t="s">
        <v>1092</v>
      </c>
      <c r="D1384" t="s">
        <v>1058</v>
      </c>
      <c r="E1384">
        <v>538737.00783999998</v>
      </c>
      <c r="F1384">
        <v>34</v>
      </c>
      <c r="G1384" t="s">
        <v>1103</v>
      </c>
      <c r="H1384" t="s">
        <v>18</v>
      </c>
    </row>
    <row r="1385" spans="1:8" x14ac:dyDescent="0.2">
      <c r="A1385" t="s">
        <v>181</v>
      </c>
      <c r="B1385" t="s">
        <v>1637</v>
      </c>
      <c r="C1385" t="s">
        <v>1092</v>
      </c>
      <c r="D1385" t="s">
        <v>1126</v>
      </c>
      <c r="E1385">
        <v>111900</v>
      </c>
      <c r="F1385">
        <v>67001</v>
      </c>
      <c r="G1385" t="s">
        <v>1109</v>
      </c>
      <c r="H1385" t="s">
        <v>18</v>
      </c>
    </row>
    <row r="1386" spans="1:8" x14ac:dyDescent="0.2">
      <c r="A1386" t="s">
        <v>181</v>
      </c>
      <c r="B1386" t="s">
        <v>1638</v>
      </c>
      <c r="C1386" t="s">
        <v>1092</v>
      </c>
      <c r="D1386" t="s">
        <v>1061</v>
      </c>
      <c r="E1386">
        <v>453345.17963999999</v>
      </c>
      <c r="F1386">
        <v>46</v>
      </c>
      <c r="G1386" t="s">
        <v>1093</v>
      </c>
      <c r="H1386" t="s">
        <v>18</v>
      </c>
    </row>
    <row r="1387" spans="1:8" x14ac:dyDescent="0.2">
      <c r="A1387" t="s">
        <v>181</v>
      </c>
      <c r="B1387" t="s">
        <v>1639</v>
      </c>
      <c r="C1387" t="s">
        <v>1092</v>
      </c>
      <c r="D1387" t="s">
        <v>1061</v>
      </c>
      <c r="E1387">
        <v>81177.799999999988</v>
      </c>
      <c r="F1387">
        <v>15</v>
      </c>
      <c r="G1387" t="s">
        <v>1103</v>
      </c>
      <c r="H1387" t="s">
        <v>18</v>
      </c>
    </row>
    <row r="1388" spans="1:8" x14ac:dyDescent="0.2">
      <c r="A1388" t="s">
        <v>181</v>
      </c>
      <c r="B1388" t="s">
        <v>1640</v>
      </c>
      <c r="C1388" t="s">
        <v>1092</v>
      </c>
      <c r="D1388" t="s">
        <v>1052</v>
      </c>
      <c r="E1388">
        <v>84039.247969999997</v>
      </c>
      <c r="F1388">
        <v>34</v>
      </c>
      <c r="G1388" t="s">
        <v>1093</v>
      </c>
      <c r="H1388" t="s">
        <v>18</v>
      </c>
    </row>
    <row r="1389" spans="1:8" x14ac:dyDescent="0.2">
      <c r="A1389" t="s">
        <v>181</v>
      </c>
      <c r="B1389" t="s">
        <v>1641</v>
      </c>
      <c r="C1389" t="s">
        <v>1092</v>
      </c>
      <c r="D1389" t="s">
        <v>1096</v>
      </c>
      <c r="E1389">
        <v>42002.362359999999</v>
      </c>
      <c r="F1389">
        <v>25</v>
      </c>
      <c r="G1389" t="s">
        <v>1093</v>
      </c>
      <c r="H1389" t="s">
        <v>18</v>
      </c>
    </row>
    <row r="1390" spans="1:8" x14ac:dyDescent="0.2">
      <c r="A1390" t="s">
        <v>181</v>
      </c>
      <c r="B1390" t="s">
        <v>1642</v>
      </c>
      <c r="C1390" t="s">
        <v>1092</v>
      </c>
      <c r="D1390" t="s">
        <v>1061</v>
      </c>
      <c r="E1390">
        <v>214077</v>
      </c>
      <c r="F1390">
        <v>116748</v>
      </c>
      <c r="G1390" t="s">
        <v>1144</v>
      </c>
      <c r="H1390" t="s">
        <v>18</v>
      </c>
    </row>
    <row r="1391" spans="1:8" x14ac:dyDescent="0.2">
      <c r="A1391" t="s">
        <v>181</v>
      </c>
      <c r="B1391" t="s">
        <v>1643</v>
      </c>
      <c r="C1391" t="s">
        <v>1092</v>
      </c>
      <c r="D1391" t="s">
        <v>1061</v>
      </c>
      <c r="E1391">
        <v>21003.755999999998</v>
      </c>
      <c r="F1391">
        <v>16</v>
      </c>
      <c r="G1391" t="s">
        <v>1093</v>
      </c>
      <c r="H1391" t="s">
        <v>18</v>
      </c>
    </row>
    <row r="1392" spans="1:8" x14ac:dyDescent="0.2">
      <c r="A1392" t="s">
        <v>181</v>
      </c>
      <c r="B1392" t="s">
        <v>1099</v>
      </c>
      <c r="C1392" t="s">
        <v>1100</v>
      </c>
      <c r="D1392" t="s">
        <v>35</v>
      </c>
      <c r="E1392">
        <v>1546282.35381</v>
      </c>
      <c r="F1392">
        <v>183919</v>
      </c>
      <c r="G1392" t="s">
        <v>35</v>
      </c>
      <c r="H1392" t="s">
        <v>18</v>
      </c>
    </row>
    <row r="1393" spans="1:8" x14ac:dyDescent="0.2">
      <c r="A1393" t="s">
        <v>557</v>
      </c>
      <c r="B1393" t="s">
        <v>1894</v>
      </c>
      <c r="C1393" t="s">
        <v>1092</v>
      </c>
      <c r="D1393" t="s">
        <v>1126</v>
      </c>
      <c r="E1393">
        <v>875.56766000000005</v>
      </c>
      <c r="F1393">
        <v>674</v>
      </c>
      <c r="G1393" t="s">
        <v>1236</v>
      </c>
      <c r="H1393" t="s">
        <v>18</v>
      </c>
    </row>
    <row r="1394" spans="1:8" x14ac:dyDescent="0.2">
      <c r="A1394" t="s">
        <v>557</v>
      </c>
      <c r="B1394" t="s">
        <v>1895</v>
      </c>
      <c r="C1394" t="s">
        <v>1092</v>
      </c>
      <c r="D1394" t="s">
        <v>1126</v>
      </c>
      <c r="E1394">
        <v>741.33617099999992</v>
      </c>
      <c r="F1394">
        <v>581</v>
      </c>
      <c r="G1394" t="s">
        <v>1236</v>
      </c>
      <c r="H1394" t="s">
        <v>18</v>
      </c>
    </row>
    <row r="1395" spans="1:8" x14ac:dyDescent="0.2">
      <c r="A1395" t="s">
        <v>557</v>
      </c>
      <c r="B1395" t="s">
        <v>1896</v>
      </c>
      <c r="C1395" t="s">
        <v>1092</v>
      </c>
      <c r="D1395" t="s">
        <v>1126</v>
      </c>
      <c r="E1395">
        <v>1369.792234</v>
      </c>
      <c r="F1395">
        <v>1061</v>
      </c>
      <c r="G1395" t="s">
        <v>1236</v>
      </c>
      <c r="H1395" t="s">
        <v>18</v>
      </c>
    </row>
    <row r="1396" spans="1:8" x14ac:dyDescent="0.2">
      <c r="A1396" t="s">
        <v>557</v>
      </c>
      <c r="B1396" t="s">
        <v>1644</v>
      </c>
      <c r="C1396" t="s">
        <v>1092</v>
      </c>
      <c r="D1396" t="s">
        <v>1126</v>
      </c>
      <c r="E1396">
        <v>797.94763699999999</v>
      </c>
      <c r="F1396">
        <v>924</v>
      </c>
      <c r="G1396" t="s">
        <v>1236</v>
      </c>
      <c r="H1396" t="s">
        <v>18</v>
      </c>
    </row>
    <row r="1397" spans="1:8" x14ac:dyDescent="0.2">
      <c r="A1397" t="s">
        <v>557</v>
      </c>
      <c r="B1397" t="s">
        <v>1645</v>
      </c>
      <c r="C1397" t="s">
        <v>1092</v>
      </c>
      <c r="D1397" t="s">
        <v>1126</v>
      </c>
      <c r="E1397">
        <v>905.33400000000006</v>
      </c>
      <c r="F1397">
        <v>666</v>
      </c>
      <c r="G1397" t="s">
        <v>1236</v>
      </c>
      <c r="H1397" t="s">
        <v>18</v>
      </c>
    </row>
    <row r="1398" spans="1:8" x14ac:dyDescent="0.2">
      <c r="A1398" t="s">
        <v>557</v>
      </c>
      <c r="B1398" t="s">
        <v>1646</v>
      </c>
      <c r="C1398" t="s">
        <v>1092</v>
      </c>
      <c r="D1398" t="s">
        <v>1126</v>
      </c>
      <c r="E1398">
        <v>41720.601999999999</v>
      </c>
      <c r="F1398">
        <v>24637</v>
      </c>
      <c r="G1398" t="s">
        <v>1109</v>
      </c>
      <c r="H1398" t="s">
        <v>18</v>
      </c>
    </row>
    <row r="1399" spans="1:8" x14ac:dyDescent="0.2">
      <c r="A1399" t="s">
        <v>557</v>
      </c>
      <c r="B1399" t="s">
        <v>1647</v>
      </c>
      <c r="C1399" t="s">
        <v>1092</v>
      </c>
      <c r="D1399" t="s">
        <v>1126</v>
      </c>
      <c r="E1399">
        <v>437.02699999999999</v>
      </c>
      <c r="F1399">
        <v>333</v>
      </c>
      <c r="G1399" t="s">
        <v>1236</v>
      </c>
      <c r="H1399" t="s">
        <v>18</v>
      </c>
    </row>
    <row r="1400" spans="1:8" x14ac:dyDescent="0.2">
      <c r="A1400" t="s">
        <v>557</v>
      </c>
      <c r="B1400" t="s">
        <v>1897</v>
      </c>
      <c r="C1400" t="s">
        <v>1092</v>
      </c>
      <c r="D1400" t="s">
        <v>1126</v>
      </c>
      <c r="E1400">
        <v>6194.8106349999989</v>
      </c>
      <c r="F1400">
        <v>2839</v>
      </c>
      <c r="G1400" t="s">
        <v>1236</v>
      </c>
      <c r="H1400" t="s">
        <v>18</v>
      </c>
    </row>
    <row r="1401" spans="1:8" x14ac:dyDescent="0.2">
      <c r="A1401" t="s">
        <v>557</v>
      </c>
      <c r="B1401" t="s">
        <v>1898</v>
      </c>
      <c r="C1401" t="s">
        <v>1092</v>
      </c>
      <c r="D1401" t="s">
        <v>1126</v>
      </c>
      <c r="E1401">
        <v>918.43594700000006</v>
      </c>
      <c r="F1401">
        <v>712</v>
      </c>
      <c r="G1401" t="s">
        <v>1236</v>
      </c>
      <c r="H1401" t="s">
        <v>18</v>
      </c>
    </row>
    <row r="1402" spans="1:8" x14ac:dyDescent="0.2">
      <c r="A1402" t="s">
        <v>557</v>
      </c>
      <c r="B1402" t="s">
        <v>1649</v>
      </c>
      <c r="C1402" t="s">
        <v>1092</v>
      </c>
      <c r="D1402" t="s">
        <v>1126</v>
      </c>
      <c r="E1402">
        <v>759.36799999999994</v>
      </c>
      <c r="F1402">
        <v>583</v>
      </c>
      <c r="G1402" t="s">
        <v>1236</v>
      </c>
      <c r="H1402" t="s">
        <v>18</v>
      </c>
    </row>
    <row r="1403" spans="1:8" x14ac:dyDescent="0.2">
      <c r="A1403" t="s">
        <v>557</v>
      </c>
      <c r="B1403" t="s">
        <v>1650</v>
      </c>
      <c r="C1403" t="s">
        <v>1092</v>
      </c>
      <c r="D1403" t="s">
        <v>1126</v>
      </c>
      <c r="E1403">
        <v>789.35299999999995</v>
      </c>
      <c r="F1403">
        <v>618</v>
      </c>
      <c r="G1403" t="s">
        <v>1236</v>
      </c>
      <c r="H1403" t="s">
        <v>18</v>
      </c>
    </row>
    <row r="1404" spans="1:8" x14ac:dyDescent="0.2">
      <c r="A1404" t="s">
        <v>557</v>
      </c>
      <c r="B1404" t="s">
        <v>1651</v>
      </c>
      <c r="C1404" t="s">
        <v>1092</v>
      </c>
      <c r="D1404" t="s">
        <v>1126</v>
      </c>
      <c r="E1404">
        <v>328.20299999999997</v>
      </c>
      <c r="F1404">
        <v>405</v>
      </c>
      <c r="G1404" t="s">
        <v>1236</v>
      </c>
      <c r="H1404" t="s">
        <v>18</v>
      </c>
    </row>
    <row r="1405" spans="1:8" x14ac:dyDescent="0.2">
      <c r="A1405" t="s">
        <v>557</v>
      </c>
      <c r="B1405" t="s">
        <v>1652</v>
      </c>
      <c r="C1405" t="s">
        <v>1092</v>
      </c>
      <c r="D1405" t="s">
        <v>1126</v>
      </c>
      <c r="E1405">
        <v>2172.88</v>
      </c>
      <c r="F1405">
        <v>1268</v>
      </c>
      <c r="G1405" t="s">
        <v>1236</v>
      </c>
      <c r="H1405" t="s">
        <v>18</v>
      </c>
    </row>
    <row r="1406" spans="1:8" x14ac:dyDescent="0.2">
      <c r="A1406" t="s">
        <v>557</v>
      </c>
      <c r="B1406" t="s">
        <v>1653</v>
      </c>
      <c r="C1406" t="s">
        <v>1092</v>
      </c>
      <c r="D1406" t="s">
        <v>1126</v>
      </c>
      <c r="E1406">
        <v>2487.721</v>
      </c>
      <c r="F1406">
        <v>1078</v>
      </c>
      <c r="G1406" t="s">
        <v>1236</v>
      </c>
      <c r="H1406" t="s">
        <v>18</v>
      </c>
    </row>
    <row r="1407" spans="1:8" x14ac:dyDescent="0.2">
      <c r="A1407" t="s">
        <v>557</v>
      </c>
      <c r="B1407" t="s">
        <v>1899</v>
      </c>
      <c r="C1407" t="s">
        <v>1092</v>
      </c>
      <c r="D1407" t="s">
        <v>1126</v>
      </c>
      <c r="E1407">
        <v>463.33500000000004</v>
      </c>
      <c r="F1407">
        <v>346</v>
      </c>
      <c r="G1407" t="s">
        <v>1236</v>
      </c>
      <c r="H1407" t="s">
        <v>18</v>
      </c>
    </row>
    <row r="1408" spans="1:8" x14ac:dyDescent="0.2">
      <c r="A1408" t="s">
        <v>557</v>
      </c>
      <c r="B1408" t="s">
        <v>1654</v>
      </c>
      <c r="C1408" t="s">
        <v>1092</v>
      </c>
      <c r="D1408" t="s">
        <v>1126</v>
      </c>
      <c r="E1408">
        <v>4.1536860000000004</v>
      </c>
      <c r="F1408">
        <v>149</v>
      </c>
      <c r="G1408" t="s">
        <v>1109</v>
      </c>
      <c r="H1408" t="s">
        <v>18</v>
      </c>
    </row>
    <row r="1409" spans="1:8" x14ac:dyDescent="0.2">
      <c r="A1409" t="s">
        <v>557</v>
      </c>
      <c r="B1409" t="s">
        <v>1655</v>
      </c>
      <c r="C1409" t="s">
        <v>1092</v>
      </c>
      <c r="D1409" t="s">
        <v>1126</v>
      </c>
      <c r="E1409">
        <v>968.42700000000002</v>
      </c>
      <c r="F1409">
        <v>637</v>
      </c>
      <c r="G1409" t="s">
        <v>1236</v>
      </c>
      <c r="H1409" t="s">
        <v>18</v>
      </c>
    </row>
    <row r="1410" spans="1:8" x14ac:dyDescent="0.2">
      <c r="A1410" t="s">
        <v>557</v>
      </c>
      <c r="B1410" t="s">
        <v>1656</v>
      </c>
      <c r="C1410" t="s">
        <v>1092</v>
      </c>
      <c r="D1410" t="s">
        <v>1126</v>
      </c>
      <c r="E1410">
        <v>526.375</v>
      </c>
      <c r="F1410">
        <v>392</v>
      </c>
      <c r="G1410" t="s">
        <v>1236</v>
      </c>
      <c r="H1410" t="s">
        <v>18</v>
      </c>
    </row>
    <row r="1411" spans="1:8" x14ac:dyDescent="0.2">
      <c r="A1411" t="s">
        <v>557</v>
      </c>
      <c r="B1411" t="s">
        <v>1900</v>
      </c>
      <c r="C1411" t="s">
        <v>1092</v>
      </c>
      <c r="D1411" t="s">
        <v>1126</v>
      </c>
      <c r="E1411">
        <v>313.78100000000001</v>
      </c>
      <c r="F1411">
        <v>379</v>
      </c>
      <c r="G1411" t="s">
        <v>1236</v>
      </c>
      <c r="H1411" t="s">
        <v>18</v>
      </c>
    </row>
    <row r="1412" spans="1:8" x14ac:dyDescent="0.2">
      <c r="A1412" t="s">
        <v>557</v>
      </c>
      <c r="B1412" t="s">
        <v>1658</v>
      </c>
      <c r="C1412" t="s">
        <v>1092</v>
      </c>
      <c r="D1412" t="s">
        <v>1126</v>
      </c>
      <c r="E1412">
        <v>552.75099999999998</v>
      </c>
      <c r="F1412">
        <v>411</v>
      </c>
      <c r="G1412" t="s">
        <v>1236</v>
      </c>
      <c r="H1412" t="s">
        <v>18</v>
      </c>
    </row>
    <row r="1413" spans="1:8" x14ac:dyDescent="0.2">
      <c r="A1413" t="s">
        <v>557</v>
      </c>
      <c r="B1413" t="s">
        <v>1659</v>
      </c>
      <c r="C1413" t="s">
        <v>1092</v>
      </c>
      <c r="D1413" t="s">
        <v>1126</v>
      </c>
      <c r="E1413">
        <v>5105.0834839999998</v>
      </c>
      <c r="F1413">
        <v>3775</v>
      </c>
      <c r="G1413" t="s">
        <v>1236</v>
      </c>
      <c r="H1413" t="s">
        <v>18</v>
      </c>
    </row>
    <row r="1414" spans="1:8" x14ac:dyDescent="0.2">
      <c r="A1414" t="s">
        <v>557</v>
      </c>
      <c r="B1414" t="s">
        <v>1901</v>
      </c>
      <c r="C1414" t="s">
        <v>1092</v>
      </c>
      <c r="D1414" t="s">
        <v>1126</v>
      </c>
      <c r="E1414">
        <v>2247.7239999999997</v>
      </c>
      <c r="F1414">
        <v>1188</v>
      </c>
      <c r="G1414" t="s">
        <v>1236</v>
      </c>
      <c r="H1414" t="s">
        <v>18</v>
      </c>
    </row>
    <row r="1415" spans="1:8" x14ac:dyDescent="0.2">
      <c r="A1415" t="s">
        <v>557</v>
      </c>
      <c r="B1415" t="s">
        <v>1661</v>
      </c>
      <c r="C1415" t="s">
        <v>1092</v>
      </c>
      <c r="D1415" t="s">
        <v>1126</v>
      </c>
      <c r="E1415">
        <v>696.64</v>
      </c>
      <c r="F1415">
        <v>554</v>
      </c>
      <c r="G1415" t="s">
        <v>1236</v>
      </c>
      <c r="H1415" t="s">
        <v>18</v>
      </c>
    </row>
    <row r="1416" spans="1:8" x14ac:dyDescent="0.2">
      <c r="A1416" t="s">
        <v>557</v>
      </c>
      <c r="B1416" t="s">
        <v>1662</v>
      </c>
      <c r="C1416" t="s">
        <v>1092</v>
      </c>
      <c r="D1416" t="s">
        <v>1126</v>
      </c>
      <c r="E1416">
        <v>1041.192</v>
      </c>
      <c r="F1416">
        <v>869</v>
      </c>
      <c r="G1416" t="s">
        <v>1236</v>
      </c>
      <c r="H1416" t="s">
        <v>18</v>
      </c>
    </row>
    <row r="1417" spans="1:8" x14ac:dyDescent="0.2">
      <c r="A1417" t="s">
        <v>557</v>
      </c>
      <c r="B1417" t="s">
        <v>1663</v>
      </c>
      <c r="C1417" t="s">
        <v>1092</v>
      </c>
      <c r="D1417" t="s">
        <v>1126</v>
      </c>
      <c r="E1417">
        <v>278.95499999999998</v>
      </c>
      <c r="F1417">
        <v>270</v>
      </c>
      <c r="G1417" t="s">
        <v>1236</v>
      </c>
      <c r="H1417" t="s">
        <v>18</v>
      </c>
    </row>
    <row r="1418" spans="1:8" x14ac:dyDescent="0.2">
      <c r="A1418" t="s">
        <v>557</v>
      </c>
      <c r="B1418" t="s">
        <v>1664</v>
      </c>
      <c r="C1418" t="s">
        <v>1092</v>
      </c>
      <c r="D1418" t="s">
        <v>1126</v>
      </c>
      <c r="E1418">
        <v>851.70799999999997</v>
      </c>
      <c r="F1418">
        <v>598</v>
      </c>
      <c r="G1418" t="s">
        <v>1236</v>
      </c>
      <c r="H1418" t="s">
        <v>18</v>
      </c>
    </row>
    <row r="1419" spans="1:8" x14ac:dyDescent="0.2">
      <c r="A1419" t="s">
        <v>557</v>
      </c>
      <c r="B1419" t="s">
        <v>1665</v>
      </c>
      <c r="C1419" t="s">
        <v>1092</v>
      </c>
      <c r="D1419" t="s">
        <v>1126</v>
      </c>
      <c r="E1419">
        <v>708.298</v>
      </c>
      <c r="F1419">
        <v>556</v>
      </c>
      <c r="G1419" t="s">
        <v>1236</v>
      </c>
      <c r="H1419" t="s">
        <v>18</v>
      </c>
    </row>
    <row r="1420" spans="1:8" x14ac:dyDescent="0.2">
      <c r="A1420" t="s">
        <v>557</v>
      </c>
      <c r="B1420" t="s">
        <v>1666</v>
      </c>
      <c r="C1420" t="s">
        <v>1092</v>
      </c>
      <c r="D1420" t="s">
        <v>1126</v>
      </c>
      <c r="E1420">
        <v>3097.0907199999997</v>
      </c>
      <c r="F1420">
        <v>2283</v>
      </c>
      <c r="G1420" t="s">
        <v>1236</v>
      </c>
      <c r="H1420" t="s">
        <v>18</v>
      </c>
    </row>
    <row r="1421" spans="1:8" x14ac:dyDescent="0.2">
      <c r="A1421" t="s">
        <v>557</v>
      </c>
      <c r="B1421" t="s">
        <v>1902</v>
      </c>
      <c r="C1421" t="s">
        <v>1092</v>
      </c>
      <c r="D1421" t="s">
        <v>1126</v>
      </c>
      <c r="E1421">
        <v>1141.242</v>
      </c>
      <c r="F1421">
        <v>669</v>
      </c>
      <c r="G1421" t="s">
        <v>1236</v>
      </c>
      <c r="H1421" t="s">
        <v>18</v>
      </c>
    </row>
    <row r="1422" spans="1:8" x14ac:dyDescent="0.2">
      <c r="A1422" t="s">
        <v>557</v>
      </c>
      <c r="B1422" t="s">
        <v>1903</v>
      </c>
      <c r="C1422" t="s">
        <v>1092</v>
      </c>
      <c r="D1422" t="s">
        <v>1126</v>
      </c>
      <c r="E1422">
        <v>22863.445</v>
      </c>
      <c r="F1422">
        <v>11259</v>
      </c>
      <c r="G1422" t="s">
        <v>1109</v>
      </c>
      <c r="H1422" t="s">
        <v>18</v>
      </c>
    </row>
    <row r="1423" spans="1:8" x14ac:dyDescent="0.2">
      <c r="A1423" t="s">
        <v>557</v>
      </c>
      <c r="B1423" t="s">
        <v>1669</v>
      </c>
      <c r="C1423" t="s">
        <v>1092</v>
      </c>
      <c r="D1423" t="s">
        <v>1126</v>
      </c>
      <c r="E1423">
        <v>440.11</v>
      </c>
      <c r="F1423">
        <v>422</v>
      </c>
      <c r="G1423" t="s">
        <v>1236</v>
      </c>
      <c r="H1423" t="s">
        <v>18</v>
      </c>
    </row>
    <row r="1424" spans="1:8" x14ac:dyDescent="0.2">
      <c r="A1424" t="s">
        <v>557</v>
      </c>
      <c r="B1424" t="s">
        <v>1670</v>
      </c>
      <c r="C1424" t="s">
        <v>1092</v>
      </c>
      <c r="D1424" t="s">
        <v>1126</v>
      </c>
      <c r="E1424">
        <v>662.72699999999998</v>
      </c>
      <c r="F1424">
        <v>604</v>
      </c>
      <c r="G1424" t="s">
        <v>1236</v>
      </c>
      <c r="H1424" t="s">
        <v>18</v>
      </c>
    </row>
    <row r="1425" spans="1:8" x14ac:dyDescent="0.2">
      <c r="A1425" t="s">
        <v>557</v>
      </c>
      <c r="B1425" t="s">
        <v>1671</v>
      </c>
      <c r="C1425" t="s">
        <v>1092</v>
      </c>
      <c r="D1425" t="s">
        <v>1126</v>
      </c>
      <c r="E1425">
        <v>519.97500500000001</v>
      </c>
      <c r="F1425">
        <v>759</v>
      </c>
      <c r="G1425" t="s">
        <v>1236</v>
      </c>
      <c r="H1425" t="s">
        <v>18</v>
      </c>
    </row>
    <row r="1426" spans="1:8" x14ac:dyDescent="0.2">
      <c r="A1426" t="s">
        <v>557</v>
      </c>
      <c r="B1426" t="s">
        <v>1672</v>
      </c>
      <c r="C1426" t="s">
        <v>1092</v>
      </c>
      <c r="D1426" t="s">
        <v>1126</v>
      </c>
      <c r="E1426">
        <v>920.82100000000003</v>
      </c>
      <c r="F1426">
        <v>604</v>
      </c>
      <c r="G1426" t="s">
        <v>1236</v>
      </c>
      <c r="H1426" t="s">
        <v>18</v>
      </c>
    </row>
    <row r="1427" spans="1:8" x14ac:dyDescent="0.2">
      <c r="A1427" t="s">
        <v>557</v>
      </c>
      <c r="B1427" t="s">
        <v>1904</v>
      </c>
      <c r="C1427" t="s">
        <v>1092</v>
      </c>
      <c r="D1427" t="s">
        <v>1126</v>
      </c>
      <c r="E1427">
        <v>227.64999999999998</v>
      </c>
      <c r="F1427">
        <v>341</v>
      </c>
      <c r="G1427" t="s">
        <v>1236</v>
      </c>
      <c r="H1427" t="s">
        <v>18</v>
      </c>
    </row>
    <row r="1428" spans="1:8" x14ac:dyDescent="0.2">
      <c r="A1428" t="s">
        <v>557</v>
      </c>
      <c r="B1428" t="s">
        <v>1673</v>
      </c>
      <c r="C1428" t="s">
        <v>1092</v>
      </c>
      <c r="D1428" t="s">
        <v>1126</v>
      </c>
      <c r="E1428">
        <v>954.83899999999994</v>
      </c>
      <c r="F1428">
        <v>624</v>
      </c>
      <c r="G1428" t="s">
        <v>1236</v>
      </c>
      <c r="H1428" t="s">
        <v>18</v>
      </c>
    </row>
    <row r="1429" spans="1:8" x14ac:dyDescent="0.2">
      <c r="A1429" t="s">
        <v>557</v>
      </c>
      <c r="B1429" t="s">
        <v>1674</v>
      </c>
      <c r="C1429" t="s">
        <v>1092</v>
      </c>
      <c r="D1429" t="s">
        <v>1126</v>
      </c>
      <c r="E1429">
        <v>499.85599999999999</v>
      </c>
      <c r="F1429">
        <v>372</v>
      </c>
      <c r="G1429" t="s">
        <v>1236</v>
      </c>
      <c r="H1429" t="s">
        <v>18</v>
      </c>
    </row>
    <row r="1430" spans="1:8" x14ac:dyDescent="0.2">
      <c r="A1430" t="s">
        <v>557</v>
      </c>
      <c r="B1430" t="s">
        <v>1675</v>
      </c>
      <c r="C1430" t="s">
        <v>1092</v>
      </c>
      <c r="D1430" t="s">
        <v>1126</v>
      </c>
      <c r="E1430">
        <v>866.87300000000005</v>
      </c>
      <c r="F1430">
        <v>661</v>
      </c>
      <c r="G1430" t="s">
        <v>1236</v>
      </c>
      <c r="H1430" t="s">
        <v>18</v>
      </c>
    </row>
    <row r="1431" spans="1:8" x14ac:dyDescent="0.2">
      <c r="A1431" t="s">
        <v>557</v>
      </c>
      <c r="B1431" t="s">
        <v>1676</v>
      </c>
      <c r="C1431" t="s">
        <v>1092</v>
      </c>
      <c r="D1431" t="s">
        <v>1126</v>
      </c>
      <c r="E1431">
        <v>867.327</v>
      </c>
      <c r="F1431">
        <v>805</v>
      </c>
      <c r="G1431" t="s">
        <v>1236</v>
      </c>
      <c r="H1431" t="s">
        <v>18</v>
      </c>
    </row>
    <row r="1432" spans="1:8" x14ac:dyDescent="0.2">
      <c r="A1432" t="s">
        <v>557</v>
      </c>
      <c r="B1432" t="s">
        <v>1677</v>
      </c>
      <c r="C1432" t="s">
        <v>1092</v>
      </c>
      <c r="D1432" t="s">
        <v>1126</v>
      </c>
      <c r="E1432">
        <v>1759.905</v>
      </c>
      <c r="F1432">
        <v>1301</v>
      </c>
      <c r="G1432" t="s">
        <v>1236</v>
      </c>
      <c r="H1432" t="s">
        <v>18</v>
      </c>
    </row>
    <row r="1433" spans="1:8" x14ac:dyDescent="0.2">
      <c r="A1433" t="s">
        <v>557</v>
      </c>
      <c r="B1433" t="s">
        <v>1678</v>
      </c>
      <c r="C1433" t="s">
        <v>1092</v>
      </c>
      <c r="D1433" t="s">
        <v>1126</v>
      </c>
      <c r="E1433">
        <v>3768.1089999999999</v>
      </c>
      <c r="F1433">
        <v>2728</v>
      </c>
      <c r="G1433" t="s">
        <v>1236</v>
      </c>
      <c r="H1433" t="s">
        <v>18</v>
      </c>
    </row>
    <row r="1434" spans="1:8" x14ac:dyDescent="0.2">
      <c r="A1434" t="s">
        <v>557</v>
      </c>
      <c r="B1434" t="s">
        <v>1905</v>
      </c>
      <c r="C1434" t="s">
        <v>1092</v>
      </c>
      <c r="D1434" t="s">
        <v>1126</v>
      </c>
      <c r="E1434">
        <v>859.33017699999994</v>
      </c>
      <c r="F1434">
        <v>684</v>
      </c>
      <c r="G1434" t="s">
        <v>1236</v>
      </c>
      <c r="H1434" t="s">
        <v>18</v>
      </c>
    </row>
    <row r="1435" spans="1:8" x14ac:dyDescent="0.2">
      <c r="A1435" t="s">
        <v>557</v>
      </c>
      <c r="B1435" t="s">
        <v>1679</v>
      </c>
      <c r="C1435" t="s">
        <v>1092</v>
      </c>
      <c r="D1435" t="s">
        <v>1126</v>
      </c>
      <c r="E1435">
        <v>539.38699999999994</v>
      </c>
      <c r="F1435">
        <v>465</v>
      </c>
      <c r="G1435" t="s">
        <v>1236</v>
      </c>
      <c r="H1435" t="s">
        <v>18</v>
      </c>
    </row>
    <row r="1436" spans="1:8" x14ac:dyDescent="0.2">
      <c r="A1436" t="s">
        <v>557</v>
      </c>
      <c r="B1436" t="s">
        <v>1680</v>
      </c>
      <c r="C1436" t="s">
        <v>1092</v>
      </c>
      <c r="D1436" t="s">
        <v>1126</v>
      </c>
      <c r="E1436">
        <v>848.46499999999992</v>
      </c>
      <c r="F1436">
        <v>616</v>
      </c>
      <c r="G1436" t="s">
        <v>1236</v>
      </c>
      <c r="H1436" t="s">
        <v>18</v>
      </c>
    </row>
    <row r="1437" spans="1:8" x14ac:dyDescent="0.2">
      <c r="A1437" t="s">
        <v>557</v>
      </c>
      <c r="B1437" t="s">
        <v>1681</v>
      </c>
      <c r="C1437" t="s">
        <v>1092</v>
      </c>
      <c r="D1437" t="s">
        <v>1126</v>
      </c>
      <c r="E1437">
        <v>3006.8760000000002</v>
      </c>
      <c r="F1437">
        <v>2182</v>
      </c>
      <c r="G1437" t="s">
        <v>1236</v>
      </c>
      <c r="H1437" t="s">
        <v>18</v>
      </c>
    </row>
    <row r="1438" spans="1:8" x14ac:dyDescent="0.2">
      <c r="A1438" t="s">
        <v>557</v>
      </c>
      <c r="B1438" t="s">
        <v>1682</v>
      </c>
      <c r="C1438" t="s">
        <v>1092</v>
      </c>
      <c r="D1438" t="s">
        <v>1126</v>
      </c>
      <c r="E1438">
        <v>617.20100000000002</v>
      </c>
      <c r="F1438">
        <v>470</v>
      </c>
      <c r="G1438" t="s">
        <v>1236</v>
      </c>
      <c r="H1438" t="s">
        <v>18</v>
      </c>
    </row>
    <row r="1439" spans="1:8" x14ac:dyDescent="0.2">
      <c r="A1439" t="s">
        <v>557</v>
      </c>
      <c r="B1439" t="s">
        <v>1683</v>
      </c>
      <c r="C1439" t="s">
        <v>1092</v>
      </c>
      <c r="D1439" t="s">
        <v>1126</v>
      </c>
      <c r="E1439">
        <v>221.12400000000002</v>
      </c>
      <c r="F1439">
        <v>262</v>
      </c>
      <c r="G1439" t="s">
        <v>1236</v>
      </c>
      <c r="H1439" t="s">
        <v>18</v>
      </c>
    </row>
    <row r="1440" spans="1:8" x14ac:dyDescent="0.2">
      <c r="A1440" t="s">
        <v>557</v>
      </c>
      <c r="B1440" t="s">
        <v>1684</v>
      </c>
      <c r="C1440" t="s">
        <v>1092</v>
      </c>
      <c r="D1440" t="s">
        <v>1126</v>
      </c>
      <c r="E1440">
        <v>11.25</v>
      </c>
      <c r="F1440">
        <v>19</v>
      </c>
      <c r="G1440" t="s">
        <v>1236</v>
      </c>
      <c r="H1440" t="s">
        <v>18</v>
      </c>
    </row>
    <row r="1441" spans="1:8" x14ac:dyDescent="0.2">
      <c r="A1441" t="s">
        <v>557</v>
      </c>
      <c r="B1441" t="s">
        <v>1685</v>
      </c>
      <c r="C1441" t="s">
        <v>1092</v>
      </c>
      <c r="D1441" t="s">
        <v>1126</v>
      </c>
      <c r="E1441">
        <v>704.12199999999996</v>
      </c>
      <c r="F1441">
        <v>616</v>
      </c>
      <c r="G1441" t="s">
        <v>1236</v>
      </c>
      <c r="H1441" t="s">
        <v>18</v>
      </c>
    </row>
    <row r="1442" spans="1:8" x14ac:dyDescent="0.2">
      <c r="A1442" t="s">
        <v>557</v>
      </c>
      <c r="B1442" t="s">
        <v>1686</v>
      </c>
      <c r="C1442" t="s">
        <v>1092</v>
      </c>
      <c r="D1442" t="s">
        <v>1126</v>
      </c>
      <c r="E1442">
        <v>1118.2730000000001</v>
      </c>
      <c r="F1442">
        <v>869</v>
      </c>
      <c r="G1442" t="s">
        <v>1236</v>
      </c>
      <c r="H1442" t="s">
        <v>18</v>
      </c>
    </row>
    <row r="1443" spans="1:8" x14ac:dyDescent="0.2">
      <c r="A1443" t="s">
        <v>557</v>
      </c>
      <c r="B1443" t="s">
        <v>1687</v>
      </c>
      <c r="C1443" t="s">
        <v>1092</v>
      </c>
      <c r="D1443" t="s">
        <v>1126</v>
      </c>
      <c r="E1443">
        <v>889.05700000000002</v>
      </c>
      <c r="F1443">
        <v>726</v>
      </c>
      <c r="G1443" t="s">
        <v>1236</v>
      </c>
      <c r="H1443" t="s">
        <v>18</v>
      </c>
    </row>
    <row r="1444" spans="1:8" x14ac:dyDescent="0.2">
      <c r="A1444" t="s">
        <v>557</v>
      </c>
      <c r="B1444" t="s">
        <v>1906</v>
      </c>
      <c r="C1444" t="s">
        <v>1092</v>
      </c>
      <c r="D1444" t="s">
        <v>1126</v>
      </c>
      <c r="E1444">
        <v>2139.8360000000002</v>
      </c>
      <c r="F1444">
        <v>1287</v>
      </c>
      <c r="G1444" t="s">
        <v>1236</v>
      </c>
      <c r="H1444" t="s">
        <v>18</v>
      </c>
    </row>
    <row r="1445" spans="1:8" x14ac:dyDescent="0.2">
      <c r="A1445" t="s">
        <v>557</v>
      </c>
      <c r="B1445" t="s">
        <v>1099</v>
      </c>
      <c r="C1445" t="s">
        <v>1100</v>
      </c>
      <c r="D1445" t="s">
        <v>35</v>
      </c>
      <c r="E1445">
        <v>123801.69235600003</v>
      </c>
      <c r="F1445">
        <v>78131</v>
      </c>
      <c r="G1445" t="s">
        <v>35</v>
      </c>
      <c r="H1445" t="s">
        <v>18</v>
      </c>
    </row>
    <row r="1446" spans="1:8" x14ac:dyDescent="0.2">
      <c r="A1446" t="s">
        <v>51</v>
      </c>
      <c r="B1446" t="s">
        <v>1539</v>
      </c>
      <c r="C1446" t="s">
        <v>1092</v>
      </c>
      <c r="D1446" t="s">
        <v>1126</v>
      </c>
      <c r="E1446">
        <v>284541.56</v>
      </c>
      <c r="F1446">
        <v>171726</v>
      </c>
      <c r="G1446" t="s">
        <v>1109</v>
      </c>
      <c r="H1446" t="s">
        <v>18</v>
      </c>
    </row>
    <row r="1447" spans="1:8" x14ac:dyDescent="0.2">
      <c r="A1447" t="s">
        <v>51</v>
      </c>
      <c r="B1447" t="s">
        <v>1540</v>
      </c>
      <c r="C1447" t="s">
        <v>1092</v>
      </c>
      <c r="D1447" t="s">
        <v>1126</v>
      </c>
      <c r="E1447">
        <v>602118.22499999998</v>
      </c>
      <c r="F1447">
        <v>314132</v>
      </c>
      <c r="G1447" t="s">
        <v>1109</v>
      </c>
      <c r="H1447" t="s">
        <v>18</v>
      </c>
    </row>
    <row r="1448" spans="1:8" x14ac:dyDescent="0.2">
      <c r="A1448" t="s">
        <v>51</v>
      </c>
      <c r="B1448" t="s">
        <v>1541</v>
      </c>
      <c r="C1448" t="s">
        <v>1092</v>
      </c>
      <c r="D1448" t="s">
        <v>1126</v>
      </c>
      <c r="E1448">
        <v>334007.174</v>
      </c>
      <c r="F1448">
        <v>176231</v>
      </c>
      <c r="G1448" t="s">
        <v>1109</v>
      </c>
      <c r="H1448" t="s">
        <v>18</v>
      </c>
    </row>
    <row r="1449" spans="1:8" x14ac:dyDescent="0.2">
      <c r="A1449" t="s">
        <v>51</v>
      </c>
      <c r="B1449" t="s">
        <v>1542</v>
      </c>
      <c r="C1449" t="s">
        <v>1092</v>
      </c>
      <c r="D1449" t="s">
        <v>1126</v>
      </c>
      <c r="E1449">
        <v>517979.79599999997</v>
      </c>
      <c r="F1449">
        <v>306564</v>
      </c>
      <c r="G1449" t="s">
        <v>1109</v>
      </c>
      <c r="H1449" t="s">
        <v>18</v>
      </c>
    </row>
    <row r="1450" spans="1:8" x14ac:dyDescent="0.2">
      <c r="A1450" t="s">
        <v>51</v>
      </c>
      <c r="B1450" t="s">
        <v>1099</v>
      </c>
      <c r="C1450" t="s">
        <v>1100</v>
      </c>
      <c r="D1450" t="s">
        <v>35</v>
      </c>
      <c r="E1450">
        <v>1738646.7549999999</v>
      </c>
      <c r="F1450">
        <v>968653</v>
      </c>
      <c r="G1450" t="s">
        <v>35</v>
      </c>
      <c r="H1450" t="s">
        <v>18</v>
      </c>
    </row>
    <row r="1451" spans="1:8" x14ac:dyDescent="0.2">
      <c r="A1451" t="s">
        <v>1690</v>
      </c>
      <c r="B1451" t="s">
        <v>1691</v>
      </c>
      <c r="C1451" t="s">
        <v>1092</v>
      </c>
      <c r="D1451" t="s">
        <v>1061</v>
      </c>
      <c r="E1451">
        <v>187879.88180000003</v>
      </c>
      <c r="F1451">
        <v>27</v>
      </c>
      <c r="G1451" t="s">
        <v>1103</v>
      </c>
      <c r="H1451" t="s">
        <v>18</v>
      </c>
    </row>
    <row r="1452" spans="1:8" x14ac:dyDescent="0.2">
      <c r="A1452" t="s">
        <v>1690</v>
      </c>
      <c r="B1452" t="s">
        <v>1099</v>
      </c>
      <c r="C1452" t="s">
        <v>1100</v>
      </c>
      <c r="D1452" t="s">
        <v>35</v>
      </c>
      <c r="E1452">
        <v>187879.88180000003</v>
      </c>
      <c r="F1452">
        <v>27</v>
      </c>
      <c r="G1452" t="s">
        <v>35</v>
      </c>
      <c r="H1452" t="s">
        <v>18</v>
      </c>
    </row>
    <row r="1453" spans="1:8" x14ac:dyDescent="0.2">
      <c r="A1453" t="s">
        <v>1692</v>
      </c>
      <c r="B1453" t="s">
        <v>1693</v>
      </c>
      <c r="C1453" t="s">
        <v>1092</v>
      </c>
      <c r="D1453" t="s">
        <v>1058</v>
      </c>
      <c r="E1453">
        <v>417571.3</v>
      </c>
      <c r="F1453">
        <v>113</v>
      </c>
      <c r="G1453" t="s">
        <v>1103</v>
      </c>
      <c r="H1453" t="s">
        <v>18</v>
      </c>
    </row>
    <row r="1454" spans="1:8" x14ac:dyDescent="0.2">
      <c r="A1454" t="s">
        <v>1692</v>
      </c>
      <c r="B1454" t="s">
        <v>1099</v>
      </c>
      <c r="C1454" t="s">
        <v>1100</v>
      </c>
      <c r="D1454" t="s">
        <v>35</v>
      </c>
      <c r="E1454">
        <v>417571.3</v>
      </c>
      <c r="F1454">
        <v>113</v>
      </c>
      <c r="G1454" t="s">
        <v>35</v>
      </c>
      <c r="H1454" t="s">
        <v>18</v>
      </c>
    </row>
    <row r="1455" spans="1:8" x14ac:dyDescent="0.2">
      <c r="A1455" t="s">
        <v>57</v>
      </c>
      <c r="B1455" t="s">
        <v>1696</v>
      </c>
      <c r="C1455" t="s">
        <v>1092</v>
      </c>
      <c r="D1455" t="s">
        <v>1058</v>
      </c>
      <c r="E1455">
        <v>145277.80839600001</v>
      </c>
      <c r="F1455">
        <v>82832</v>
      </c>
      <c r="G1455" t="s">
        <v>1144</v>
      </c>
      <c r="H1455" t="s">
        <v>18</v>
      </c>
    </row>
    <row r="1456" spans="1:8" x14ac:dyDescent="0.2">
      <c r="A1456" t="s">
        <v>57</v>
      </c>
      <c r="B1456" t="s">
        <v>1099</v>
      </c>
      <c r="C1456" t="s">
        <v>1100</v>
      </c>
      <c r="D1456" t="s">
        <v>35</v>
      </c>
      <c r="E1456">
        <v>145277.80839600001</v>
      </c>
      <c r="F1456">
        <v>82832</v>
      </c>
      <c r="G1456" t="s">
        <v>35</v>
      </c>
      <c r="H1456" t="s">
        <v>18</v>
      </c>
    </row>
    <row r="1457" spans="1:8" x14ac:dyDescent="0.2">
      <c r="A1457" t="s">
        <v>1697</v>
      </c>
      <c r="B1457" t="s">
        <v>1698</v>
      </c>
      <c r="C1457" t="s">
        <v>1092</v>
      </c>
      <c r="D1457" t="s">
        <v>1058</v>
      </c>
      <c r="E1457">
        <v>160059.07446</v>
      </c>
      <c r="F1457">
        <v>21</v>
      </c>
      <c r="G1457" t="s">
        <v>1103</v>
      </c>
      <c r="H1457" t="s">
        <v>18</v>
      </c>
    </row>
    <row r="1458" spans="1:8" x14ac:dyDescent="0.2">
      <c r="A1458" t="s">
        <v>1697</v>
      </c>
      <c r="B1458" t="s">
        <v>1099</v>
      </c>
      <c r="C1458" t="s">
        <v>1100</v>
      </c>
      <c r="D1458" t="s">
        <v>35</v>
      </c>
      <c r="E1458">
        <v>160059.07446</v>
      </c>
      <c r="F1458">
        <v>21</v>
      </c>
      <c r="G1458" t="s">
        <v>35</v>
      </c>
      <c r="H1458" t="s">
        <v>18</v>
      </c>
    </row>
    <row r="1459" spans="1:8" x14ac:dyDescent="0.2">
      <c r="A1459" t="s">
        <v>53</v>
      </c>
      <c r="B1459" t="s">
        <v>1706</v>
      </c>
      <c r="C1459" t="s">
        <v>1092</v>
      </c>
      <c r="D1459" t="s">
        <v>1058</v>
      </c>
      <c r="E1459">
        <v>6209330.0159999998</v>
      </c>
      <c r="F1459">
        <v>6095875</v>
      </c>
      <c r="G1459" t="s">
        <v>1111</v>
      </c>
      <c r="H1459" t="s">
        <v>18</v>
      </c>
    </row>
    <row r="1460" spans="1:8" x14ac:dyDescent="0.2">
      <c r="A1460" t="s">
        <v>53</v>
      </c>
      <c r="B1460" t="s">
        <v>1099</v>
      </c>
      <c r="C1460" t="s">
        <v>1100</v>
      </c>
      <c r="D1460" t="s">
        <v>35</v>
      </c>
      <c r="E1460">
        <v>6209330.0159999998</v>
      </c>
      <c r="F1460">
        <v>6095875</v>
      </c>
      <c r="G1460" t="s">
        <v>35</v>
      </c>
      <c r="H1460" t="s">
        <v>18</v>
      </c>
    </row>
    <row r="1461" spans="1:8" x14ac:dyDescent="0.2">
      <c r="A1461" t="s">
        <v>87</v>
      </c>
      <c r="B1461" t="s">
        <v>1907</v>
      </c>
      <c r="C1461" t="s">
        <v>1092</v>
      </c>
      <c r="D1461" t="s">
        <v>1096</v>
      </c>
      <c r="E1461">
        <v>0</v>
      </c>
      <c r="F1461">
        <v>59</v>
      </c>
      <c r="G1461" t="s">
        <v>1191</v>
      </c>
      <c r="H1461" t="s">
        <v>18</v>
      </c>
    </row>
    <row r="1462" spans="1:8" x14ac:dyDescent="0.2">
      <c r="A1462" t="s">
        <v>87</v>
      </c>
      <c r="B1462" t="s">
        <v>1707</v>
      </c>
      <c r="C1462" t="s">
        <v>1092</v>
      </c>
      <c r="D1462" t="s">
        <v>1061</v>
      </c>
      <c r="E1462">
        <v>241984.38198999999</v>
      </c>
      <c r="F1462">
        <v>142</v>
      </c>
      <c r="G1462" t="s">
        <v>1103</v>
      </c>
      <c r="H1462" t="s">
        <v>18</v>
      </c>
    </row>
    <row r="1463" spans="1:8" x14ac:dyDescent="0.2">
      <c r="A1463" t="s">
        <v>87</v>
      </c>
      <c r="B1463" t="s">
        <v>1708</v>
      </c>
      <c r="C1463" t="s">
        <v>1092</v>
      </c>
      <c r="D1463" t="s">
        <v>1126</v>
      </c>
      <c r="E1463">
        <v>154650.75</v>
      </c>
      <c r="F1463">
        <v>98086</v>
      </c>
      <c r="G1463" t="s">
        <v>1109</v>
      </c>
      <c r="H1463" t="s">
        <v>18</v>
      </c>
    </row>
    <row r="1464" spans="1:8" x14ac:dyDescent="0.2">
      <c r="A1464" t="s">
        <v>87</v>
      </c>
      <c r="B1464" t="s">
        <v>1709</v>
      </c>
      <c r="C1464" t="s">
        <v>1092</v>
      </c>
      <c r="D1464" t="s">
        <v>1061</v>
      </c>
      <c r="E1464">
        <v>74484.800000000003</v>
      </c>
      <c r="F1464">
        <v>51225</v>
      </c>
      <c r="G1464" t="s">
        <v>1109</v>
      </c>
      <c r="H1464" t="s">
        <v>18</v>
      </c>
    </row>
    <row r="1465" spans="1:8" x14ac:dyDescent="0.2">
      <c r="A1465" t="s">
        <v>87</v>
      </c>
      <c r="B1465" t="s">
        <v>1099</v>
      </c>
      <c r="C1465" t="s">
        <v>1100</v>
      </c>
      <c r="D1465" t="s">
        <v>35</v>
      </c>
      <c r="E1465">
        <v>471119.93199000001</v>
      </c>
      <c r="F1465">
        <v>149512</v>
      </c>
      <c r="G1465" t="s">
        <v>35</v>
      </c>
      <c r="H1465" t="s">
        <v>18</v>
      </c>
    </row>
    <row r="1466" spans="1:8" x14ac:dyDescent="0.2">
      <c r="A1466" t="s">
        <v>1710</v>
      </c>
      <c r="B1466" t="s">
        <v>1908</v>
      </c>
      <c r="C1466" t="s">
        <v>1092</v>
      </c>
      <c r="D1466" t="s">
        <v>1064</v>
      </c>
      <c r="E1466">
        <v>557875.0736</v>
      </c>
      <c r="F1466">
        <v>216</v>
      </c>
      <c r="G1466" t="s">
        <v>1093</v>
      </c>
      <c r="H1466" t="s">
        <v>18</v>
      </c>
    </row>
    <row r="1467" spans="1:8" x14ac:dyDescent="0.2">
      <c r="A1467" t="s">
        <v>1710</v>
      </c>
      <c r="B1467" t="s">
        <v>1909</v>
      </c>
      <c r="C1467" t="s">
        <v>1092</v>
      </c>
      <c r="D1467" t="s">
        <v>1064</v>
      </c>
      <c r="E1467">
        <v>222108.2298</v>
      </c>
      <c r="F1467">
        <v>86</v>
      </c>
      <c r="G1467" t="s">
        <v>1093</v>
      </c>
      <c r="H1467" t="s">
        <v>18</v>
      </c>
    </row>
    <row r="1468" spans="1:8" x14ac:dyDescent="0.2">
      <c r="A1468" t="s">
        <v>1710</v>
      </c>
      <c r="B1468" t="s">
        <v>1713</v>
      </c>
      <c r="C1468" t="s">
        <v>1092</v>
      </c>
      <c r="D1468" t="s">
        <v>1064</v>
      </c>
      <c r="E1468">
        <v>244740.90311000001</v>
      </c>
      <c r="F1468">
        <v>78</v>
      </c>
      <c r="G1468" t="s">
        <v>1093</v>
      </c>
      <c r="H1468" t="s">
        <v>18</v>
      </c>
    </row>
    <row r="1469" spans="1:8" x14ac:dyDescent="0.2">
      <c r="A1469" t="s">
        <v>1710</v>
      </c>
      <c r="B1469" t="s">
        <v>1099</v>
      </c>
      <c r="C1469" t="s">
        <v>1100</v>
      </c>
      <c r="D1469" t="s">
        <v>35</v>
      </c>
      <c r="E1469">
        <v>1024724.20651</v>
      </c>
      <c r="F1469">
        <v>380</v>
      </c>
      <c r="G1469" t="s">
        <v>35</v>
      </c>
      <c r="H1469" t="s">
        <v>18</v>
      </c>
    </row>
    <row r="1470" spans="1:8" x14ac:dyDescent="0.2">
      <c r="A1470" t="s">
        <v>249</v>
      </c>
      <c r="B1470" t="s">
        <v>1716</v>
      </c>
      <c r="C1470" t="s">
        <v>1092</v>
      </c>
      <c r="D1470" t="s">
        <v>1052</v>
      </c>
      <c r="E1470">
        <v>1745.1574000000001</v>
      </c>
      <c r="F1470">
        <v>1219</v>
      </c>
      <c r="G1470" t="s">
        <v>1236</v>
      </c>
      <c r="H1470" t="s">
        <v>18</v>
      </c>
    </row>
    <row r="1471" spans="1:8" x14ac:dyDescent="0.2">
      <c r="A1471" t="s">
        <v>249</v>
      </c>
      <c r="B1471" t="s">
        <v>1717</v>
      </c>
      <c r="C1471" t="s">
        <v>1092</v>
      </c>
      <c r="D1471" t="s">
        <v>1058</v>
      </c>
      <c r="E1471">
        <v>152143.97213000001</v>
      </c>
      <c r="F1471">
        <v>94461</v>
      </c>
      <c r="G1471" t="s">
        <v>1109</v>
      </c>
      <c r="H1471" t="s">
        <v>18</v>
      </c>
    </row>
    <row r="1472" spans="1:8" x14ac:dyDescent="0.2">
      <c r="A1472" t="s">
        <v>249</v>
      </c>
      <c r="B1472" t="s">
        <v>1718</v>
      </c>
      <c r="C1472" t="s">
        <v>1092</v>
      </c>
      <c r="D1472" t="s">
        <v>1058</v>
      </c>
      <c r="E1472">
        <v>589.83443999999997</v>
      </c>
      <c r="F1472">
        <v>465</v>
      </c>
      <c r="G1472" t="s">
        <v>1109</v>
      </c>
      <c r="H1472" t="s">
        <v>18</v>
      </c>
    </row>
    <row r="1473" spans="1:8" x14ac:dyDescent="0.2">
      <c r="A1473" t="s">
        <v>249</v>
      </c>
      <c r="B1473" t="s">
        <v>1719</v>
      </c>
      <c r="C1473" t="s">
        <v>1092</v>
      </c>
      <c r="D1473" t="s">
        <v>1096</v>
      </c>
      <c r="E1473">
        <v>105427.28503</v>
      </c>
      <c r="F1473">
        <v>65381</v>
      </c>
      <c r="G1473" t="s">
        <v>1109</v>
      </c>
      <c r="H1473" t="s">
        <v>18</v>
      </c>
    </row>
    <row r="1474" spans="1:8" x14ac:dyDescent="0.2">
      <c r="A1474" t="s">
        <v>249</v>
      </c>
      <c r="B1474" t="s">
        <v>1720</v>
      </c>
      <c r="C1474" t="s">
        <v>1092</v>
      </c>
      <c r="D1474" t="s">
        <v>1052</v>
      </c>
      <c r="E1474">
        <v>3835.5617999999999</v>
      </c>
      <c r="F1474">
        <v>2571</v>
      </c>
      <c r="G1474" t="s">
        <v>1236</v>
      </c>
      <c r="H1474" t="s">
        <v>18</v>
      </c>
    </row>
    <row r="1475" spans="1:8" x14ac:dyDescent="0.2">
      <c r="A1475" t="s">
        <v>249</v>
      </c>
      <c r="B1475" t="s">
        <v>1721</v>
      </c>
      <c r="C1475" t="s">
        <v>1092</v>
      </c>
      <c r="D1475" t="s">
        <v>1058</v>
      </c>
      <c r="E1475">
        <v>4235446.6981229996</v>
      </c>
      <c r="F1475">
        <v>1790</v>
      </c>
      <c r="G1475" t="s">
        <v>1107</v>
      </c>
      <c r="H1475" t="s">
        <v>18</v>
      </c>
    </row>
    <row r="1476" spans="1:8" x14ac:dyDescent="0.2">
      <c r="A1476" t="s">
        <v>249</v>
      </c>
      <c r="B1476" t="s">
        <v>1722</v>
      </c>
      <c r="C1476" t="s">
        <v>1092</v>
      </c>
      <c r="D1476" t="s">
        <v>1096</v>
      </c>
      <c r="E1476">
        <v>38636.848136000001</v>
      </c>
      <c r="F1476">
        <v>29349</v>
      </c>
      <c r="G1476" t="s">
        <v>1109</v>
      </c>
      <c r="H1476" t="s">
        <v>18</v>
      </c>
    </row>
    <row r="1477" spans="1:8" x14ac:dyDescent="0.2">
      <c r="A1477" t="s">
        <v>249</v>
      </c>
      <c r="B1477" t="s">
        <v>1099</v>
      </c>
      <c r="C1477" t="s">
        <v>1100</v>
      </c>
      <c r="D1477" t="s">
        <v>35</v>
      </c>
      <c r="E1477">
        <v>4537825.3570589991</v>
      </c>
      <c r="F1477">
        <v>195236</v>
      </c>
      <c r="G1477" t="s">
        <v>35</v>
      </c>
      <c r="H1477" t="s">
        <v>18</v>
      </c>
    </row>
    <row r="1478" spans="1:8" x14ac:dyDescent="0.2">
      <c r="A1478" t="s">
        <v>1723</v>
      </c>
      <c r="B1478" t="s">
        <v>1724</v>
      </c>
      <c r="C1478" t="s">
        <v>1092</v>
      </c>
      <c r="D1478" t="s">
        <v>1096</v>
      </c>
      <c r="E1478">
        <v>132816.946</v>
      </c>
      <c r="F1478">
        <v>64</v>
      </c>
      <c r="G1478" t="s">
        <v>1093</v>
      </c>
      <c r="H1478" t="s">
        <v>18</v>
      </c>
    </row>
    <row r="1479" spans="1:8" x14ac:dyDescent="0.2">
      <c r="A1479" t="s">
        <v>1723</v>
      </c>
      <c r="B1479" t="s">
        <v>1910</v>
      </c>
      <c r="C1479" t="s">
        <v>1092</v>
      </c>
      <c r="D1479" t="s">
        <v>1052</v>
      </c>
      <c r="E1479">
        <v>0</v>
      </c>
      <c r="F1479">
        <v>127</v>
      </c>
      <c r="G1479" t="s">
        <v>1191</v>
      </c>
      <c r="H1479" t="s">
        <v>18</v>
      </c>
    </row>
    <row r="1480" spans="1:8" x14ac:dyDescent="0.2">
      <c r="A1480" t="s">
        <v>1723</v>
      </c>
      <c r="B1480" t="s">
        <v>1725</v>
      </c>
      <c r="C1480" t="s">
        <v>1092</v>
      </c>
      <c r="D1480" t="s">
        <v>1052</v>
      </c>
      <c r="E1480">
        <v>182298.09399999998</v>
      </c>
      <c r="F1480">
        <v>52</v>
      </c>
      <c r="G1480" t="s">
        <v>1093</v>
      </c>
      <c r="H1480" t="s">
        <v>18</v>
      </c>
    </row>
    <row r="1481" spans="1:8" x14ac:dyDescent="0.2">
      <c r="A1481" t="s">
        <v>1723</v>
      </c>
      <c r="B1481" t="s">
        <v>1726</v>
      </c>
      <c r="C1481" t="s">
        <v>1092</v>
      </c>
      <c r="D1481" t="s">
        <v>1096</v>
      </c>
      <c r="E1481">
        <v>41783.269</v>
      </c>
      <c r="F1481">
        <v>35</v>
      </c>
      <c r="G1481" t="s">
        <v>1093</v>
      </c>
      <c r="H1481" t="s">
        <v>18</v>
      </c>
    </row>
    <row r="1482" spans="1:8" x14ac:dyDescent="0.2">
      <c r="A1482" t="s">
        <v>1723</v>
      </c>
      <c r="B1482" t="s">
        <v>1727</v>
      </c>
      <c r="C1482" t="s">
        <v>1092</v>
      </c>
      <c r="D1482" t="s">
        <v>1096</v>
      </c>
      <c r="E1482">
        <v>263357.43099999998</v>
      </c>
      <c r="F1482">
        <v>82</v>
      </c>
      <c r="G1482" t="s">
        <v>1093</v>
      </c>
      <c r="H1482" t="s">
        <v>18</v>
      </c>
    </row>
    <row r="1483" spans="1:8" x14ac:dyDescent="0.2">
      <c r="A1483" t="s">
        <v>1723</v>
      </c>
      <c r="B1483" t="s">
        <v>1728</v>
      </c>
      <c r="C1483" t="s">
        <v>1092</v>
      </c>
      <c r="D1483" t="s">
        <v>1096</v>
      </c>
      <c r="E1483">
        <v>0</v>
      </c>
      <c r="F1483">
        <v>0</v>
      </c>
      <c r="G1483" t="s">
        <v>1191</v>
      </c>
      <c r="H1483" t="s">
        <v>18</v>
      </c>
    </row>
    <row r="1484" spans="1:8" x14ac:dyDescent="0.2">
      <c r="A1484" t="s">
        <v>1723</v>
      </c>
      <c r="B1484" t="s">
        <v>1729</v>
      </c>
      <c r="C1484" t="s">
        <v>1092</v>
      </c>
      <c r="D1484" t="s">
        <v>1096</v>
      </c>
      <c r="E1484">
        <v>14065.578</v>
      </c>
      <c r="F1484">
        <v>5</v>
      </c>
      <c r="G1484" t="s">
        <v>1107</v>
      </c>
      <c r="H1484" t="s">
        <v>18</v>
      </c>
    </row>
    <row r="1485" spans="1:8" x14ac:dyDescent="0.2">
      <c r="A1485" t="s">
        <v>1723</v>
      </c>
      <c r="B1485" t="s">
        <v>1730</v>
      </c>
      <c r="C1485" t="s">
        <v>1092</v>
      </c>
      <c r="D1485" t="s">
        <v>1096</v>
      </c>
      <c r="E1485">
        <v>3892.0590000000002</v>
      </c>
      <c r="F1485">
        <v>6</v>
      </c>
      <c r="G1485" t="s">
        <v>1107</v>
      </c>
      <c r="H1485" t="s">
        <v>18</v>
      </c>
    </row>
    <row r="1486" spans="1:8" x14ac:dyDescent="0.2">
      <c r="A1486" t="s">
        <v>1723</v>
      </c>
      <c r="B1486" t="s">
        <v>1731</v>
      </c>
      <c r="C1486" t="s">
        <v>1092</v>
      </c>
      <c r="D1486" t="s">
        <v>1061</v>
      </c>
      <c r="E1486">
        <v>211906.93599999999</v>
      </c>
      <c r="F1486">
        <v>133</v>
      </c>
      <c r="G1486" t="s">
        <v>1103</v>
      </c>
      <c r="H1486" t="s">
        <v>18</v>
      </c>
    </row>
    <row r="1487" spans="1:8" x14ac:dyDescent="0.2">
      <c r="A1487" t="s">
        <v>1723</v>
      </c>
      <c r="B1487" t="s">
        <v>1732</v>
      </c>
      <c r="C1487" t="s">
        <v>1092</v>
      </c>
      <c r="D1487" t="s">
        <v>1126</v>
      </c>
      <c r="E1487">
        <v>72530.37</v>
      </c>
      <c r="F1487">
        <v>40</v>
      </c>
      <c r="G1487" t="s">
        <v>1107</v>
      </c>
      <c r="H1487" t="s">
        <v>18</v>
      </c>
    </row>
    <row r="1488" spans="1:8" x14ac:dyDescent="0.2">
      <c r="A1488" t="s">
        <v>1723</v>
      </c>
      <c r="B1488" t="s">
        <v>1733</v>
      </c>
      <c r="C1488" t="s">
        <v>1092</v>
      </c>
      <c r="D1488" t="s">
        <v>1096</v>
      </c>
      <c r="E1488">
        <v>434980.91100000002</v>
      </c>
      <c r="F1488">
        <v>158</v>
      </c>
      <c r="G1488" t="s">
        <v>1093</v>
      </c>
      <c r="H1488" t="s">
        <v>18</v>
      </c>
    </row>
    <row r="1489" spans="1:8" x14ac:dyDescent="0.2">
      <c r="A1489" t="s">
        <v>1723</v>
      </c>
      <c r="B1489" t="s">
        <v>1734</v>
      </c>
      <c r="C1489" t="s">
        <v>1092</v>
      </c>
      <c r="D1489" t="s">
        <v>1058</v>
      </c>
      <c r="E1489">
        <v>282851.59600000002</v>
      </c>
      <c r="F1489">
        <v>102</v>
      </c>
      <c r="G1489" t="s">
        <v>1093</v>
      </c>
      <c r="H1489" t="s">
        <v>18</v>
      </c>
    </row>
    <row r="1490" spans="1:8" x14ac:dyDescent="0.2">
      <c r="A1490" t="s">
        <v>1723</v>
      </c>
      <c r="B1490" t="s">
        <v>1735</v>
      </c>
      <c r="C1490" t="s">
        <v>1092</v>
      </c>
      <c r="D1490" t="s">
        <v>1058</v>
      </c>
      <c r="E1490">
        <v>6373.0510000000004</v>
      </c>
      <c r="F1490">
        <v>5</v>
      </c>
      <c r="G1490" t="s">
        <v>1107</v>
      </c>
      <c r="H1490" t="s">
        <v>18</v>
      </c>
    </row>
    <row r="1491" spans="1:8" x14ac:dyDescent="0.2">
      <c r="A1491" t="s">
        <v>1723</v>
      </c>
      <c r="B1491" t="s">
        <v>1736</v>
      </c>
      <c r="C1491" t="s">
        <v>1092</v>
      </c>
      <c r="D1491" t="s">
        <v>1096</v>
      </c>
      <c r="E1491">
        <v>2296.8270000000002</v>
      </c>
      <c r="F1491">
        <v>5</v>
      </c>
      <c r="G1491" t="s">
        <v>1107</v>
      </c>
      <c r="H1491" t="s">
        <v>18</v>
      </c>
    </row>
    <row r="1492" spans="1:8" x14ac:dyDescent="0.2">
      <c r="A1492" t="s">
        <v>1723</v>
      </c>
      <c r="B1492" t="s">
        <v>1737</v>
      </c>
      <c r="C1492" t="s">
        <v>1092</v>
      </c>
      <c r="D1492" t="s">
        <v>1096</v>
      </c>
      <c r="E1492">
        <v>72237.14899999999</v>
      </c>
      <c r="F1492">
        <v>33</v>
      </c>
      <c r="G1492" t="s">
        <v>1093</v>
      </c>
      <c r="H1492" t="s">
        <v>18</v>
      </c>
    </row>
    <row r="1493" spans="1:8" x14ac:dyDescent="0.2">
      <c r="A1493" t="s">
        <v>1723</v>
      </c>
      <c r="B1493" t="s">
        <v>1738</v>
      </c>
      <c r="C1493" t="s">
        <v>1092</v>
      </c>
      <c r="D1493" t="s">
        <v>1096</v>
      </c>
      <c r="E1493">
        <v>87227.667000000001</v>
      </c>
      <c r="F1493">
        <v>39</v>
      </c>
      <c r="G1493" t="s">
        <v>1093</v>
      </c>
      <c r="H1493" t="s">
        <v>18</v>
      </c>
    </row>
    <row r="1494" spans="1:8" x14ac:dyDescent="0.2">
      <c r="A1494" t="s">
        <v>1723</v>
      </c>
      <c r="B1494" t="s">
        <v>1099</v>
      </c>
      <c r="C1494" t="s">
        <v>1100</v>
      </c>
      <c r="D1494" t="s">
        <v>35</v>
      </c>
      <c r="E1494">
        <v>1808617.8839999996</v>
      </c>
      <c r="F1494">
        <v>886</v>
      </c>
      <c r="G1494" t="s">
        <v>35</v>
      </c>
      <c r="H1494" t="s">
        <v>18</v>
      </c>
    </row>
    <row r="1495" spans="1:8" x14ac:dyDescent="0.2">
      <c r="A1495" t="s">
        <v>1739</v>
      </c>
      <c r="B1495" t="s">
        <v>1911</v>
      </c>
      <c r="C1495" t="s">
        <v>1092</v>
      </c>
      <c r="D1495" t="s">
        <v>1058</v>
      </c>
      <c r="E1495">
        <v>585782.75800000003</v>
      </c>
      <c r="F1495">
        <v>130</v>
      </c>
      <c r="G1495" t="s">
        <v>1093</v>
      </c>
      <c r="H1495" t="s">
        <v>18</v>
      </c>
    </row>
    <row r="1496" spans="1:8" x14ac:dyDescent="0.2">
      <c r="A1496" t="s">
        <v>1739</v>
      </c>
      <c r="B1496" t="s">
        <v>1912</v>
      </c>
      <c r="C1496" t="s">
        <v>1092</v>
      </c>
      <c r="D1496" t="s">
        <v>1058</v>
      </c>
      <c r="E1496">
        <v>326718.58300000004</v>
      </c>
      <c r="F1496">
        <v>71</v>
      </c>
      <c r="G1496" t="s">
        <v>1093</v>
      </c>
      <c r="H1496" t="s">
        <v>18</v>
      </c>
    </row>
    <row r="1497" spans="1:8" x14ac:dyDescent="0.2">
      <c r="A1497" t="s">
        <v>1739</v>
      </c>
      <c r="B1497" t="s">
        <v>1913</v>
      </c>
      <c r="C1497" t="s">
        <v>1092</v>
      </c>
      <c r="D1497" t="s">
        <v>1061</v>
      </c>
      <c r="E1497">
        <v>208222.13400000002</v>
      </c>
      <c r="F1497">
        <v>5994</v>
      </c>
      <c r="G1497" t="s">
        <v>1093</v>
      </c>
      <c r="H1497" t="s">
        <v>18</v>
      </c>
    </row>
    <row r="1498" spans="1:8" x14ac:dyDescent="0.2">
      <c r="A1498" t="s">
        <v>1739</v>
      </c>
      <c r="B1498" t="s">
        <v>1914</v>
      </c>
      <c r="C1498" t="s">
        <v>1092</v>
      </c>
      <c r="D1498" t="s">
        <v>1058</v>
      </c>
      <c r="E1498">
        <v>321024.61600000004</v>
      </c>
      <c r="F1498">
        <v>70</v>
      </c>
      <c r="G1498" t="s">
        <v>1093</v>
      </c>
      <c r="H1498" t="s">
        <v>18</v>
      </c>
    </row>
    <row r="1499" spans="1:8" x14ac:dyDescent="0.2">
      <c r="A1499" t="s">
        <v>1739</v>
      </c>
      <c r="B1499" t="s">
        <v>1915</v>
      </c>
      <c r="C1499" t="s">
        <v>1092</v>
      </c>
      <c r="D1499" t="s">
        <v>1096</v>
      </c>
      <c r="E1499">
        <v>451450.33799999999</v>
      </c>
      <c r="F1499">
        <v>308</v>
      </c>
      <c r="G1499" t="s">
        <v>1093</v>
      </c>
      <c r="H1499" t="s">
        <v>18</v>
      </c>
    </row>
    <row r="1500" spans="1:8" x14ac:dyDescent="0.2">
      <c r="A1500" t="s">
        <v>1739</v>
      </c>
      <c r="B1500" t="s">
        <v>1916</v>
      </c>
      <c r="C1500" t="s">
        <v>1092</v>
      </c>
      <c r="D1500" t="s">
        <v>1058</v>
      </c>
      <c r="E1500">
        <v>771501.77299999993</v>
      </c>
      <c r="F1500">
        <v>181</v>
      </c>
      <c r="G1500" t="s">
        <v>1093</v>
      </c>
      <c r="H1500" t="s">
        <v>18</v>
      </c>
    </row>
    <row r="1501" spans="1:8" x14ac:dyDescent="0.2">
      <c r="A1501" t="s">
        <v>1739</v>
      </c>
      <c r="B1501" t="s">
        <v>1917</v>
      </c>
      <c r="C1501" t="s">
        <v>1092</v>
      </c>
      <c r="D1501" t="s">
        <v>1058</v>
      </c>
      <c r="E1501">
        <v>0</v>
      </c>
      <c r="F1501">
        <v>2138</v>
      </c>
      <c r="G1501" t="s">
        <v>1093</v>
      </c>
      <c r="H1501" t="s">
        <v>18</v>
      </c>
    </row>
    <row r="1502" spans="1:8" x14ac:dyDescent="0.2">
      <c r="A1502" t="s">
        <v>1739</v>
      </c>
      <c r="B1502" t="s">
        <v>1099</v>
      </c>
      <c r="C1502" t="s">
        <v>1100</v>
      </c>
      <c r="D1502" t="s">
        <v>35</v>
      </c>
      <c r="E1502">
        <v>2664700.202</v>
      </c>
      <c r="F1502">
        <v>8892</v>
      </c>
      <c r="G1502" t="s">
        <v>35</v>
      </c>
      <c r="H1502" t="s">
        <v>18</v>
      </c>
    </row>
    <row r="1503" spans="1:8" x14ac:dyDescent="0.2">
      <c r="A1503" t="s">
        <v>36</v>
      </c>
      <c r="B1503" t="s">
        <v>1750</v>
      </c>
      <c r="C1503" t="s">
        <v>1092</v>
      </c>
      <c r="D1503" t="s">
        <v>1061</v>
      </c>
      <c r="E1503">
        <v>7823170.1924600005</v>
      </c>
      <c r="F1503">
        <v>6795860</v>
      </c>
      <c r="G1503" t="s">
        <v>1111</v>
      </c>
      <c r="H1503" t="s">
        <v>18</v>
      </c>
    </row>
    <row r="1504" spans="1:8" x14ac:dyDescent="0.2">
      <c r="A1504" t="s">
        <v>36</v>
      </c>
      <c r="B1504" t="s">
        <v>1751</v>
      </c>
      <c r="C1504" t="s">
        <v>1092</v>
      </c>
      <c r="D1504" t="s">
        <v>1061</v>
      </c>
      <c r="E1504">
        <v>10705635.662559999</v>
      </c>
      <c r="F1504">
        <v>9434003</v>
      </c>
      <c r="G1504" t="s">
        <v>1111</v>
      </c>
      <c r="H1504" t="s">
        <v>18</v>
      </c>
    </row>
    <row r="1505" spans="1:8" x14ac:dyDescent="0.2">
      <c r="A1505" t="s">
        <v>36</v>
      </c>
      <c r="B1505" t="s">
        <v>1099</v>
      </c>
      <c r="C1505" t="s">
        <v>1100</v>
      </c>
      <c r="D1505" t="s">
        <v>35</v>
      </c>
      <c r="E1505">
        <v>18528805.855020002</v>
      </c>
      <c r="F1505">
        <v>16229863</v>
      </c>
      <c r="G1505" t="s">
        <v>35</v>
      </c>
      <c r="H1505" t="s">
        <v>18</v>
      </c>
    </row>
    <row r="1506" spans="1:8" x14ac:dyDescent="0.2">
      <c r="A1506" t="s">
        <v>1752</v>
      </c>
      <c r="B1506" t="s">
        <v>1753</v>
      </c>
      <c r="C1506" t="s">
        <v>1092</v>
      </c>
      <c r="D1506" t="s">
        <v>1096</v>
      </c>
      <c r="E1506">
        <v>1843381.0391800001</v>
      </c>
      <c r="F1506">
        <v>178</v>
      </c>
      <c r="G1506" t="s">
        <v>1093</v>
      </c>
      <c r="H1506" t="s">
        <v>18</v>
      </c>
    </row>
    <row r="1507" spans="1:8" x14ac:dyDescent="0.2">
      <c r="A1507" t="s">
        <v>1752</v>
      </c>
      <c r="B1507" t="s">
        <v>1099</v>
      </c>
      <c r="C1507" t="s">
        <v>1100</v>
      </c>
      <c r="D1507" t="s">
        <v>35</v>
      </c>
      <c r="E1507">
        <v>1843381.0391800001</v>
      </c>
      <c r="F1507">
        <v>178</v>
      </c>
      <c r="G1507" t="s">
        <v>35</v>
      </c>
      <c r="H1507" t="s">
        <v>18</v>
      </c>
    </row>
    <row r="1508" spans="1:8" x14ac:dyDescent="0.2">
      <c r="A1508" t="s">
        <v>1754</v>
      </c>
      <c r="B1508" t="s">
        <v>1755</v>
      </c>
      <c r="C1508" t="s">
        <v>1092</v>
      </c>
      <c r="D1508" t="s">
        <v>1058</v>
      </c>
      <c r="E1508">
        <v>163245.91725599999</v>
      </c>
      <c r="F1508">
        <v>8</v>
      </c>
      <c r="G1508" t="s">
        <v>1103</v>
      </c>
      <c r="H1508" t="s">
        <v>18</v>
      </c>
    </row>
    <row r="1509" spans="1:8" x14ac:dyDescent="0.2">
      <c r="A1509" t="s">
        <v>1754</v>
      </c>
      <c r="B1509" t="s">
        <v>1099</v>
      </c>
      <c r="C1509" t="s">
        <v>1100</v>
      </c>
      <c r="D1509" t="s">
        <v>35</v>
      </c>
      <c r="E1509">
        <v>163245.91725599999</v>
      </c>
      <c r="F1509">
        <v>8</v>
      </c>
      <c r="G1509" t="s">
        <v>35</v>
      </c>
      <c r="H1509" t="s">
        <v>18</v>
      </c>
    </row>
    <row r="1510" spans="1:8" x14ac:dyDescent="0.2">
      <c r="A1510" t="s">
        <v>1756</v>
      </c>
      <c r="B1510" t="s">
        <v>1757</v>
      </c>
      <c r="C1510" t="s">
        <v>1092</v>
      </c>
      <c r="D1510" t="s">
        <v>1126</v>
      </c>
      <c r="E1510">
        <v>221438.435</v>
      </c>
      <c r="F1510">
        <v>23</v>
      </c>
      <c r="G1510" t="s">
        <v>1103</v>
      </c>
      <c r="H1510" t="s">
        <v>18</v>
      </c>
    </row>
    <row r="1511" spans="1:8" x14ac:dyDescent="0.2">
      <c r="A1511" t="s">
        <v>1756</v>
      </c>
      <c r="B1511" t="s">
        <v>1099</v>
      </c>
      <c r="C1511" t="s">
        <v>1100</v>
      </c>
      <c r="D1511" t="s">
        <v>35</v>
      </c>
      <c r="E1511">
        <v>221438.435</v>
      </c>
      <c r="F1511">
        <v>23</v>
      </c>
      <c r="G1511" t="s">
        <v>35</v>
      </c>
      <c r="H1511" t="s">
        <v>18</v>
      </c>
    </row>
    <row r="1512" spans="1:8" x14ac:dyDescent="0.2">
      <c r="A1512" t="s">
        <v>1758</v>
      </c>
      <c r="B1512" t="s">
        <v>1759</v>
      </c>
      <c r="C1512" t="s">
        <v>1092</v>
      </c>
      <c r="D1512" t="s">
        <v>1058</v>
      </c>
      <c r="E1512">
        <v>390916.14880000002</v>
      </c>
      <c r="F1512">
        <v>34</v>
      </c>
      <c r="G1512" t="s">
        <v>1103</v>
      </c>
      <c r="H1512" t="s">
        <v>18</v>
      </c>
    </row>
    <row r="1513" spans="1:8" x14ac:dyDescent="0.2">
      <c r="A1513" t="s">
        <v>1758</v>
      </c>
      <c r="B1513" t="s">
        <v>1099</v>
      </c>
      <c r="C1513" t="s">
        <v>1100</v>
      </c>
      <c r="D1513" t="s">
        <v>35</v>
      </c>
      <c r="E1513">
        <v>390916.14880000002</v>
      </c>
      <c r="F1513">
        <v>34</v>
      </c>
      <c r="G1513" t="s">
        <v>35</v>
      </c>
      <c r="H1513" t="s">
        <v>18</v>
      </c>
    </row>
    <row r="1514" spans="1:8" x14ac:dyDescent="0.2">
      <c r="A1514" t="s">
        <v>1918</v>
      </c>
      <c r="B1514" t="s">
        <v>1892</v>
      </c>
      <c r="C1514" t="s">
        <v>1092</v>
      </c>
      <c r="D1514" t="s">
        <v>1061</v>
      </c>
      <c r="E1514">
        <v>16673.796000000002</v>
      </c>
      <c r="F1514">
        <v>3726</v>
      </c>
      <c r="G1514" t="s">
        <v>1144</v>
      </c>
      <c r="H1514" t="s">
        <v>18</v>
      </c>
    </row>
    <row r="1515" spans="1:8" x14ac:dyDescent="0.2">
      <c r="A1515" t="s">
        <v>1918</v>
      </c>
      <c r="B1515" t="s">
        <v>1099</v>
      </c>
      <c r="C1515" t="s">
        <v>1100</v>
      </c>
      <c r="D1515" t="s">
        <v>35</v>
      </c>
      <c r="E1515">
        <v>16673.796000000002</v>
      </c>
      <c r="F1515">
        <v>3726</v>
      </c>
      <c r="G1515" t="s">
        <v>35</v>
      </c>
      <c r="H1515" t="s">
        <v>18</v>
      </c>
    </row>
    <row r="1516" spans="1:8" x14ac:dyDescent="0.2">
      <c r="A1516" t="s">
        <v>1919</v>
      </c>
      <c r="B1516" t="s">
        <v>1920</v>
      </c>
      <c r="C1516" t="s">
        <v>1092</v>
      </c>
      <c r="D1516" t="s">
        <v>1096</v>
      </c>
      <c r="E1516">
        <v>372494.32400000002</v>
      </c>
      <c r="F1516">
        <v>4848</v>
      </c>
      <c r="G1516" t="s">
        <v>1093</v>
      </c>
      <c r="H1516" t="s">
        <v>18</v>
      </c>
    </row>
    <row r="1517" spans="1:8" x14ac:dyDescent="0.2">
      <c r="A1517" t="s">
        <v>1919</v>
      </c>
      <c r="B1517" t="s">
        <v>1099</v>
      </c>
      <c r="C1517" t="s">
        <v>1100</v>
      </c>
      <c r="D1517" t="s">
        <v>35</v>
      </c>
      <c r="E1517">
        <v>372494.32400000002</v>
      </c>
      <c r="F1517">
        <v>4848</v>
      </c>
      <c r="G1517" t="s">
        <v>35</v>
      </c>
      <c r="H1517" t="s">
        <v>18</v>
      </c>
    </row>
    <row r="1518" spans="1:8" x14ac:dyDescent="0.2">
      <c r="A1518" t="s">
        <v>1764</v>
      </c>
      <c r="B1518" t="s">
        <v>1765</v>
      </c>
      <c r="C1518" t="s">
        <v>1092</v>
      </c>
      <c r="D1518" t="s">
        <v>1064</v>
      </c>
      <c r="E1518">
        <v>34707.472200000004</v>
      </c>
      <c r="F1518">
        <v>0</v>
      </c>
      <c r="G1518" t="s">
        <v>1107</v>
      </c>
      <c r="H1518" t="s">
        <v>18</v>
      </c>
    </row>
    <row r="1519" spans="1:8" x14ac:dyDescent="0.2">
      <c r="A1519" t="s">
        <v>1764</v>
      </c>
      <c r="B1519" t="s">
        <v>1099</v>
      </c>
      <c r="C1519" t="s">
        <v>1100</v>
      </c>
      <c r="D1519" t="s">
        <v>35</v>
      </c>
      <c r="E1519">
        <v>34707.472200000004</v>
      </c>
      <c r="F1519">
        <v>0</v>
      </c>
      <c r="G1519" t="s">
        <v>35</v>
      </c>
      <c r="H1519" t="s">
        <v>18</v>
      </c>
    </row>
    <row r="1520" spans="1:8" x14ac:dyDescent="0.2">
      <c r="A1520" t="s">
        <v>1921</v>
      </c>
      <c r="B1520" t="s">
        <v>1747</v>
      </c>
      <c r="C1520" t="s">
        <v>1092</v>
      </c>
      <c r="D1520" t="s">
        <v>1126</v>
      </c>
      <c r="E1520">
        <v>92841</v>
      </c>
      <c r="F1520">
        <v>26</v>
      </c>
      <c r="G1520" t="s">
        <v>1093</v>
      </c>
      <c r="H1520" t="s">
        <v>18</v>
      </c>
    </row>
    <row r="1521" spans="1:8" x14ac:dyDescent="0.2">
      <c r="A1521" t="s">
        <v>1921</v>
      </c>
      <c r="B1521" t="s">
        <v>1099</v>
      </c>
      <c r="C1521" t="s">
        <v>1100</v>
      </c>
      <c r="D1521" t="s">
        <v>35</v>
      </c>
      <c r="E1521">
        <v>92841</v>
      </c>
      <c r="F1521">
        <v>26</v>
      </c>
      <c r="G1521" t="s">
        <v>35</v>
      </c>
      <c r="H1521" t="s">
        <v>18</v>
      </c>
    </row>
    <row r="1522" spans="1:8" x14ac:dyDescent="0.2">
      <c r="A1522" t="s">
        <v>1748</v>
      </c>
      <c r="B1522" t="s">
        <v>1749</v>
      </c>
      <c r="C1522" t="s">
        <v>1092</v>
      </c>
      <c r="D1522" t="s">
        <v>1126</v>
      </c>
      <c r="E1522">
        <v>96435.673999999999</v>
      </c>
      <c r="F1522">
        <v>5</v>
      </c>
      <c r="G1522" t="s">
        <v>1103</v>
      </c>
      <c r="H1522" t="s">
        <v>18</v>
      </c>
    </row>
    <row r="1523" spans="1:8" x14ac:dyDescent="0.2">
      <c r="A1523" t="s">
        <v>1748</v>
      </c>
      <c r="B1523" t="s">
        <v>1099</v>
      </c>
      <c r="C1523" t="s">
        <v>1100</v>
      </c>
      <c r="D1523" t="s">
        <v>35</v>
      </c>
      <c r="E1523">
        <v>96435.673999999999</v>
      </c>
      <c r="F1523">
        <v>5</v>
      </c>
      <c r="G1523" t="s">
        <v>35</v>
      </c>
      <c r="H1523" t="s">
        <v>18</v>
      </c>
    </row>
    <row r="1524" spans="1:8" x14ac:dyDescent="0.2">
      <c r="A1524" t="s">
        <v>1766</v>
      </c>
      <c r="B1524" t="s">
        <v>1767</v>
      </c>
      <c r="C1524" t="s">
        <v>1092</v>
      </c>
      <c r="D1524" t="s">
        <v>1058</v>
      </c>
      <c r="E1524">
        <v>201253</v>
      </c>
      <c r="F1524">
        <v>25</v>
      </c>
      <c r="G1524" t="s">
        <v>1103</v>
      </c>
      <c r="H1524" t="s">
        <v>18</v>
      </c>
    </row>
    <row r="1525" spans="1:8" x14ac:dyDescent="0.2">
      <c r="A1525" t="s">
        <v>1766</v>
      </c>
      <c r="B1525" t="s">
        <v>1099</v>
      </c>
      <c r="C1525" t="s">
        <v>1100</v>
      </c>
      <c r="D1525" t="s">
        <v>35</v>
      </c>
      <c r="E1525">
        <v>201253</v>
      </c>
      <c r="F1525">
        <v>25</v>
      </c>
      <c r="G1525" t="s">
        <v>35</v>
      </c>
      <c r="H1525" t="s">
        <v>18</v>
      </c>
    </row>
    <row r="1526" spans="1:8" x14ac:dyDescent="0.2">
      <c r="A1526" t="s">
        <v>1922</v>
      </c>
      <c r="B1526" t="s">
        <v>1923</v>
      </c>
      <c r="C1526" t="s">
        <v>1092</v>
      </c>
      <c r="D1526" t="s">
        <v>1061</v>
      </c>
      <c r="E1526">
        <v>45821.617899999997</v>
      </c>
      <c r="F1526">
        <v>0</v>
      </c>
      <c r="G1526" t="s">
        <v>1103</v>
      </c>
      <c r="H1526" t="s">
        <v>18</v>
      </c>
    </row>
    <row r="1527" spans="1:8" x14ac:dyDescent="0.2">
      <c r="A1527" t="s">
        <v>1922</v>
      </c>
      <c r="B1527" t="s">
        <v>1099</v>
      </c>
      <c r="C1527" t="s">
        <v>1100</v>
      </c>
      <c r="D1527" t="s">
        <v>35</v>
      </c>
      <c r="E1527">
        <v>45821.617899999997</v>
      </c>
      <c r="F1527">
        <v>0</v>
      </c>
      <c r="G1527" t="s">
        <v>35</v>
      </c>
      <c r="H1527" t="s">
        <v>18</v>
      </c>
    </row>
    <row r="1528" spans="1:8" x14ac:dyDescent="0.2">
      <c r="A1528" t="s">
        <v>1768</v>
      </c>
      <c r="B1528" t="s">
        <v>1769</v>
      </c>
      <c r="C1528" t="s">
        <v>1092</v>
      </c>
      <c r="D1528" t="s">
        <v>1096</v>
      </c>
      <c r="E1528">
        <v>7372.61006</v>
      </c>
      <c r="F1528">
        <v>5</v>
      </c>
      <c r="G1528" t="s">
        <v>1103</v>
      </c>
      <c r="H1528" t="s">
        <v>18</v>
      </c>
    </row>
    <row r="1529" spans="1:8" x14ac:dyDescent="0.2">
      <c r="A1529" t="s">
        <v>1768</v>
      </c>
      <c r="B1529" t="s">
        <v>1770</v>
      </c>
      <c r="C1529" t="s">
        <v>1092</v>
      </c>
      <c r="D1529" t="s">
        <v>1096</v>
      </c>
      <c r="E1529">
        <v>9420.1688400000003</v>
      </c>
      <c r="F1529">
        <v>5</v>
      </c>
      <c r="G1529" t="s">
        <v>1103</v>
      </c>
      <c r="H1529" t="s">
        <v>18</v>
      </c>
    </row>
    <row r="1530" spans="1:8" x14ac:dyDescent="0.2">
      <c r="A1530" t="s">
        <v>1768</v>
      </c>
      <c r="B1530" t="s">
        <v>1771</v>
      </c>
      <c r="C1530" t="s">
        <v>1092</v>
      </c>
      <c r="D1530" t="s">
        <v>1096</v>
      </c>
      <c r="E1530">
        <v>9448.1913800000002</v>
      </c>
      <c r="F1530">
        <v>5</v>
      </c>
      <c r="G1530" t="s">
        <v>1103</v>
      </c>
      <c r="H1530" t="s">
        <v>18</v>
      </c>
    </row>
    <row r="1531" spans="1:8" x14ac:dyDescent="0.2">
      <c r="A1531" t="s">
        <v>1768</v>
      </c>
      <c r="B1531" t="s">
        <v>1772</v>
      </c>
      <c r="C1531" t="s">
        <v>1092</v>
      </c>
      <c r="D1531" t="s">
        <v>1096</v>
      </c>
      <c r="E1531">
        <v>10657.33397</v>
      </c>
      <c r="F1531">
        <v>5</v>
      </c>
      <c r="G1531" t="s">
        <v>1103</v>
      </c>
      <c r="H1531" t="s">
        <v>18</v>
      </c>
    </row>
    <row r="1532" spans="1:8" x14ac:dyDescent="0.2">
      <c r="A1532" t="s">
        <v>1768</v>
      </c>
      <c r="B1532" t="s">
        <v>1773</v>
      </c>
      <c r="C1532" t="s">
        <v>1092</v>
      </c>
      <c r="D1532" t="s">
        <v>1096</v>
      </c>
      <c r="E1532">
        <v>7363.3655600000002</v>
      </c>
      <c r="F1532">
        <v>5</v>
      </c>
      <c r="G1532" t="s">
        <v>1103</v>
      </c>
      <c r="H1532" t="s">
        <v>18</v>
      </c>
    </row>
    <row r="1533" spans="1:8" x14ac:dyDescent="0.2">
      <c r="A1533" t="s">
        <v>1768</v>
      </c>
      <c r="B1533" t="s">
        <v>1774</v>
      </c>
      <c r="C1533" t="s">
        <v>1092</v>
      </c>
      <c r="D1533" t="s">
        <v>1096</v>
      </c>
      <c r="E1533">
        <v>6840.3787500000008</v>
      </c>
      <c r="F1533">
        <v>5</v>
      </c>
      <c r="G1533" t="s">
        <v>1103</v>
      </c>
      <c r="H1533" t="s">
        <v>18</v>
      </c>
    </row>
    <row r="1534" spans="1:8" x14ac:dyDescent="0.2">
      <c r="A1534" t="s">
        <v>1768</v>
      </c>
      <c r="B1534" t="s">
        <v>1775</v>
      </c>
      <c r="C1534" t="s">
        <v>1092</v>
      </c>
      <c r="D1534" t="s">
        <v>1096</v>
      </c>
      <c r="E1534">
        <v>10610.44238</v>
      </c>
      <c r="F1534">
        <v>5</v>
      </c>
      <c r="G1534" t="s">
        <v>1103</v>
      </c>
      <c r="H1534" t="s">
        <v>18</v>
      </c>
    </row>
    <row r="1535" spans="1:8" x14ac:dyDescent="0.2">
      <c r="A1535" t="s">
        <v>1768</v>
      </c>
      <c r="B1535" t="s">
        <v>1776</v>
      </c>
      <c r="C1535" t="s">
        <v>1092</v>
      </c>
      <c r="D1535" t="s">
        <v>1096</v>
      </c>
      <c r="E1535">
        <v>6836.5985299999993</v>
      </c>
      <c r="F1535">
        <v>5</v>
      </c>
      <c r="G1535" t="s">
        <v>1103</v>
      </c>
      <c r="H1535" t="s">
        <v>18</v>
      </c>
    </row>
    <row r="1536" spans="1:8" x14ac:dyDescent="0.2">
      <c r="A1536" t="s">
        <v>1768</v>
      </c>
      <c r="B1536" t="s">
        <v>1777</v>
      </c>
      <c r="C1536" t="s">
        <v>1092</v>
      </c>
      <c r="D1536" t="s">
        <v>1096</v>
      </c>
      <c r="E1536">
        <v>10727.648840000002</v>
      </c>
      <c r="F1536">
        <v>5</v>
      </c>
      <c r="G1536" t="s">
        <v>1103</v>
      </c>
      <c r="H1536" t="s">
        <v>18</v>
      </c>
    </row>
    <row r="1537" spans="1:8" x14ac:dyDescent="0.2">
      <c r="A1537" t="s">
        <v>1768</v>
      </c>
      <c r="B1537" t="s">
        <v>1778</v>
      </c>
      <c r="C1537" t="s">
        <v>1092</v>
      </c>
      <c r="D1537" t="s">
        <v>1096</v>
      </c>
      <c r="E1537">
        <v>10286.330539999999</v>
      </c>
      <c r="F1537">
        <v>5</v>
      </c>
      <c r="G1537" t="s">
        <v>1103</v>
      </c>
      <c r="H1537" t="s">
        <v>18</v>
      </c>
    </row>
    <row r="1538" spans="1:8" x14ac:dyDescent="0.2">
      <c r="A1538" t="s">
        <v>1768</v>
      </c>
      <c r="B1538" t="s">
        <v>1779</v>
      </c>
      <c r="C1538" t="s">
        <v>1092</v>
      </c>
      <c r="D1538" t="s">
        <v>1096</v>
      </c>
      <c r="E1538">
        <v>10476.820020000001</v>
      </c>
      <c r="F1538">
        <v>5</v>
      </c>
      <c r="G1538" t="s">
        <v>1103</v>
      </c>
      <c r="H1538" t="s">
        <v>18</v>
      </c>
    </row>
    <row r="1539" spans="1:8" x14ac:dyDescent="0.2">
      <c r="A1539" t="s">
        <v>1768</v>
      </c>
      <c r="B1539" t="s">
        <v>1780</v>
      </c>
      <c r="C1539" t="s">
        <v>1092</v>
      </c>
      <c r="D1539" t="s">
        <v>1096</v>
      </c>
      <c r="E1539">
        <v>7497.3729300000005</v>
      </c>
      <c r="F1539">
        <v>5</v>
      </c>
      <c r="G1539" t="s">
        <v>1103</v>
      </c>
      <c r="H1539" t="s">
        <v>18</v>
      </c>
    </row>
    <row r="1540" spans="1:8" x14ac:dyDescent="0.2">
      <c r="A1540" t="s">
        <v>1768</v>
      </c>
      <c r="B1540" t="s">
        <v>1781</v>
      </c>
      <c r="C1540" t="s">
        <v>1092</v>
      </c>
      <c r="D1540" t="s">
        <v>1096</v>
      </c>
      <c r="E1540">
        <v>7123.9083699999992</v>
      </c>
      <c r="F1540">
        <v>5</v>
      </c>
      <c r="G1540" t="s">
        <v>1103</v>
      </c>
      <c r="H1540" t="s">
        <v>18</v>
      </c>
    </row>
    <row r="1541" spans="1:8" x14ac:dyDescent="0.2">
      <c r="A1541" t="s">
        <v>1768</v>
      </c>
      <c r="B1541" t="s">
        <v>1782</v>
      </c>
      <c r="C1541" t="s">
        <v>1092</v>
      </c>
      <c r="D1541" t="s">
        <v>1096</v>
      </c>
      <c r="E1541">
        <v>10443.080169999999</v>
      </c>
      <c r="F1541">
        <v>5</v>
      </c>
      <c r="G1541" t="s">
        <v>1103</v>
      </c>
      <c r="H1541" t="s">
        <v>18</v>
      </c>
    </row>
    <row r="1542" spans="1:8" x14ac:dyDescent="0.2">
      <c r="A1542" t="s">
        <v>1768</v>
      </c>
      <c r="B1542" t="s">
        <v>1783</v>
      </c>
      <c r="C1542" t="s">
        <v>1092</v>
      </c>
      <c r="D1542" t="s">
        <v>1096</v>
      </c>
      <c r="E1542">
        <v>9254.6217199999992</v>
      </c>
      <c r="F1542">
        <v>5</v>
      </c>
      <c r="G1542" t="s">
        <v>1103</v>
      </c>
      <c r="H1542" t="s">
        <v>18</v>
      </c>
    </row>
    <row r="1543" spans="1:8" x14ac:dyDescent="0.2">
      <c r="A1543" t="s">
        <v>1768</v>
      </c>
      <c r="B1543" t="s">
        <v>1784</v>
      </c>
      <c r="C1543" t="s">
        <v>1092</v>
      </c>
      <c r="D1543" t="s">
        <v>1096</v>
      </c>
      <c r="E1543">
        <v>10777.13658</v>
      </c>
      <c r="F1543">
        <v>5</v>
      </c>
      <c r="G1543" t="s">
        <v>1103</v>
      </c>
      <c r="H1543" t="s">
        <v>18</v>
      </c>
    </row>
    <row r="1544" spans="1:8" x14ac:dyDescent="0.2">
      <c r="A1544" t="s">
        <v>1768</v>
      </c>
      <c r="B1544" t="s">
        <v>1099</v>
      </c>
      <c r="C1544" t="s">
        <v>1100</v>
      </c>
      <c r="D1544" t="s">
        <v>35</v>
      </c>
      <c r="E1544">
        <v>145136.00864000001</v>
      </c>
      <c r="F1544">
        <v>80</v>
      </c>
      <c r="G1544" t="s">
        <v>35</v>
      </c>
      <c r="H1544" t="s">
        <v>18</v>
      </c>
    </row>
    <row r="1545" spans="1:8" x14ac:dyDescent="0.2">
      <c r="A1545" t="s">
        <v>1785</v>
      </c>
      <c r="B1545" t="s">
        <v>1786</v>
      </c>
      <c r="C1545" t="s">
        <v>1092</v>
      </c>
      <c r="D1545" t="s">
        <v>1058</v>
      </c>
      <c r="E1545">
        <v>298894</v>
      </c>
      <c r="F1545">
        <v>37</v>
      </c>
      <c r="G1545" t="s">
        <v>1103</v>
      </c>
      <c r="H1545" t="s">
        <v>18</v>
      </c>
    </row>
    <row r="1546" spans="1:8" x14ac:dyDescent="0.2">
      <c r="A1546" t="s">
        <v>1785</v>
      </c>
      <c r="B1546" t="s">
        <v>1099</v>
      </c>
      <c r="C1546" t="s">
        <v>1100</v>
      </c>
      <c r="D1546" t="s">
        <v>35</v>
      </c>
      <c r="E1546">
        <v>298894</v>
      </c>
      <c r="F1546">
        <v>37</v>
      </c>
      <c r="G1546" t="s">
        <v>35</v>
      </c>
      <c r="H1546" t="s">
        <v>18</v>
      </c>
    </row>
    <row r="1547" spans="1:8" x14ac:dyDescent="0.2">
      <c r="A1547" t="s">
        <v>1924</v>
      </c>
      <c r="B1547" t="s">
        <v>1925</v>
      </c>
      <c r="C1547" t="s">
        <v>1092</v>
      </c>
      <c r="D1547" t="s">
        <v>1058</v>
      </c>
      <c r="E1547">
        <v>331416.78600000002</v>
      </c>
      <c r="F1547">
        <v>307</v>
      </c>
      <c r="G1547" t="s">
        <v>1103</v>
      </c>
      <c r="H1547" t="s">
        <v>18</v>
      </c>
    </row>
    <row r="1548" spans="1:8" x14ac:dyDescent="0.2">
      <c r="A1548" t="s">
        <v>1924</v>
      </c>
      <c r="B1548" t="s">
        <v>1099</v>
      </c>
      <c r="C1548" t="s">
        <v>1100</v>
      </c>
      <c r="D1548" t="s">
        <v>35</v>
      </c>
      <c r="E1548">
        <v>331416.78600000002</v>
      </c>
      <c r="F1548">
        <v>307</v>
      </c>
      <c r="G1548" t="s">
        <v>35</v>
      </c>
      <c r="H1548" t="s">
        <v>18</v>
      </c>
    </row>
    <row r="1549" spans="1:8" x14ac:dyDescent="0.2">
      <c r="A1549" t="s">
        <v>1926</v>
      </c>
      <c r="B1549" t="s">
        <v>1180</v>
      </c>
      <c r="C1549" t="s">
        <v>1092</v>
      </c>
      <c r="D1549" t="s">
        <v>1126</v>
      </c>
      <c r="E1549">
        <v>660615.48</v>
      </c>
      <c r="F1549">
        <v>197</v>
      </c>
      <c r="G1549" t="s">
        <v>1093</v>
      </c>
      <c r="H1549" t="s">
        <v>18</v>
      </c>
    </row>
    <row r="1550" spans="1:8" x14ac:dyDescent="0.2">
      <c r="A1550" t="s">
        <v>1926</v>
      </c>
      <c r="B1550" t="s">
        <v>1099</v>
      </c>
      <c r="C1550" t="s">
        <v>1100</v>
      </c>
      <c r="D1550" t="s">
        <v>35</v>
      </c>
      <c r="E1550">
        <v>660615.48</v>
      </c>
      <c r="F1550">
        <v>197</v>
      </c>
      <c r="G1550" t="s">
        <v>35</v>
      </c>
      <c r="H1550" t="s">
        <v>18</v>
      </c>
    </row>
    <row r="1551" spans="1:8" x14ac:dyDescent="0.2">
      <c r="A1551" t="s">
        <v>1787</v>
      </c>
      <c r="B1551" t="s">
        <v>1788</v>
      </c>
      <c r="C1551" t="s">
        <v>1092</v>
      </c>
      <c r="D1551" t="s">
        <v>1052</v>
      </c>
      <c r="E1551">
        <v>459406.08400000003</v>
      </c>
      <c r="F1551">
        <v>38</v>
      </c>
      <c r="G1551" t="s">
        <v>1093</v>
      </c>
      <c r="H1551" t="s">
        <v>18</v>
      </c>
    </row>
    <row r="1552" spans="1:8" x14ac:dyDescent="0.2">
      <c r="A1552" t="s">
        <v>1787</v>
      </c>
      <c r="B1552" t="s">
        <v>1789</v>
      </c>
      <c r="C1552" t="s">
        <v>1092</v>
      </c>
      <c r="D1552" t="s">
        <v>1052</v>
      </c>
      <c r="E1552">
        <v>470956.50499999995</v>
      </c>
      <c r="F1552">
        <v>43</v>
      </c>
      <c r="G1552" t="s">
        <v>1093</v>
      </c>
      <c r="H1552" t="s">
        <v>18</v>
      </c>
    </row>
    <row r="1553" spans="1:8" x14ac:dyDescent="0.2">
      <c r="A1553" t="s">
        <v>1787</v>
      </c>
      <c r="B1553" t="s">
        <v>1099</v>
      </c>
      <c r="C1553" t="s">
        <v>1100</v>
      </c>
      <c r="D1553" t="s">
        <v>35</v>
      </c>
      <c r="E1553">
        <v>930362.58899999992</v>
      </c>
      <c r="F1553">
        <v>81</v>
      </c>
      <c r="G1553" t="s">
        <v>35</v>
      </c>
      <c r="H1553" t="s">
        <v>18</v>
      </c>
    </row>
    <row r="1554" spans="1:8" x14ac:dyDescent="0.2">
      <c r="A1554" t="s">
        <v>1790</v>
      </c>
      <c r="B1554" t="s">
        <v>1791</v>
      </c>
      <c r="C1554" t="s">
        <v>1092</v>
      </c>
      <c r="D1554" t="s">
        <v>1096</v>
      </c>
      <c r="E1554">
        <v>357543.69020000001</v>
      </c>
      <c r="F1554">
        <v>114</v>
      </c>
      <c r="G1554" t="s">
        <v>1103</v>
      </c>
      <c r="H1554" t="s">
        <v>18</v>
      </c>
    </row>
    <row r="1555" spans="1:8" x14ac:dyDescent="0.2">
      <c r="A1555" t="s">
        <v>1790</v>
      </c>
      <c r="B1555" t="s">
        <v>1099</v>
      </c>
      <c r="C1555" t="s">
        <v>1100</v>
      </c>
      <c r="D1555" t="s">
        <v>35</v>
      </c>
      <c r="E1555">
        <v>357543.69020000001</v>
      </c>
      <c r="F1555">
        <v>114</v>
      </c>
      <c r="G1555" t="s">
        <v>35</v>
      </c>
      <c r="H1555" t="s">
        <v>18</v>
      </c>
    </row>
    <row r="1556" spans="1:8" x14ac:dyDescent="0.2">
      <c r="A1556" t="s">
        <v>141</v>
      </c>
      <c r="B1556" t="s">
        <v>1792</v>
      </c>
      <c r="C1556" t="s">
        <v>1092</v>
      </c>
      <c r="D1556" t="s">
        <v>1126</v>
      </c>
      <c r="E1556">
        <v>234711.99000000002</v>
      </c>
      <c r="F1556">
        <v>135577</v>
      </c>
      <c r="G1556" t="s">
        <v>1109</v>
      </c>
      <c r="H1556" t="s">
        <v>18</v>
      </c>
    </row>
    <row r="1557" spans="1:8" x14ac:dyDescent="0.2">
      <c r="A1557" t="s">
        <v>141</v>
      </c>
      <c r="B1557" t="s">
        <v>1793</v>
      </c>
      <c r="C1557" t="s">
        <v>1092</v>
      </c>
      <c r="D1557" t="s">
        <v>1126</v>
      </c>
      <c r="E1557">
        <v>244891.59299999999</v>
      </c>
      <c r="F1557">
        <v>137316</v>
      </c>
      <c r="G1557" t="s">
        <v>1109</v>
      </c>
      <c r="H1557" t="s">
        <v>18</v>
      </c>
    </row>
    <row r="1558" spans="1:8" x14ac:dyDescent="0.2">
      <c r="A1558" t="s">
        <v>141</v>
      </c>
      <c r="B1558" t="s">
        <v>1794</v>
      </c>
      <c r="C1558" t="s">
        <v>1092</v>
      </c>
      <c r="D1558" t="s">
        <v>1126</v>
      </c>
      <c r="E1558">
        <v>129055.73999999999</v>
      </c>
      <c r="F1558">
        <v>83141</v>
      </c>
      <c r="G1558" t="s">
        <v>1109</v>
      </c>
      <c r="H1558" t="s">
        <v>18</v>
      </c>
    </row>
    <row r="1559" spans="1:8" x14ac:dyDescent="0.2">
      <c r="A1559" t="s">
        <v>141</v>
      </c>
      <c r="B1559" t="s">
        <v>1795</v>
      </c>
      <c r="C1559" t="s">
        <v>1092</v>
      </c>
      <c r="D1559" t="s">
        <v>1126</v>
      </c>
      <c r="E1559">
        <v>94784.597389999981</v>
      </c>
      <c r="F1559">
        <v>52880</v>
      </c>
      <c r="G1559" t="s">
        <v>1109</v>
      </c>
      <c r="H1559" t="s">
        <v>18</v>
      </c>
    </row>
    <row r="1560" spans="1:8" x14ac:dyDescent="0.2">
      <c r="A1560" t="s">
        <v>141</v>
      </c>
      <c r="B1560" t="s">
        <v>1796</v>
      </c>
      <c r="C1560" t="s">
        <v>1092</v>
      </c>
      <c r="D1560" t="s">
        <v>1126</v>
      </c>
      <c r="E1560">
        <v>738909.15812699997</v>
      </c>
      <c r="F1560">
        <v>336818</v>
      </c>
      <c r="G1560" t="s">
        <v>1109</v>
      </c>
      <c r="H1560" t="s">
        <v>18</v>
      </c>
    </row>
    <row r="1561" spans="1:8" x14ac:dyDescent="0.2">
      <c r="A1561" t="s">
        <v>141</v>
      </c>
      <c r="B1561" t="s">
        <v>1099</v>
      </c>
      <c r="C1561" t="s">
        <v>1100</v>
      </c>
      <c r="D1561" t="s">
        <v>35</v>
      </c>
      <c r="E1561">
        <v>1442353.0785169997</v>
      </c>
      <c r="F1561">
        <v>745732</v>
      </c>
      <c r="G1561" t="s">
        <v>35</v>
      </c>
      <c r="H1561" t="s">
        <v>18</v>
      </c>
    </row>
    <row r="1562" spans="1:8" x14ac:dyDescent="0.2">
      <c r="A1562" t="s">
        <v>1797</v>
      </c>
      <c r="B1562" t="s">
        <v>1798</v>
      </c>
      <c r="C1562" t="s">
        <v>1092</v>
      </c>
      <c r="D1562" t="s">
        <v>1052</v>
      </c>
      <c r="E1562">
        <v>175825.24829999998</v>
      </c>
      <c r="F1562">
        <v>58</v>
      </c>
      <c r="G1562" t="s">
        <v>1103</v>
      </c>
      <c r="H1562" t="s">
        <v>18</v>
      </c>
    </row>
    <row r="1563" spans="1:8" x14ac:dyDescent="0.2">
      <c r="A1563" t="s">
        <v>1797</v>
      </c>
      <c r="B1563" t="s">
        <v>1799</v>
      </c>
      <c r="C1563" t="s">
        <v>1092</v>
      </c>
      <c r="D1563" t="s">
        <v>1052</v>
      </c>
      <c r="E1563">
        <v>170685.2782</v>
      </c>
      <c r="F1563">
        <v>78</v>
      </c>
      <c r="G1563" t="s">
        <v>1103</v>
      </c>
      <c r="H1563" t="s">
        <v>18</v>
      </c>
    </row>
    <row r="1564" spans="1:8" x14ac:dyDescent="0.2">
      <c r="A1564" t="s">
        <v>1797</v>
      </c>
      <c r="B1564" t="s">
        <v>1800</v>
      </c>
      <c r="C1564" t="s">
        <v>1092</v>
      </c>
      <c r="D1564" t="s">
        <v>1061</v>
      </c>
      <c r="E1564">
        <v>299401.90340000001</v>
      </c>
      <c r="F1564">
        <v>116</v>
      </c>
      <c r="G1564" t="s">
        <v>1103</v>
      </c>
      <c r="H1564" t="s">
        <v>18</v>
      </c>
    </row>
    <row r="1565" spans="1:8" x14ac:dyDescent="0.2">
      <c r="A1565" t="s">
        <v>1797</v>
      </c>
      <c r="B1565" t="s">
        <v>1927</v>
      </c>
      <c r="C1565" t="s">
        <v>1092</v>
      </c>
      <c r="D1565" t="s">
        <v>1061</v>
      </c>
      <c r="E1565">
        <v>0</v>
      </c>
      <c r="F1565">
        <v>183</v>
      </c>
      <c r="G1565" t="s">
        <v>1103</v>
      </c>
      <c r="H1565" t="s">
        <v>18</v>
      </c>
    </row>
    <row r="1566" spans="1:8" x14ac:dyDescent="0.2">
      <c r="A1566" t="s">
        <v>1797</v>
      </c>
      <c r="B1566" t="s">
        <v>1099</v>
      </c>
      <c r="C1566" t="s">
        <v>1100</v>
      </c>
      <c r="D1566" t="s">
        <v>35</v>
      </c>
      <c r="E1566">
        <v>645912.42989999999</v>
      </c>
      <c r="F1566">
        <v>435</v>
      </c>
      <c r="G1566" t="s">
        <v>35</v>
      </c>
      <c r="H1566" t="s">
        <v>18</v>
      </c>
    </row>
    <row r="1567" spans="1:8" x14ac:dyDescent="0.2">
      <c r="A1567" t="s">
        <v>1801</v>
      </c>
      <c r="B1567" t="s">
        <v>1802</v>
      </c>
      <c r="C1567" t="s">
        <v>1092</v>
      </c>
      <c r="D1567" t="s">
        <v>1061</v>
      </c>
      <c r="E1567">
        <v>57379.4833</v>
      </c>
      <c r="F1567">
        <v>2253</v>
      </c>
      <c r="G1567" t="s">
        <v>1803</v>
      </c>
      <c r="H1567" t="s">
        <v>18</v>
      </c>
    </row>
    <row r="1568" spans="1:8" x14ac:dyDescent="0.2">
      <c r="A1568" t="s">
        <v>1801</v>
      </c>
      <c r="B1568" t="s">
        <v>1099</v>
      </c>
      <c r="C1568" t="s">
        <v>1100</v>
      </c>
      <c r="D1568" t="s">
        <v>35</v>
      </c>
      <c r="E1568">
        <v>57379.4833</v>
      </c>
      <c r="F1568">
        <v>2253</v>
      </c>
      <c r="G1568" t="s">
        <v>35</v>
      </c>
      <c r="H1568" t="s">
        <v>18</v>
      </c>
    </row>
    <row r="1569" spans="1:8" x14ac:dyDescent="0.2">
      <c r="A1569" t="s">
        <v>511</v>
      </c>
      <c r="B1569" t="s">
        <v>1804</v>
      </c>
      <c r="C1569" t="s">
        <v>1092</v>
      </c>
      <c r="D1569" t="s">
        <v>1126</v>
      </c>
      <c r="E1569">
        <v>2660.5039999999999</v>
      </c>
      <c r="F1569">
        <v>1829</v>
      </c>
      <c r="G1569" t="s">
        <v>1236</v>
      </c>
      <c r="H1569" t="s">
        <v>18</v>
      </c>
    </row>
    <row r="1570" spans="1:8" x14ac:dyDescent="0.2">
      <c r="A1570" t="s">
        <v>511</v>
      </c>
      <c r="B1570" t="s">
        <v>1805</v>
      </c>
      <c r="C1570" t="s">
        <v>1092</v>
      </c>
      <c r="D1570" t="s">
        <v>1126</v>
      </c>
      <c r="E1570">
        <v>2977.3150000000001</v>
      </c>
      <c r="F1570">
        <v>2182</v>
      </c>
      <c r="G1570" t="s">
        <v>1236</v>
      </c>
      <c r="H1570" t="s">
        <v>18</v>
      </c>
    </row>
    <row r="1571" spans="1:8" x14ac:dyDescent="0.2">
      <c r="A1571" t="s">
        <v>511</v>
      </c>
      <c r="B1571" t="s">
        <v>1099</v>
      </c>
      <c r="C1571" t="s">
        <v>1100</v>
      </c>
      <c r="D1571" t="s">
        <v>35</v>
      </c>
      <c r="E1571">
        <v>5637.8189999999995</v>
      </c>
      <c r="F1571">
        <v>4011</v>
      </c>
      <c r="G1571" t="s">
        <v>35</v>
      </c>
      <c r="H1571" t="s">
        <v>18</v>
      </c>
    </row>
    <row r="1572" spans="1:8" x14ac:dyDescent="0.2">
      <c r="A1572" t="s">
        <v>1807</v>
      </c>
      <c r="B1572" t="s">
        <v>1808</v>
      </c>
      <c r="C1572" t="s">
        <v>1092</v>
      </c>
      <c r="D1572" t="s">
        <v>1058</v>
      </c>
      <c r="E1572">
        <v>171393.55</v>
      </c>
      <c r="F1572">
        <v>6</v>
      </c>
      <c r="G1572" t="s">
        <v>1103</v>
      </c>
      <c r="H1572" t="s">
        <v>18</v>
      </c>
    </row>
    <row r="1573" spans="1:8" x14ac:dyDescent="0.2">
      <c r="A1573" t="s">
        <v>1807</v>
      </c>
      <c r="B1573" t="s">
        <v>1099</v>
      </c>
      <c r="C1573" t="s">
        <v>1100</v>
      </c>
      <c r="D1573" t="s">
        <v>35</v>
      </c>
      <c r="E1573">
        <v>171393.55</v>
      </c>
      <c r="F1573">
        <v>6</v>
      </c>
      <c r="G1573" t="s">
        <v>35</v>
      </c>
      <c r="H1573" t="s">
        <v>18</v>
      </c>
    </row>
    <row r="1574" spans="1:8" x14ac:dyDescent="0.2">
      <c r="A1574" t="s">
        <v>1809</v>
      </c>
      <c r="B1574" t="s">
        <v>1810</v>
      </c>
      <c r="C1574" t="s">
        <v>1092</v>
      </c>
      <c r="D1574" t="s">
        <v>1058</v>
      </c>
      <c r="E1574">
        <v>28413.138279999999</v>
      </c>
      <c r="F1574">
        <v>0</v>
      </c>
      <c r="G1574" t="s">
        <v>1103</v>
      </c>
      <c r="H1574" t="s">
        <v>18</v>
      </c>
    </row>
    <row r="1575" spans="1:8" x14ac:dyDescent="0.2">
      <c r="A1575" t="s">
        <v>1809</v>
      </c>
      <c r="B1575" t="s">
        <v>1099</v>
      </c>
      <c r="C1575" t="s">
        <v>1100</v>
      </c>
      <c r="D1575" t="s">
        <v>35</v>
      </c>
      <c r="E1575">
        <v>28413.138279999999</v>
      </c>
      <c r="F1575">
        <v>0</v>
      </c>
      <c r="G1575" t="s">
        <v>35</v>
      </c>
      <c r="H1575" t="s">
        <v>18</v>
      </c>
    </row>
    <row r="1576" spans="1:8" x14ac:dyDescent="0.2">
      <c r="A1576" t="s">
        <v>1928</v>
      </c>
      <c r="B1576" t="s">
        <v>1816</v>
      </c>
      <c r="C1576" t="s">
        <v>1092</v>
      </c>
      <c r="D1576" t="s">
        <v>1096</v>
      </c>
      <c r="E1576">
        <v>126828.10249999999</v>
      </c>
      <c r="F1576">
        <v>35</v>
      </c>
      <c r="G1576" t="s">
        <v>1103</v>
      </c>
      <c r="H1576" t="s">
        <v>18</v>
      </c>
    </row>
    <row r="1577" spans="1:8" x14ac:dyDescent="0.2">
      <c r="A1577" t="s">
        <v>1928</v>
      </c>
      <c r="B1577" t="s">
        <v>1099</v>
      </c>
      <c r="C1577" t="s">
        <v>1100</v>
      </c>
      <c r="D1577" t="s">
        <v>35</v>
      </c>
      <c r="E1577">
        <v>126828.10249999999</v>
      </c>
      <c r="F1577">
        <v>35</v>
      </c>
      <c r="G1577" t="s">
        <v>35</v>
      </c>
      <c r="H1577" t="s">
        <v>18</v>
      </c>
    </row>
    <row r="1578" spans="1:8" x14ac:dyDescent="0.2">
      <c r="A1578" t="s">
        <v>1817</v>
      </c>
      <c r="B1578" t="s">
        <v>1818</v>
      </c>
      <c r="C1578" t="s">
        <v>1092</v>
      </c>
      <c r="D1578" t="s">
        <v>1096</v>
      </c>
      <c r="E1578">
        <v>199209.302</v>
      </c>
      <c r="F1578">
        <v>69</v>
      </c>
      <c r="G1578" t="s">
        <v>1103</v>
      </c>
      <c r="H1578" t="s">
        <v>18</v>
      </c>
    </row>
    <row r="1579" spans="1:8" x14ac:dyDescent="0.2">
      <c r="A1579" t="s">
        <v>1817</v>
      </c>
      <c r="B1579" t="s">
        <v>1099</v>
      </c>
      <c r="C1579" t="s">
        <v>1100</v>
      </c>
      <c r="D1579" t="s">
        <v>35</v>
      </c>
      <c r="E1579">
        <v>199209.302</v>
      </c>
      <c r="F1579">
        <v>69</v>
      </c>
      <c r="G1579" t="s">
        <v>35</v>
      </c>
      <c r="H1579" t="s">
        <v>18</v>
      </c>
    </row>
    <row r="1580" spans="1:8" x14ac:dyDescent="0.2">
      <c r="A1580" t="s">
        <v>1819</v>
      </c>
      <c r="B1580" t="s">
        <v>1820</v>
      </c>
      <c r="C1580" t="s">
        <v>1092</v>
      </c>
      <c r="D1580" t="s">
        <v>1061</v>
      </c>
      <c r="E1580">
        <v>296466.05800000002</v>
      </c>
      <c r="F1580">
        <v>26</v>
      </c>
      <c r="G1580" t="s">
        <v>1103</v>
      </c>
      <c r="H1580" t="s">
        <v>18</v>
      </c>
    </row>
    <row r="1581" spans="1:8" x14ac:dyDescent="0.2">
      <c r="A1581" t="s">
        <v>1819</v>
      </c>
      <c r="B1581" t="s">
        <v>1099</v>
      </c>
      <c r="C1581" t="s">
        <v>1100</v>
      </c>
      <c r="D1581" t="s">
        <v>35</v>
      </c>
      <c r="E1581">
        <v>296466.05800000002</v>
      </c>
      <c r="F1581">
        <v>26</v>
      </c>
      <c r="G1581" t="s">
        <v>35</v>
      </c>
      <c r="H1581" t="s">
        <v>18</v>
      </c>
    </row>
    <row r="1582" spans="1:8" x14ac:dyDescent="0.2">
      <c r="A1582" t="s">
        <v>1929</v>
      </c>
      <c r="B1582" t="s">
        <v>1930</v>
      </c>
      <c r="C1582" t="s">
        <v>1092</v>
      </c>
      <c r="D1582" t="s">
        <v>1058</v>
      </c>
      <c r="E1582">
        <v>110103.689</v>
      </c>
      <c r="F1582">
        <v>0</v>
      </c>
      <c r="G1582" t="s">
        <v>1103</v>
      </c>
      <c r="H1582" t="s">
        <v>18</v>
      </c>
    </row>
    <row r="1583" spans="1:8" x14ac:dyDescent="0.2">
      <c r="A1583" t="s">
        <v>1929</v>
      </c>
      <c r="B1583" t="s">
        <v>1099</v>
      </c>
      <c r="C1583" t="s">
        <v>1100</v>
      </c>
      <c r="D1583" t="s">
        <v>35</v>
      </c>
      <c r="E1583">
        <v>110103.689</v>
      </c>
      <c r="F1583">
        <v>0</v>
      </c>
      <c r="G1583" t="s">
        <v>35</v>
      </c>
      <c r="H1583" t="s">
        <v>18</v>
      </c>
    </row>
    <row r="1584" spans="1:8" x14ac:dyDescent="0.2">
      <c r="A1584" t="s">
        <v>1821</v>
      </c>
      <c r="B1584" t="s">
        <v>1822</v>
      </c>
      <c r="C1584" t="s">
        <v>1092</v>
      </c>
      <c r="D1584" t="s">
        <v>1096</v>
      </c>
      <c r="E1584">
        <v>131019.52500000001</v>
      </c>
      <c r="F1584">
        <v>0</v>
      </c>
      <c r="G1584" t="s">
        <v>1103</v>
      </c>
      <c r="H1584" t="s">
        <v>18</v>
      </c>
    </row>
    <row r="1585" spans="1:8" x14ac:dyDescent="0.2">
      <c r="A1585" t="s">
        <v>1821</v>
      </c>
      <c r="B1585" t="s">
        <v>1099</v>
      </c>
      <c r="C1585" t="s">
        <v>1100</v>
      </c>
      <c r="D1585" t="s">
        <v>35</v>
      </c>
      <c r="E1585">
        <v>131019.52500000001</v>
      </c>
      <c r="F1585">
        <v>0</v>
      </c>
      <c r="G1585" t="s">
        <v>35</v>
      </c>
      <c r="H1585" t="s">
        <v>18</v>
      </c>
    </row>
    <row r="1586" spans="1:8" x14ac:dyDescent="0.2">
      <c r="A1586" t="s">
        <v>1931</v>
      </c>
      <c r="B1586" t="s">
        <v>35</v>
      </c>
      <c r="C1586" t="s">
        <v>35</v>
      </c>
      <c r="D1586" t="s">
        <v>35</v>
      </c>
      <c r="E1586">
        <v>219909211.88464135</v>
      </c>
      <c r="F1586">
        <v>135821941</v>
      </c>
      <c r="G1586" t="s">
        <v>35</v>
      </c>
      <c r="H1586" t="s">
        <v>18</v>
      </c>
    </row>
    <row r="1587" spans="1:8" x14ac:dyDescent="0.2">
      <c r="A1587" t="s">
        <v>1932</v>
      </c>
      <c r="B1587" t="s">
        <v>35</v>
      </c>
      <c r="C1587" t="s">
        <v>35</v>
      </c>
      <c r="D1587" t="s">
        <v>35</v>
      </c>
      <c r="E1587">
        <v>215354045.37095633</v>
      </c>
      <c r="F1587">
        <v>133700664</v>
      </c>
      <c r="G1587" t="s">
        <v>35</v>
      </c>
      <c r="H1587" t="s">
        <v>18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7CA9-14A0-1942-9AB0-754900AE8FA6}">
  <dimension ref="A1:H812"/>
  <sheetViews>
    <sheetView workbookViewId="0"/>
  </sheetViews>
  <sheetFormatPr baseColWidth="10" defaultRowHeight="16" x14ac:dyDescent="0.2"/>
  <cols>
    <col min="1" max="1" width="56.1640625" bestFit="1" customWidth="1"/>
    <col min="2" max="2" width="66.6640625" bestFit="1" customWidth="1"/>
    <col min="3" max="3" width="7.33203125" bestFit="1" customWidth="1"/>
    <col min="4" max="4" width="8" bestFit="1" customWidth="1"/>
    <col min="5" max="5" width="27.33203125" bestFit="1" customWidth="1"/>
    <col min="6" max="6" width="31.83203125" bestFit="1" customWidth="1"/>
    <col min="7" max="7" width="18.5" bestFit="1" customWidth="1"/>
    <col min="8" max="8" width="7.83203125" bestFit="1" customWidth="1"/>
  </cols>
  <sheetData>
    <row r="1" spans="1:8" x14ac:dyDescent="0.2">
      <c r="A1" t="s">
        <v>1086</v>
      </c>
      <c r="B1" t="s">
        <v>1087</v>
      </c>
      <c r="C1" t="s">
        <v>1088</v>
      </c>
      <c r="D1" t="s">
        <v>1045</v>
      </c>
      <c r="E1" t="s">
        <v>1089</v>
      </c>
      <c r="F1" t="s">
        <v>28</v>
      </c>
      <c r="G1" t="s">
        <v>1090</v>
      </c>
      <c r="H1" t="s">
        <v>32</v>
      </c>
    </row>
    <row r="2" spans="1:8" x14ac:dyDescent="0.2">
      <c r="A2" t="s">
        <v>1823</v>
      </c>
      <c r="B2" t="s">
        <v>1824</v>
      </c>
      <c r="C2" t="s">
        <v>1092</v>
      </c>
      <c r="D2" t="s">
        <v>1061</v>
      </c>
      <c r="E2">
        <v>30416.509239999999</v>
      </c>
      <c r="F2">
        <v>2980</v>
      </c>
      <c r="G2" t="s">
        <v>1103</v>
      </c>
      <c r="H2" t="s">
        <v>18</v>
      </c>
    </row>
    <row r="3" spans="1:8" x14ac:dyDescent="0.2">
      <c r="A3" t="s">
        <v>1823</v>
      </c>
      <c r="B3" t="s">
        <v>1825</v>
      </c>
      <c r="C3" t="s">
        <v>1092</v>
      </c>
      <c r="D3" t="s">
        <v>1052</v>
      </c>
      <c r="E3">
        <v>153569.51517299999</v>
      </c>
      <c r="F3">
        <v>49</v>
      </c>
      <c r="G3" t="s">
        <v>1093</v>
      </c>
      <c r="H3" t="s">
        <v>18</v>
      </c>
    </row>
    <row r="4" spans="1:8" x14ac:dyDescent="0.2">
      <c r="A4" t="s">
        <v>1823</v>
      </c>
      <c r="B4" t="s">
        <v>1826</v>
      </c>
      <c r="C4" t="s">
        <v>1092</v>
      </c>
      <c r="D4" t="s">
        <v>1058</v>
      </c>
      <c r="E4">
        <v>153846.22560000001</v>
      </c>
      <c r="F4">
        <v>50</v>
      </c>
      <c r="G4" t="s">
        <v>1093</v>
      </c>
      <c r="H4" t="s">
        <v>18</v>
      </c>
    </row>
    <row r="5" spans="1:8" x14ac:dyDescent="0.2">
      <c r="A5" t="s">
        <v>1823</v>
      </c>
      <c r="B5" t="s">
        <v>1827</v>
      </c>
      <c r="C5" t="s">
        <v>1092</v>
      </c>
      <c r="D5" t="s">
        <v>1061</v>
      </c>
      <c r="E5">
        <v>269019.42479999998</v>
      </c>
      <c r="F5">
        <v>4039</v>
      </c>
      <c r="G5" t="s">
        <v>1093</v>
      </c>
      <c r="H5" t="s">
        <v>18</v>
      </c>
    </row>
    <row r="6" spans="1:8" x14ac:dyDescent="0.2">
      <c r="A6" t="s">
        <v>1823</v>
      </c>
      <c r="B6" t="s">
        <v>1095</v>
      </c>
      <c r="C6" t="s">
        <v>1092</v>
      </c>
      <c r="D6" t="s">
        <v>1096</v>
      </c>
      <c r="E6">
        <v>413950.28460000001</v>
      </c>
      <c r="F6">
        <v>181</v>
      </c>
      <c r="G6" t="s">
        <v>1093</v>
      </c>
      <c r="H6" t="s">
        <v>18</v>
      </c>
    </row>
    <row r="7" spans="1:8" x14ac:dyDescent="0.2">
      <c r="A7" t="s">
        <v>1823</v>
      </c>
      <c r="B7" t="s">
        <v>1828</v>
      </c>
      <c r="C7" t="s">
        <v>1092</v>
      </c>
      <c r="D7" t="s">
        <v>1096</v>
      </c>
      <c r="E7">
        <v>315983.65000000002</v>
      </c>
      <c r="F7">
        <v>84</v>
      </c>
      <c r="G7" t="s">
        <v>1093</v>
      </c>
      <c r="H7" t="s">
        <v>18</v>
      </c>
    </row>
    <row r="8" spans="1:8" x14ac:dyDescent="0.2">
      <c r="A8" t="s">
        <v>1823</v>
      </c>
      <c r="B8" t="s">
        <v>1829</v>
      </c>
      <c r="C8" t="s">
        <v>1092</v>
      </c>
      <c r="D8" t="s">
        <v>1096</v>
      </c>
      <c r="E8">
        <v>606773.43130000005</v>
      </c>
      <c r="F8">
        <v>177</v>
      </c>
      <c r="G8" t="s">
        <v>1093</v>
      </c>
      <c r="H8" t="s">
        <v>18</v>
      </c>
    </row>
    <row r="9" spans="1:8" x14ac:dyDescent="0.2">
      <c r="A9" t="s">
        <v>1823</v>
      </c>
      <c r="B9" t="s">
        <v>1099</v>
      </c>
      <c r="C9" t="s">
        <v>1100</v>
      </c>
      <c r="D9" t="s">
        <v>35</v>
      </c>
      <c r="E9">
        <v>1943559.0407130001</v>
      </c>
      <c r="F9">
        <v>7560</v>
      </c>
      <c r="G9" t="s">
        <v>35</v>
      </c>
      <c r="H9" t="s">
        <v>18</v>
      </c>
    </row>
    <row r="10" spans="1:8" x14ac:dyDescent="0.2">
      <c r="A10" t="s">
        <v>1101</v>
      </c>
      <c r="B10" t="s">
        <v>1830</v>
      </c>
      <c r="C10" t="s">
        <v>1092</v>
      </c>
      <c r="D10" t="s">
        <v>1058</v>
      </c>
      <c r="E10">
        <v>744983.46586999996</v>
      </c>
      <c r="F10">
        <v>213</v>
      </c>
      <c r="G10" t="s">
        <v>1103</v>
      </c>
      <c r="H10" t="s">
        <v>18</v>
      </c>
    </row>
    <row r="11" spans="1:8" x14ac:dyDescent="0.2">
      <c r="A11" t="s">
        <v>1101</v>
      </c>
      <c r="B11" t="s">
        <v>1831</v>
      </c>
      <c r="C11" t="s">
        <v>1092</v>
      </c>
      <c r="D11" t="s">
        <v>1058</v>
      </c>
      <c r="E11">
        <v>167378.7304</v>
      </c>
      <c r="F11">
        <v>0</v>
      </c>
      <c r="G11" t="s">
        <v>1103</v>
      </c>
      <c r="H11" t="s">
        <v>18</v>
      </c>
    </row>
    <row r="12" spans="1:8" x14ac:dyDescent="0.2">
      <c r="A12" t="s">
        <v>1101</v>
      </c>
      <c r="B12" t="s">
        <v>1099</v>
      </c>
      <c r="C12" t="s">
        <v>1100</v>
      </c>
      <c r="D12" t="s">
        <v>35</v>
      </c>
      <c r="E12">
        <v>912362.19626999996</v>
      </c>
      <c r="F12">
        <v>213</v>
      </c>
      <c r="G12" t="s">
        <v>35</v>
      </c>
      <c r="H12" t="s">
        <v>18</v>
      </c>
    </row>
    <row r="13" spans="1:8" x14ac:dyDescent="0.2">
      <c r="A13" t="s">
        <v>1104</v>
      </c>
      <c r="B13" t="s">
        <v>1105</v>
      </c>
      <c r="C13" t="s">
        <v>1092</v>
      </c>
      <c r="D13" t="s">
        <v>1061</v>
      </c>
      <c r="E13">
        <v>146811.62</v>
      </c>
      <c r="F13">
        <v>0</v>
      </c>
      <c r="G13" t="s">
        <v>1103</v>
      </c>
      <c r="H13" t="s">
        <v>18</v>
      </c>
    </row>
    <row r="14" spans="1:8" x14ac:dyDescent="0.2">
      <c r="A14" t="s">
        <v>1104</v>
      </c>
      <c r="B14" t="s">
        <v>1099</v>
      </c>
      <c r="C14" t="s">
        <v>1100</v>
      </c>
      <c r="D14" t="s">
        <v>35</v>
      </c>
      <c r="E14">
        <v>146811.62</v>
      </c>
      <c r="F14">
        <v>0</v>
      </c>
      <c r="G14" t="s">
        <v>35</v>
      </c>
      <c r="H14" t="s">
        <v>18</v>
      </c>
    </row>
    <row r="15" spans="1:8" x14ac:dyDescent="0.2">
      <c r="A15" t="s">
        <v>33</v>
      </c>
      <c r="B15" t="s">
        <v>1106</v>
      </c>
      <c r="C15" t="s">
        <v>1092</v>
      </c>
      <c r="D15" t="s">
        <v>1096</v>
      </c>
      <c r="E15">
        <v>36309.148580000001</v>
      </c>
      <c r="F15">
        <v>16</v>
      </c>
      <c r="G15" t="s">
        <v>1107</v>
      </c>
      <c r="H15" t="s">
        <v>18</v>
      </c>
    </row>
    <row r="16" spans="1:8" x14ac:dyDescent="0.2">
      <c r="A16" t="s">
        <v>33</v>
      </c>
      <c r="B16" t="s">
        <v>1108</v>
      </c>
      <c r="C16" t="s">
        <v>1092</v>
      </c>
      <c r="D16" t="s">
        <v>1052</v>
      </c>
      <c r="E16">
        <v>389496.561636</v>
      </c>
      <c r="F16">
        <v>229921</v>
      </c>
      <c r="G16" t="s">
        <v>1109</v>
      </c>
      <c r="H16" t="s">
        <v>18</v>
      </c>
    </row>
    <row r="17" spans="1:8" x14ac:dyDescent="0.2">
      <c r="A17" t="s">
        <v>33</v>
      </c>
      <c r="B17" t="s">
        <v>1110</v>
      </c>
      <c r="C17" t="s">
        <v>1092</v>
      </c>
      <c r="D17" t="s">
        <v>1058</v>
      </c>
      <c r="E17">
        <v>15239440</v>
      </c>
      <c r="F17">
        <v>13289625</v>
      </c>
      <c r="G17" t="s">
        <v>1111</v>
      </c>
      <c r="H17" t="s">
        <v>18</v>
      </c>
    </row>
    <row r="18" spans="1:8" x14ac:dyDescent="0.2">
      <c r="A18" t="s">
        <v>33</v>
      </c>
      <c r="B18" t="s">
        <v>1112</v>
      </c>
      <c r="C18" t="s">
        <v>1092</v>
      </c>
      <c r="D18" t="s">
        <v>1096</v>
      </c>
      <c r="E18">
        <v>65399.643303999997</v>
      </c>
      <c r="F18">
        <v>82</v>
      </c>
      <c r="G18" t="s">
        <v>1107</v>
      </c>
      <c r="H18" t="s">
        <v>18</v>
      </c>
    </row>
    <row r="19" spans="1:8" x14ac:dyDescent="0.2">
      <c r="A19" t="s">
        <v>33</v>
      </c>
      <c r="B19" t="s">
        <v>1832</v>
      </c>
      <c r="C19" t="s">
        <v>1092</v>
      </c>
      <c r="D19" t="s">
        <v>1058</v>
      </c>
      <c r="E19">
        <v>0</v>
      </c>
      <c r="F19">
        <v>1</v>
      </c>
      <c r="G19" t="s">
        <v>1191</v>
      </c>
      <c r="H19" t="s">
        <v>18</v>
      </c>
    </row>
    <row r="20" spans="1:8" x14ac:dyDescent="0.2">
      <c r="A20" t="s">
        <v>33</v>
      </c>
      <c r="B20" t="s">
        <v>1113</v>
      </c>
      <c r="C20" t="s">
        <v>1092</v>
      </c>
      <c r="D20" t="s">
        <v>1058</v>
      </c>
      <c r="E20">
        <v>91376.5</v>
      </c>
      <c r="F20">
        <v>88</v>
      </c>
      <c r="G20" t="s">
        <v>1103</v>
      </c>
      <c r="H20" t="s">
        <v>18</v>
      </c>
    </row>
    <row r="21" spans="1:8" x14ac:dyDescent="0.2">
      <c r="A21" t="s">
        <v>33</v>
      </c>
      <c r="B21" t="s">
        <v>1114</v>
      </c>
      <c r="C21" t="s">
        <v>1092</v>
      </c>
      <c r="D21" t="s">
        <v>1058</v>
      </c>
      <c r="E21">
        <v>32305.175853999997</v>
      </c>
      <c r="F21">
        <v>1</v>
      </c>
      <c r="G21" t="s">
        <v>1107</v>
      </c>
      <c r="H21" t="s">
        <v>18</v>
      </c>
    </row>
    <row r="22" spans="1:8" x14ac:dyDescent="0.2">
      <c r="A22" t="s">
        <v>33</v>
      </c>
      <c r="B22" t="s">
        <v>1115</v>
      </c>
      <c r="C22" t="s">
        <v>1092</v>
      </c>
      <c r="D22" t="s">
        <v>1096</v>
      </c>
      <c r="E22">
        <v>13468.491853</v>
      </c>
      <c r="F22">
        <v>2</v>
      </c>
      <c r="G22" t="s">
        <v>1107</v>
      </c>
      <c r="H22" t="s">
        <v>18</v>
      </c>
    </row>
    <row r="23" spans="1:8" x14ac:dyDescent="0.2">
      <c r="A23" t="s">
        <v>33</v>
      </c>
      <c r="B23" t="s">
        <v>1116</v>
      </c>
      <c r="C23" t="s">
        <v>1092</v>
      </c>
      <c r="D23" t="s">
        <v>1061</v>
      </c>
      <c r="E23">
        <v>1313382.964902</v>
      </c>
      <c r="F23">
        <v>151</v>
      </c>
      <c r="G23" t="s">
        <v>1093</v>
      </c>
      <c r="H23" t="s">
        <v>18</v>
      </c>
    </row>
    <row r="24" spans="1:8" x14ac:dyDescent="0.2">
      <c r="A24" t="s">
        <v>33</v>
      </c>
      <c r="B24" t="s">
        <v>1117</v>
      </c>
      <c r="C24" t="s">
        <v>1092</v>
      </c>
      <c r="D24" t="s">
        <v>1058</v>
      </c>
      <c r="E24">
        <v>37726.026641999997</v>
      </c>
      <c r="F24">
        <v>1</v>
      </c>
      <c r="G24" t="s">
        <v>1107</v>
      </c>
      <c r="H24" t="s">
        <v>18</v>
      </c>
    </row>
    <row r="25" spans="1:8" x14ac:dyDescent="0.2">
      <c r="A25" t="s">
        <v>33</v>
      </c>
      <c r="B25" t="s">
        <v>1118</v>
      </c>
      <c r="C25" t="s">
        <v>1092</v>
      </c>
      <c r="D25" t="s">
        <v>1096</v>
      </c>
      <c r="E25">
        <v>502292.90411600005</v>
      </c>
      <c r="F25">
        <v>0</v>
      </c>
      <c r="G25" t="s">
        <v>1107</v>
      </c>
      <c r="H25" t="s">
        <v>18</v>
      </c>
    </row>
    <row r="26" spans="1:8" x14ac:dyDescent="0.2">
      <c r="A26" t="s">
        <v>33</v>
      </c>
      <c r="B26" t="s">
        <v>1119</v>
      </c>
      <c r="C26" t="s">
        <v>1092</v>
      </c>
      <c r="D26" t="s">
        <v>1096</v>
      </c>
      <c r="E26">
        <v>210591.145464</v>
      </c>
      <c r="F26">
        <v>0</v>
      </c>
      <c r="G26" t="s">
        <v>1107</v>
      </c>
      <c r="H26" t="s">
        <v>18</v>
      </c>
    </row>
    <row r="27" spans="1:8" x14ac:dyDescent="0.2">
      <c r="A27" t="s">
        <v>33</v>
      </c>
      <c r="B27" t="s">
        <v>1120</v>
      </c>
      <c r="C27" t="s">
        <v>1092</v>
      </c>
      <c r="D27" t="s">
        <v>1058</v>
      </c>
      <c r="E27">
        <v>0</v>
      </c>
      <c r="F27">
        <v>0</v>
      </c>
      <c r="G27" t="s">
        <v>1107</v>
      </c>
      <c r="H27" t="s">
        <v>18</v>
      </c>
    </row>
    <row r="28" spans="1:8" x14ac:dyDescent="0.2">
      <c r="A28" t="s">
        <v>33</v>
      </c>
      <c r="B28" t="s">
        <v>1121</v>
      </c>
      <c r="C28" t="s">
        <v>1092</v>
      </c>
      <c r="D28" t="s">
        <v>1052</v>
      </c>
      <c r="E28">
        <v>262152.00000100001</v>
      </c>
      <c r="F28">
        <v>246</v>
      </c>
      <c r="G28" t="s">
        <v>1093</v>
      </c>
      <c r="H28" t="s">
        <v>18</v>
      </c>
    </row>
    <row r="29" spans="1:8" x14ac:dyDescent="0.2">
      <c r="A29" t="s">
        <v>33</v>
      </c>
      <c r="B29" t="s">
        <v>1122</v>
      </c>
      <c r="C29" t="s">
        <v>1092</v>
      </c>
      <c r="D29" t="s">
        <v>1052</v>
      </c>
      <c r="E29">
        <v>190862.04188999999</v>
      </c>
      <c r="F29">
        <v>38</v>
      </c>
      <c r="G29" t="s">
        <v>1093</v>
      </c>
      <c r="H29" t="s">
        <v>18</v>
      </c>
    </row>
    <row r="30" spans="1:8" x14ac:dyDescent="0.2">
      <c r="A30" t="s">
        <v>33</v>
      </c>
      <c r="B30" t="s">
        <v>1123</v>
      </c>
      <c r="C30" t="s">
        <v>1092</v>
      </c>
      <c r="D30" t="s">
        <v>1052</v>
      </c>
      <c r="E30">
        <v>341314</v>
      </c>
      <c r="F30">
        <v>103</v>
      </c>
      <c r="G30" t="s">
        <v>1093</v>
      </c>
      <c r="H30" t="s">
        <v>18</v>
      </c>
    </row>
    <row r="31" spans="1:8" x14ac:dyDescent="0.2">
      <c r="A31" t="s">
        <v>33</v>
      </c>
      <c r="B31" t="s">
        <v>1124</v>
      </c>
      <c r="C31" t="s">
        <v>1092</v>
      </c>
      <c r="D31" t="s">
        <v>1052</v>
      </c>
      <c r="E31">
        <v>100107.967642</v>
      </c>
      <c r="F31">
        <v>56</v>
      </c>
      <c r="G31" t="s">
        <v>1093</v>
      </c>
      <c r="H31" t="s">
        <v>18</v>
      </c>
    </row>
    <row r="32" spans="1:8" x14ac:dyDescent="0.2">
      <c r="A32" t="s">
        <v>33</v>
      </c>
      <c r="B32" t="s">
        <v>1125</v>
      </c>
      <c r="C32" t="s">
        <v>1092</v>
      </c>
      <c r="D32" t="s">
        <v>1126</v>
      </c>
      <c r="E32">
        <v>111484.014845</v>
      </c>
      <c r="F32">
        <v>84635</v>
      </c>
      <c r="G32" t="s">
        <v>1109</v>
      </c>
      <c r="H32" t="s">
        <v>18</v>
      </c>
    </row>
    <row r="33" spans="1:8" x14ac:dyDescent="0.2">
      <c r="A33" t="s">
        <v>33</v>
      </c>
      <c r="B33" t="s">
        <v>1127</v>
      </c>
      <c r="C33" t="s">
        <v>1092</v>
      </c>
      <c r="D33" t="s">
        <v>1096</v>
      </c>
      <c r="E33">
        <v>13692384.381964</v>
      </c>
      <c r="F33">
        <v>16180757</v>
      </c>
      <c r="G33" t="s">
        <v>1128</v>
      </c>
      <c r="H33" t="s">
        <v>18</v>
      </c>
    </row>
    <row r="34" spans="1:8" x14ac:dyDescent="0.2">
      <c r="A34" t="s">
        <v>33</v>
      </c>
      <c r="B34" t="s">
        <v>1129</v>
      </c>
      <c r="C34" t="s">
        <v>1092</v>
      </c>
      <c r="D34" t="s">
        <v>1096</v>
      </c>
      <c r="E34">
        <v>582830</v>
      </c>
      <c r="F34">
        <v>1704</v>
      </c>
      <c r="G34" t="s">
        <v>1093</v>
      </c>
      <c r="H34" t="s">
        <v>18</v>
      </c>
    </row>
    <row r="35" spans="1:8" x14ac:dyDescent="0.2">
      <c r="A35" t="s">
        <v>33</v>
      </c>
      <c r="B35" t="s">
        <v>1130</v>
      </c>
      <c r="C35" t="s">
        <v>1092</v>
      </c>
      <c r="D35" t="s">
        <v>1096</v>
      </c>
      <c r="E35">
        <v>85274.035849000007</v>
      </c>
      <c r="F35">
        <v>0</v>
      </c>
      <c r="G35" t="s">
        <v>1107</v>
      </c>
      <c r="H35" t="s">
        <v>18</v>
      </c>
    </row>
    <row r="36" spans="1:8" x14ac:dyDescent="0.2">
      <c r="A36" t="s">
        <v>33</v>
      </c>
      <c r="B36" t="s">
        <v>1131</v>
      </c>
      <c r="C36" t="s">
        <v>1092</v>
      </c>
      <c r="D36" t="s">
        <v>1058</v>
      </c>
      <c r="E36">
        <v>212864.69999999998</v>
      </c>
      <c r="F36">
        <v>157</v>
      </c>
      <c r="G36" t="s">
        <v>1103</v>
      </c>
      <c r="H36" t="s">
        <v>18</v>
      </c>
    </row>
    <row r="37" spans="1:8" x14ac:dyDescent="0.2">
      <c r="A37" t="s">
        <v>33</v>
      </c>
      <c r="B37" t="s">
        <v>1132</v>
      </c>
      <c r="C37" t="s">
        <v>1092</v>
      </c>
      <c r="D37" t="s">
        <v>1096</v>
      </c>
      <c r="E37">
        <v>157848</v>
      </c>
      <c r="F37">
        <v>239</v>
      </c>
      <c r="G37" t="s">
        <v>1093</v>
      </c>
      <c r="H37" t="s">
        <v>18</v>
      </c>
    </row>
    <row r="38" spans="1:8" x14ac:dyDescent="0.2">
      <c r="A38" t="s">
        <v>33</v>
      </c>
      <c r="B38" t="s">
        <v>1133</v>
      </c>
      <c r="C38" t="s">
        <v>1092</v>
      </c>
      <c r="D38" t="s">
        <v>1058</v>
      </c>
      <c r="E38">
        <v>2111.7443749999998</v>
      </c>
      <c r="F38">
        <v>0</v>
      </c>
      <c r="G38" t="s">
        <v>1107</v>
      </c>
      <c r="H38" t="s">
        <v>18</v>
      </c>
    </row>
    <row r="39" spans="1:8" x14ac:dyDescent="0.2">
      <c r="A39" t="s">
        <v>33</v>
      </c>
      <c r="B39" t="s">
        <v>1134</v>
      </c>
      <c r="C39" t="s">
        <v>1092</v>
      </c>
      <c r="D39" t="s">
        <v>1096</v>
      </c>
      <c r="E39">
        <v>4126.4856170000003</v>
      </c>
      <c r="F39">
        <v>0</v>
      </c>
      <c r="G39" t="s">
        <v>1107</v>
      </c>
      <c r="H39" t="s">
        <v>18</v>
      </c>
    </row>
    <row r="40" spans="1:8" x14ac:dyDescent="0.2">
      <c r="A40" t="s">
        <v>33</v>
      </c>
      <c r="B40" t="s">
        <v>1135</v>
      </c>
      <c r="C40" t="s">
        <v>1092</v>
      </c>
      <c r="D40" t="s">
        <v>1058</v>
      </c>
      <c r="E40">
        <v>542730</v>
      </c>
      <c r="F40">
        <v>91</v>
      </c>
      <c r="G40" t="s">
        <v>1093</v>
      </c>
      <c r="H40" t="s">
        <v>18</v>
      </c>
    </row>
    <row r="41" spans="1:8" x14ac:dyDescent="0.2">
      <c r="A41" t="s">
        <v>33</v>
      </c>
      <c r="B41" t="s">
        <v>1136</v>
      </c>
      <c r="C41" t="s">
        <v>1092</v>
      </c>
      <c r="D41" t="s">
        <v>1096</v>
      </c>
      <c r="E41">
        <v>102448.912207</v>
      </c>
      <c r="F41">
        <v>78234</v>
      </c>
      <c r="G41" t="s">
        <v>1109</v>
      </c>
      <c r="H41" t="s">
        <v>18</v>
      </c>
    </row>
    <row r="42" spans="1:8" x14ac:dyDescent="0.2">
      <c r="A42" t="s">
        <v>33</v>
      </c>
      <c r="B42" t="s">
        <v>1833</v>
      </c>
      <c r="C42" t="s">
        <v>1092</v>
      </c>
      <c r="D42" t="s">
        <v>1052</v>
      </c>
      <c r="E42">
        <v>0</v>
      </c>
      <c r="F42">
        <v>171</v>
      </c>
      <c r="G42" t="s">
        <v>1191</v>
      </c>
      <c r="H42" t="s">
        <v>18</v>
      </c>
    </row>
    <row r="43" spans="1:8" x14ac:dyDescent="0.2">
      <c r="A43" t="s">
        <v>33</v>
      </c>
      <c r="B43" t="s">
        <v>1137</v>
      </c>
      <c r="C43" t="s">
        <v>1092</v>
      </c>
      <c r="D43" t="s">
        <v>1052</v>
      </c>
      <c r="E43">
        <v>911486.27796600002</v>
      </c>
      <c r="F43">
        <v>520406</v>
      </c>
      <c r="G43" t="s">
        <v>1109</v>
      </c>
      <c r="H43" t="s">
        <v>18</v>
      </c>
    </row>
    <row r="44" spans="1:8" x14ac:dyDescent="0.2">
      <c r="A44" t="s">
        <v>33</v>
      </c>
      <c r="B44" t="s">
        <v>1138</v>
      </c>
      <c r="C44" t="s">
        <v>1092</v>
      </c>
      <c r="D44" t="s">
        <v>1052</v>
      </c>
      <c r="E44">
        <v>208041</v>
      </c>
      <c r="F44">
        <v>76</v>
      </c>
      <c r="G44" t="s">
        <v>1093</v>
      </c>
      <c r="H44" t="s">
        <v>18</v>
      </c>
    </row>
    <row r="45" spans="1:8" x14ac:dyDescent="0.2">
      <c r="A45" t="s">
        <v>33</v>
      </c>
      <c r="B45" t="s">
        <v>1139</v>
      </c>
      <c r="C45" t="s">
        <v>1092</v>
      </c>
      <c r="D45" t="s">
        <v>1096</v>
      </c>
      <c r="E45">
        <v>133251.259058</v>
      </c>
      <c r="F45">
        <v>0</v>
      </c>
      <c r="G45" t="s">
        <v>1107</v>
      </c>
      <c r="H45" t="s">
        <v>18</v>
      </c>
    </row>
    <row r="46" spans="1:8" x14ac:dyDescent="0.2">
      <c r="A46" t="s">
        <v>33</v>
      </c>
      <c r="B46" t="s">
        <v>1140</v>
      </c>
      <c r="C46" t="s">
        <v>1092</v>
      </c>
      <c r="D46" t="s">
        <v>1096</v>
      </c>
      <c r="E46">
        <v>23274.943708999999</v>
      </c>
      <c r="F46">
        <v>0</v>
      </c>
      <c r="G46" t="s">
        <v>1107</v>
      </c>
      <c r="H46" t="s">
        <v>18</v>
      </c>
    </row>
    <row r="47" spans="1:8" x14ac:dyDescent="0.2">
      <c r="A47" t="s">
        <v>33</v>
      </c>
      <c r="B47" t="s">
        <v>1099</v>
      </c>
      <c r="C47" t="s">
        <v>1100</v>
      </c>
      <c r="D47" t="s">
        <v>35</v>
      </c>
      <c r="E47">
        <v>35596380.327473998</v>
      </c>
      <c r="F47">
        <v>30386801</v>
      </c>
      <c r="G47" t="s">
        <v>35</v>
      </c>
      <c r="H47" t="s">
        <v>18</v>
      </c>
    </row>
    <row r="48" spans="1:8" x14ac:dyDescent="0.2">
      <c r="A48" t="s">
        <v>65</v>
      </c>
      <c r="B48" t="s">
        <v>1141</v>
      </c>
      <c r="C48" t="s">
        <v>1092</v>
      </c>
      <c r="D48" t="s">
        <v>1126</v>
      </c>
      <c r="E48">
        <v>1768183.2954150001</v>
      </c>
      <c r="F48">
        <v>1281605</v>
      </c>
      <c r="G48" t="s">
        <v>1109</v>
      </c>
      <c r="H48" t="s">
        <v>18</v>
      </c>
    </row>
    <row r="49" spans="1:8" x14ac:dyDescent="0.2">
      <c r="A49" t="s">
        <v>65</v>
      </c>
      <c r="B49" t="s">
        <v>1834</v>
      </c>
      <c r="C49" t="s">
        <v>1092</v>
      </c>
      <c r="D49" t="s">
        <v>1126</v>
      </c>
      <c r="E49">
        <v>291383.82400000002</v>
      </c>
      <c r="F49">
        <v>727377</v>
      </c>
      <c r="G49" t="s">
        <v>1109</v>
      </c>
      <c r="H49" t="s">
        <v>18</v>
      </c>
    </row>
    <row r="50" spans="1:8" x14ac:dyDescent="0.2">
      <c r="A50" t="s">
        <v>65</v>
      </c>
      <c r="B50" t="s">
        <v>1099</v>
      </c>
      <c r="C50" t="s">
        <v>1100</v>
      </c>
      <c r="D50" t="s">
        <v>35</v>
      </c>
      <c r="E50">
        <v>2059567.1194150001</v>
      </c>
      <c r="F50">
        <v>2008982</v>
      </c>
      <c r="G50" t="s">
        <v>35</v>
      </c>
      <c r="H50" t="s">
        <v>18</v>
      </c>
    </row>
    <row r="51" spans="1:8" x14ac:dyDescent="0.2">
      <c r="A51" t="s">
        <v>1148</v>
      </c>
      <c r="B51" t="s">
        <v>1149</v>
      </c>
      <c r="C51" t="s">
        <v>1092</v>
      </c>
      <c r="D51" t="s">
        <v>1058</v>
      </c>
      <c r="E51">
        <v>150238.53649999999</v>
      </c>
      <c r="F51">
        <v>80</v>
      </c>
      <c r="G51" t="s">
        <v>1103</v>
      </c>
      <c r="H51" t="s">
        <v>18</v>
      </c>
    </row>
    <row r="52" spans="1:8" x14ac:dyDescent="0.2">
      <c r="A52" t="s">
        <v>1148</v>
      </c>
      <c r="B52" t="s">
        <v>1099</v>
      </c>
      <c r="C52" t="s">
        <v>1100</v>
      </c>
      <c r="D52" t="s">
        <v>35</v>
      </c>
      <c r="E52">
        <v>150238.53649999999</v>
      </c>
      <c r="F52">
        <v>80</v>
      </c>
      <c r="G52" t="s">
        <v>35</v>
      </c>
      <c r="H52" t="s">
        <v>18</v>
      </c>
    </row>
    <row r="53" spans="1:8" x14ac:dyDescent="0.2">
      <c r="A53" t="s">
        <v>113</v>
      </c>
      <c r="B53" t="s">
        <v>1152</v>
      </c>
      <c r="C53" t="s">
        <v>1092</v>
      </c>
      <c r="D53" t="s">
        <v>1126</v>
      </c>
      <c r="E53">
        <v>41332.748800000001</v>
      </c>
      <c r="F53">
        <v>3</v>
      </c>
      <c r="G53" t="s">
        <v>1103</v>
      </c>
      <c r="H53" t="s">
        <v>18</v>
      </c>
    </row>
    <row r="54" spans="1:8" x14ac:dyDescent="0.2">
      <c r="A54" t="s">
        <v>113</v>
      </c>
      <c r="B54" t="s">
        <v>1153</v>
      </c>
      <c r="C54" t="s">
        <v>1092</v>
      </c>
      <c r="D54" t="s">
        <v>1126</v>
      </c>
      <c r="E54">
        <v>492562.17430000001</v>
      </c>
      <c r="F54">
        <v>36</v>
      </c>
      <c r="G54" t="s">
        <v>1093</v>
      </c>
      <c r="H54" t="s">
        <v>18</v>
      </c>
    </row>
    <row r="55" spans="1:8" x14ac:dyDescent="0.2">
      <c r="A55" t="s">
        <v>113</v>
      </c>
      <c r="B55" t="s">
        <v>1835</v>
      </c>
      <c r="C55" t="s">
        <v>1092</v>
      </c>
      <c r="D55" t="s">
        <v>1061</v>
      </c>
      <c r="E55">
        <v>0</v>
      </c>
      <c r="F55">
        <v>0</v>
      </c>
      <c r="G55" t="s">
        <v>1144</v>
      </c>
      <c r="H55" t="s">
        <v>18</v>
      </c>
    </row>
    <row r="56" spans="1:8" x14ac:dyDescent="0.2">
      <c r="A56" t="s">
        <v>113</v>
      </c>
      <c r="B56" t="s">
        <v>1154</v>
      </c>
      <c r="C56" t="s">
        <v>1092</v>
      </c>
      <c r="D56" t="s">
        <v>1061</v>
      </c>
      <c r="E56">
        <v>200852.655</v>
      </c>
      <c r="F56">
        <v>57</v>
      </c>
      <c r="G56" t="s">
        <v>1093</v>
      </c>
      <c r="H56" t="s">
        <v>18</v>
      </c>
    </row>
    <row r="57" spans="1:8" x14ac:dyDescent="0.2">
      <c r="A57" t="s">
        <v>113</v>
      </c>
      <c r="B57" t="s">
        <v>1155</v>
      </c>
      <c r="C57" t="s">
        <v>1092</v>
      </c>
      <c r="D57" t="s">
        <v>1061</v>
      </c>
      <c r="E57">
        <v>1478600.49688</v>
      </c>
      <c r="F57">
        <v>619641</v>
      </c>
      <c r="G57" t="s">
        <v>1109</v>
      </c>
      <c r="H57" t="s">
        <v>18</v>
      </c>
    </row>
    <row r="58" spans="1:8" x14ac:dyDescent="0.2">
      <c r="A58" t="s">
        <v>113</v>
      </c>
      <c r="B58" t="s">
        <v>1156</v>
      </c>
      <c r="C58" t="s">
        <v>1092</v>
      </c>
      <c r="D58" t="s">
        <v>1061</v>
      </c>
      <c r="E58">
        <v>167732.98615000001</v>
      </c>
      <c r="F58">
        <v>0</v>
      </c>
      <c r="G58" t="s">
        <v>1103</v>
      </c>
      <c r="H58" t="s">
        <v>18</v>
      </c>
    </row>
    <row r="59" spans="1:8" x14ac:dyDescent="0.2">
      <c r="A59" t="s">
        <v>113</v>
      </c>
      <c r="B59" t="s">
        <v>1157</v>
      </c>
      <c r="C59" t="s">
        <v>1092</v>
      </c>
      <c r="D59" t="s">
        <v>1126</v>
      </c>
      <c r="E59">
        <v>46098.64</v>
      </c>
      <c r="F59">
        <v>5</v>
      </c>
      <c r="G59" t="s">
        <v>1103</v>
      </c>
      <c r="H59" t="s">
        <v>18</v>
      </c>
    </row>
    <row r="60" spans="1:8" x14ac:dyDescent="0.2">
      <c r="A60" t="s">
        <v>113</v>
      </c>
      <c r="B60" t="s">
        <v>1158</v>
      </c>
      <c r="C60" t="s">
        <v>1092</v>
      </c>
      <c r="D60" t="s">
        <v>1126</v>
      </c>
      <c r="E60">
        <v>241123.30979999999</v>
      </c>
      <c r="F60">
        <v>62</v>
      </c>
      <c r="G60" t="s">
        <v>1093</v>
      </c>
      <c r="H60" t="s">
        <v>18</v>
      </c>
    </row>
    <row r="61" spans="1:8" x14ac:dyDescent="0.2">
      <c r="A61" t="s">
        <v>113</v>
      </c>
      <c r="B61" t="s">
        <v>1159</v>
      </c>
      <c r="C61" t="s">
        <v>1092</v>
      </c>
      <c r="D61" t="s">
        <v>1126</v>
      </c>
      <c r="E61">
        <v>852053.85840999999</v>
      </c>
      <c r="F61">
        <v>381037</v>
      </c>
      <c r="G61" t="s">
        <v>1109</v>
      </c>
      <c r="H61" t="s">
        <v>18</v>
      </c>
    </row>
    <row r="62" spans="1:8" x14ac:dyDescent="0.2">
      <c r="A62" t="s">
        <v>113</v>
      </c>
      <c r="B62" t="s">
        <v>1160</v>
      </c>
      <c r="C62" t="s">
        <v>1092</v>
      </c>
      <c r="D62" t="s">
        <v>1126</v>
      </c>
      <c r="E62">
        <v>443398.97104799998</v>
      </c>
      <c r="F62">
        <v>344467</v>
      </c>
      <c r="G62" t="s">
        <v>1109</v>
      </c>
      <c r="H62" t="s">
        <v>18</v>
      </c>
    </row>
    <row r="63" spans="1:8" x14ac:dyDescent="0.2">
      <c r="A63" t="s">
        <v>113</v>
      </c>
      <c r="B63" t="s">
        <v>1099</v>
      </c>
      <c r="C63" t="s">
        <v>1100</v>
      </c>
      <c r="D63" t="s">
        <v>35</v>
      </c>
      <c r="E63">
        <v>3963755.840388</v>
      </c>
      <c r="F63">
        <v>1345308</v>
      </c>
      <c r="G63" t="s">
        <v>35</v>
      </c>
      <c r="H63" t="s">
        <v>18</v>
      </c>
    </row>
    <row r="64" spans="1:8" x14ac:dyDescent="0.2">
      <c r="A64" t="s">
        <v>1813</v>
      </c>
      <c r="B64" t="s">
        <v>1814</v>
      </c>
      <c r="C64" t="s">
        <v>1092</v>
      </c>
      <c r="D64" t="s">
        <v>1052</v>
      </c>
      <c r="E64">
        <v>359762.77999999997</v>
      </c>
      <c r="F64">
        <v>61</v>
      </c>
      <c r="G64" t="s">
        <v>1093</v>
      </c>
      <c r="H64" t="s">
        <v>18</v>
      </c>
    </row>
    <row r="65" spans="1:8" x14ac:dyDescent="0.2">
      <c r="A65" t="s">
        <v>1813</v>
      </c>
      <c r="B65" t="s">
        <v>1099</v>
      </c>
      <c r="C65" t="s">
        <v>1100</v>
      </c>
      <c r="D65" t="s">
        <v>35</v>
      </c>
      <c r="E65">
        <v>359762.77999999997</v>
      </c>
      <c r="F65">
        <v>61</v>
      </c>
      <c r="G65" t="s">
        <v>35</v>
      </c>
      <c r="H65" t="s">
        <v>18</v>
      </c>
    </row>
    <row r="66" spans="1:8" x14ac:dyDescent="0.2">
      <c r="A66" t="s">
        <v>179</v>
      </c>
      <c r="B66" t="s">
        <v>1161</v>
      </c>
      <c r="C66" t="s">
        <v>1092</v>
      </c>
      <c r="D66" t="s">
        <v>1061</v>
      </c>
      <c r="E66">
        <v>410220.967</v>
      </c>
      <c r="F66">
        <v>242545</v>
      </c>
      <c r="G66" t="s">
        <v>1144</v>
      </c>
      <c r="H66" t="s">
        <v>18</v>
      </c>
    </row>
    <row r="67" spans="1:8" x14ac:dyDescent="0.2">
      <c r="A67" t="s">
        <v>179</v>
      </c>
      <c r="B67" t="s">
        <v>1099</v>
      </c>
      <c r="C67" t="s">
        <v>1100</v>
      </c>
      <c r="D67" t="s">
        <v>35</v>
      </c>
      <c r="E67">
        <v>410220.967</v>
      </c>
      <c r="F67">
        <v>242545</v>
      </c>
      <c r="G67" t="s">
        <v>35</v>
      </c>
      <c r="H67" t="s">
        <v>18</v>
      </c>
    </row>
    <row r="68" spans="1:8" x14ac:dyDescent="0.2">
      <c r="A68" t="s">
        <v>243</v>
      </c>
      <c r="B68" t="s">
        <v>1162</v>
      </c>
      <c r="C68" t="s">
        <v>1092</v>
      </c>
      <c r="D68" t="s">
        <v>1126</v>
      </c>
      <c r="E68">
        <v>80121.852610000002</v>
      </c>
      <c r="F68">
        <v>51674</v>
      </c>
      <c r="G68" t="s">
        <v>1109</v>
      </c>
      <c r="H68" t="s">
        <v>18</v>
      </c>
    </row>
    <row r="69" spans="1:8" x14ac:dyDescent="0.2">
      <c r="A69" t="s">
        <v>243</v>
      </c>
      <c r="B69" t="s">
        <v>1163</v>
      </c>
      <c r="C69" t="s">
        <v>1092</v>
      </c>
      <c r="D69" t="s">
        <v>1052</v>
      </c>
      <c r="E69">
        <v>395812.75636</v>
      </c>
      <c r="F69">
        <v>164518</v>
      </c>
      <c r="G69" t="s">
        <v>1109</v>
      </c>
      <c r="H69" t="s">
        <v>18</v>
      </c>
    </row>
    <row r="70" spans="1:8" x14ac:dyDescent="0.2">
      <c r="A70" t="s">
        <v>243</v>
      </c>
      <c r="B70" t="s">
        <v>1099</v>
      </c>
      <c r="C70" t="s">
        <v>1100</v>
      </c>
      <c r="D70" t="s">
        <v>35</v>
      </c>
      <c r="E70">
        <v>475934.60897</v>
      </c>
      <c r="F70">
        <v>216192</v>
      </c>
      <c r="G70" t="s">
        <v>35</v>
      </c>
      <c r="H70" t="s">
        <v>18</v>
      </c>
    </row>
    <row r="71" spans="1:8" x14ac:dyDescent="0.2">
      <c r="A71" t="s">
        <v>1164</v>
      </c>
      <c r="B71" t="s">
        <v>1836</v>
      </c>
      <c r="C71" t="s">
        <v>1092</v>
      </c>
      <c r="D71" t="s">
        <v>1064</v>
      </c>
      <c r="E71">
        <v>476544.01500000001</v>
      </c>
      <c r="F71">
        <v>103</v>
      </c>
      <c r="G71" t="s">
        <v>1093</v>
      </c>
      <c r="H71" t="s">
        <v>18</v>
      </c>
    </row>
    <row r="72" spans="1:8" x14ac:dyDescent="0.2">
      <c r="A72" t="s">
        <v>1164</v>
      </c>
      <c r="B72" t="s">
        <v>1165</v>
      </c>
      <c r="C72" t="s">
        <v>1092</v>
      </c>
      <c r="D72" t="s">
        <v>1061</v>
      </c>
      <c r="E72">
        <v>92196.791899999997</v>
      </c>
      <c r="F72">
        <v>51</v>
      </c>
      <c r="G72" t="s">
        <v>1103</v>
      </c>
      <c r="H72" t="s">
        <v>18</v>
      </c>
    </row>
    <row r="73" spans="1:8" x14ac:dyDescent="0.2">
      <c r="A73" t="s">
        <v>1164</v>
      </c>
      <c r="B73" t="s">
        <v>1166</v>
      </c>
      <c r="C73" t="s">
        <v>1092</v>
      </c>
      <c r="D73" t="s">
        <v>1061</v>
      </c>
      <c r="E73">
        <v>108188.837</v>
      </c>
      <c r="F73">
        <v>48</v>
      </c>
      <c r="G73" t="s">
        <v>1103</v>
      </c>
      <c r="H73" t="s">
        <v>18</v>
      </c>
    </row>
    <row r="74" spans="1:8" x14ac:dyDescent="0.2">
      <c r="A74" t="s">
        <v>1164</v>
      </c>
      <c r="B74" t="s">
        <v>1167</v>
      </c>
      <c r="C74" t="s">
        <v>1092</v>
      </c>
      <c r="D74" t="s">
        <v>1061</v>
      </c>
      <c r="E74">
        <v>316644.64870999998</v>
      </c>
      <c r="F74">
        <v>98</v>
      </c>
      <c r="G74" t="s">
        <v>1103</v>
      </c>
      <c r="H74" t="s">
        <v>18</v>
      </c>
    </row>
    <row r="75" spans="1:8" x14ac:dyDescent="0.2">
      <c r="A75" t="s">
        <v>1164</v>
      </c>
      <c r="B75" t="s">
        <v>1168</v>
      </c>
      <c r="C75" t="s">
        <v>1092</v>
      </c>
      <c r="D75" t="s">
        <v>1061</v>
      </c>
      <c r="E75">
        <v>83405.306240000005</v>
      </c>
      <c r="F75">
        <v>12</v>
      </c>
      <c r="G75" t="s">
        <v>1103</v>
      </c>
      <c r="H75" t="s">
        <v>18</v>
      </c>
    </row>
    <row r="76" spans="1:8" x14ac:dyDescent="0.2">
      <c r="A76" t="s">
        <v>1164</v>
      </c>
      <c r="B76" t="s">
        <v>1099</v>
      </c>
      <c r="C76" t="s">
        <v>1100</v>
      </c>
      <c r="D76" t="s">
        <v>35</v>
      </c>
      <c r="E76">
        <v>1076979.5988499997</v>
      </c>
      <c r="F76">
        <v>312</v>
      </c>
      <c r="G76" t="s">
        <v>35</v>
      </c>
      <c r="H76" t="s">
        <v>18</v>
      </c>
    </row>
    <row r="77" spans="1:8" x14ac:dyDescent="0.2">
      <c r="A77" t="s">
        <v>1169</v>
      </c>
      <c r="B77" t="s">
        <v>1170</v>
      </c>
      <c r="C77" t="s">
        <v>1092</v>
      </c>
      <c r="D77" t="s">
        <v>1096</v>
      </c>
      <c r="E77">
        <v>173896.81599999999</v>
      </c>
      <c r="F77">
        <v>21</v>
      </c>
      <c r="G77" t="s">
        <v>1103</v>
      </c>
      <c r="H77" t="s">
        <v>18</v>
      </c>
    </row>
    <row r="78" spans="1:8" x14ac:dyDescent="0.2">
      <c r="A78" t="s">
        <v>1169</v>
      </c>
      <c r="B78" t="s">
        <v>1171</v>
      </c>
      <c r="C78" t="s">
        <v>1092</v>
      </c>
      <c r="D78" t="s">
        <v>1096</v>
      </c>
      <c r="E78">
        <v>107396.80133</v>
      </c>
      <c r="F78">
        <v>20</v>
      </c>
      <c r="G78" t="s">
        <v>1093</v>
      </c>
      <c r="H78" t="s">
        <v>18</v>
      </c>
    </row>
    <row r="79" spans="1:8" x14ac:dyDescent="0.2">
      <c r="A79" t="s">
        <v>1169</v>
      </c>
      <c r="B79" t="s">
        <v>1172</v>
      </c>
      <c r="C79" t="s">
        <v>1092</v>
      </c>
      <c r="D79" t="s">
        <v>1058</v>
      </c>
      <c r="E79">
        <v>221275.00899999999</v>
      </c>
      <c r="F79">
        <v>25</v>
      </c>
      <c r="G79" t="s">
        <v>1103</v>
      </c>
      <c r="H79" t="s">
        <v>18</v>
      </c>
    </row>
    <row r="80" spans="1:8" x14ac:dyDescent="0.2">
      <c r="A80" t="s">
        <v>1169</v>
      </c>
      <c r="B80" t="s">
        <v>1099</v>
      </c>
      <c r="C80" t="s">
        <v>1100</v>
      </c>
      <c r="D80" t="s">
        <v>35</v>
      </c>
      <c r="E80">
        <v>502568.62633</v>
      </c>
      <c r="F80">
        <v>66</v>
      </c>
      <c r="G80" t="s">
        <v>35</v>
      </c>
      <c r="H80" t="s">
        <v>18</v>
      </c>
    </row>
    <row r="81" spans="1:8" x14ac:dyDescent="0.2">
      <c r="A81" t="s">
        <v>1173</v>
      </c>
      <c r="B81" t="s">
        <v>1174</v>
      </c>
      <c r="C81" t="s">
        <v>1092</v>
      </c>
      <c r="D81" t="s">
        <v>1096</v>
      </c>
      <c r="E81">
        <v>466391.76899999997</v>
      </c>
      <c r="F81">
        <v>181</v>
      </c>
      <c r="G81" t="s">
        <v>1093</v>
      </c>
      <c r="H81" t="s">
        <v>18</v>
      </c>
    </row>
    <row r="82" spans="1:8" x14ac:dyDescent="0.2">
      <c r="A82" t="s">
        <v>1173</v>
      </c>
      <c r="B82" t="s">
        <v>1099</v>
      </c>
      <c r="C82" t="s">
        <v>1100</v>
      </c>
      <c r="D82" t="s">
        <v>35</v>
      </c>
      <c r="E82">
        <v>466391.76899999997</v>
      </c>
      <c r="F82">
        <v>181</v>
      </c>
      <c r="G82" t="s">
        <v>35</v>
      </c>
      <c r="H82" t="s">
        <v>18</v>
      </c>
    </row>
    <row r="83" spans="1:8" x14ac:dyDescent="0.2">
      <c r="A83" t="s">
        <v>1175</v>
      </c>
      <c r="B83" t="s">
        <v>1176</v>
      </c>
      <c r="C83" t="s">
        <v>1092</v>
      </c>
      <c r="D83" t="s">
        <v>1096</v>
      </c>
      <c r="E83">
        <v>335414.109</v>
      </c>
      <c r="F83">
        <v>62</v>
      </c>
      <c r="G83" t="s">
        <v>1093</v>
      </c>
      <c r="H83" t="s">
        <v>18</v>
      </c>
    </row>
    <row r="84" spans="1:8" x14ac:dyDescent="0.2">
      <c r="A84" t="s">
        <v>1175</v>
      </c>
      <c r="B84" t="s">
        <v>1099</v>
      </c>
      <c r="C84" t="s">
        <v>1100</v>
      </c>
      <c r="D84" t="s">
        <v>35</v>
      </c>
      <c r="E84">
        <v>335414.109</v>
      </c>
      <c r="F84">
        <v>62</v>
      </c>
      <c r="G84" t="s">
        <v>35</v>
      </c>
      <c r="H84" t="s">
        <v>18</v>
      </c>
    </row>
    <row r="85" spans="1:8" x14ac:dyDescent="0.2">
      <c r="A85" t="s">
        <v>115</v>
      </c>
      <c r="B85" t="s">
        <v>1177</v>
      </c>
      <c r="C85" t="s">
        <v>1092</v>
      </c>
      <c r="D85" t="s">
        <v>1058</v>
      </c>
      <c r="E85">
        <v>163172.71143</v>
      </c>
      <c r="F85">
        <v>53</v>
      </c>
      <c r="G85" t="s">
        <v>1103</v>
      </c>
      <c r="H85" t="s">
        <v>18</v>
      </c>
    </row>
    <row r="86" spans="1:8" x14ac:dyDescent="0.2">
      <c r="A86" t="s">
        <v>115</v>
      </c>
      <c r="B86" t="s">
        <v>1178</v>
      </c>
      <c r="C86" t="s">
        <v>1092</v>
      </c>
      <c r="D86" t="s">
        <v>1058</v>
      </c>
      <c r="E86">
        <v>31979.735000000001</v>
      </c>
      <c r="F86">
        <v>26</v>
      </c>
      <c r="G86" t="s">
        <v>1103</v>
      </c>
      <c r="H86" t="s">
        <v>18</v>
      </c>
    </row>
    <row r="87" spans="1:8" x14ac:dyDescent="0.2">
      <c r="A87" t="s">
        <v>115</v>
      </c>
      <c r="B87" t="s">
        <v>1099</v>
      </c>
      <c r="C87" t="s">
        <v>1100</v>
      </c>
      <c r="D87" t="s">
        <v>35</v>
      </c>
      <c r="E87">
        <v>195152.44642999998</v>
      </c>
      <c r="F87">
        <v>79</v>
      </c>
      <c r="G87" t="s">
        <v>35</v>
      </c>
      <c r="H87" t="s">
        <v>18</v>
      </c>
    </row>
    <row r="88" spans="1:8" x14ac:dyDescent="0.2">
      <c r="A88" t="s">
        <v>1837</v>
      </c>
      <c r="B88" t="s">
        <v>1838</v>
      </c>
      <c r="C88" t="s">
        <v>1092</v>
      </c>
      <c r="D88" t="s">
        <v>1058</v>
      </c>
      <c r="E88">
        <v>56295.170449999998</v>
      </c>
      <c r="F88">
        <v>153</v>
      </c>
      <c r="G88" t="s">
        <v>1103</v>
      </c>
      <c r="H88" t="s">
        <v>18</v>
      </c>
    </row>
    <row r="89" spans="1:8" x14ac:dyDescent="0.2">
      <c r="A89" t="s">
        <v>1837</v>
      </c>
      <c r="B89" t="s">
        <v>1099</v>
      </c>
      <c r="C89" t="s">
        <v>1100</v>
      </c>
      <c r="D89" t="s">
        <v>35</v>
      </c>
      <c r="E89">
        <v>56295.170449999998</v>
      </c>
      <c r="F89">
        <v>153</v>
      </c>
      <c r="G89" t="s">
        <v>35</v>
      </c>
      <c r="H89" t="s">
        <v>18</v>
      </c>
    </row>
    <row r="90" spans="1:8" x14ac:dyDescent="0.2">
      <c r="A90" t="s">
        <v>1181</v>
      </c>
      <c r="B90" t="s">
        <v>1182</v>
      </c>
      <c r="C90" t="s">
        <v>1092</v>
      </c>
      <c r="D90" t="s">
        <v>1058</v>
      </c>
      <c r="E90">
        <v>17492.855489999998</v>
      </c>
      <c r="F90">
        <v>1</v>
      </c>
      <c r="G90" t="s">
        <v>1103</v>
      </c>
      <c r="H90" t="s">
        <v>18</v>
      </c>
    </row>
    <row r="91" spans="1:8" x14ac:dyDescent="0.2">
      <c r="A91" t="s">
        <v>1181</v>
      </c>
      <c r="B91" t="s">
        <v>1183</v>
      </c>
      <c r="C91" t="s">
        <v>1092</v>
      </c>
      <c r="D91" t="s">
        <v>1058</v>
      </c>
      <c r="E91">
        <v>446107.76200000005</v>
      </c>
      <c r="F91">
        <v>60</v>
      </c>
      <c r="G91" t="s">
        <v>1093</v>
      </c>
      <c r="H91" t="s">
        <v>18</v>
      </c>
    </row>
    <row r="92" spans="1:8" x14ac:dyDescent="0.2">
      <c r="A92" t="s">
        <v>1181</v>
      </c>
      <c r="B92" t="s">
        <v>1184</v>
      </c>
      <c r="C92" t="s">
        <v>1092</v>
      </c>
      <c r="D92" t="s">
        <v>1058</v>
      </c>
      <c r="E92">
        <v>360421.23700000002</v>
      </c>
      <c r="F92">
        <v>29</v>
      </c>
      <c r="G92" t="s">
        <v>1093</v>
      </c>
      <c r="H92" t="s">
        <v>18</v>
      </c>
    </row>
    <row r="93" spans="1:8" x14ac:dyDescent="0.2">
      <c r="A93" t="s">
        <v>1181</v>
      </c>
      <c r="B93" t="s">
        <v>1099</v>
      </c>
      <c r="C93" t="s">
        <v>1100</v>
      </c>
      <c r="D93" t="s">
        <v>35</v>
      </c>
      <c r="E93">
        <v>824021.85448999994</v>
      </c>
      <c r="F93">
        <v>90</v>
      </c>
      <c r="G93" t="s">
        <v>35</v>
      </c>
      <c r="H93" t="s">
        <v>18</v>
      </c>
    </row>
    <row r="94" spans="1:8" x14ac:dyDescent="0.2">
      <c r="A94" t="s">
        <v>77</v>
      </c>
      <c r="B94" t="s">
        <v>1185</v>
      </c>
      <c r="C94" t="s">
        <v>1092</v>
      </c>
      <c r="D94" t="s">
        <v>1126</v>
      </c>
      <c r="E94">
        <v>821126.30275000003</v>
      </c>
      <c r="F94">
        <v>364582</v>
      </c>
      <c r="G94" t="s">
        <v>1109</v>
      </c>
      <c r="H94" t="s">
        <v>18</v>
      </c>
    </row>
    <row r="95" spans="1:8" x14ac:dyDescent="0.2">
      <c r="A95" t="s">
        <v>77</v>
      </c>
      <c r="B95" t="s">
        <v>1099</v>
      </c>
      <c r="C95" t="s">
        <v>1100</v>
      </c>
      <c r="D95" t="s">
        <v>35</v>
      </c>
      <c r="E95">
        <v>821126.30275000003</v>
      </c>
      <c r="F95">
        <v>364582</v>
      </c>
      <c r="G95" t="s">
        <v>35</v>
      </c>
      <c r="H95" t="s">
        <v>18</v>
      </c>
    </row>
    <row r="96" spans="1:8" x14ac:dyDescent="0.2">
      <c r="A96" t="s">
        <v>1839</v>
      </c>
      <c r="B96" t="s">
        <v>1840</v>
      </c>
      <c r="C96" t="s">
        <v>1092</v>
      </c>
      <c r="D96" t="s">
        <v>1061</v>
      </c>
      <c r="E96">
        <v>28514.948</v>
      </c>
      <c r="F96">
        <v>5</v>
      </c>
      <c r="G96" t="s">
        <v>1103</v>
      </c>
      <c r="H96" t="s">
        <v>18</v>
      </c>
    </row>
    <row r="97" spans="1:8" x14ac:dyDescent="0.2">
      <c r="A97" t="s">
        <v>1839</v>
      </c>
      <c r="B97" t="s">
        <v>1841</v>
      </c>
      <c r="C97" t="s">
        <v>1092</v>
      </c>
      <c r="D97" t="s">
        <v>1061</v>
      </c>
      <c r="E97">
        <v>52565.224999999999</v>
      </c>
      <c r="F97">
        <v>7</v>
      </c>
      <c r="G97" t="s">
        <v>1103</v>
      </c>
      <c r="H97" t="s">
        <v>18</v>
      </c>
    </row>
    <row r="98" spans="1:8" x14ac:dyDescent="0.2">
      <c r="A98" t="s">
        <v>1839</v>
      </c>
      <c r="B98" t="s">
        <v>1842</v>
      </c>
      <c r="C98" t="s">
        <v>1092</v>
      </c>
      <c r="D98" t="s">
        <v>1096</v>
      </c>
      <c r="E98">
        <v>24762.691999999999</v>
      </c>
      <c r="F98">
        <v>7</v>
      </c>
      <c r="G98" t="s">
        <v>1103</v>
      </c>
      <c r="H98" t="s">
        <v>18</v>
      </c>
    </row>
    <row r="99" spans="1:8" x14ac:dyDescent="0.2">
      <c r="A99" t="s">
        <v>1839</v>
      </c>
      <c r="B99" t="s">
        <v>1099</v>
      </c>
      <c r="C99" t="s">
        <v>1100</v>
      </c>
      <c r="D99" t="s">
        <v>35</v>
      </c>
      <c r="E99">
        <v>105842.86500000001</v>
      </c>
      <c r="F99">
        <v>19</v>
      </c>
      <c r="G99" t="s">
        <v>35</v>
      </c>
      <c r="H99" t="s">
        <v>18</v>
      </c>
    </row>
    <row r="100" spans="1:8" x14ac:dyDescent="0.2">
      <c r="A100" t="s">
        <v>159</v>
      </c>
      <c r="B100" t="s">
        <v>1186</v>
      </c>
      <c r="C100" t="s">
        <v>1092</v>
      </c>
      <c r="D100" t="s">
        <v>1126</v>
      </c>
      <c r="E100">
        <v>1621259.084</v>
      </c>
      <c r="F100">
        <v>1427368</v>
      </c>
      <c r="G100" t="s">
        <v>1111</v>
      </c>
      <c r="H100" t="s">
        <v>18</v>
      </c>
    </row>
    <row r="101" spans="1:8" x14ac:dyDescent="0.2">
      <c r="A101" t="s">
        <v>159</v>
      </c>
      <c r="B101" t="s">
        <v>1099</v>
      </c>
      <c r="C101" t="s">
        <v>1100</v>
      </c>
      <c r="D101" t="s">
        <v>35</v>
      </c>
      <c r="E101">
        <v>1621259.084</v>
      </c>
      <c r="F101">
        <v>1427368</v>
      </c>
      <c r="G101" t="s">
        <v>35</v>
      </c>
      <c r="H101" t="s">
        <v>18</v>
      </c>
    </row>
    <row r="102" spans="1:8" x14ac:dyDescent="0.2">
      <c r="A102" t="s">
        <v>135</v>
      </c>
      <c r="B102" t="s">
        <v>1187</v>
      </c>
      <c r="C102" t="s">
        <v>1092</v>
      </c>
      <c r="D102" t="s">
        <v>1126</v>
      </c>
      <c r="E102">
        <v>1736145.58</v>
      </c>
      <c r="F102">
        <v>1540540</v>
      </c>
      <c r="G102" t="s">
        <v>1111</v>
      </c>
      <c r="H102" t="s">
        <v>18</v>
      </c>
    </row>
    <row r="103" spans="1:8" x14ac:dyDescent="0.2">
      <c r="A103" t="s">
        <v>135</v>
      </c>
      <c r="B103" t="s">
        <v>1099</v>
      </c>
      <c r="C103" t="s">
        <v>1100</v>
      </c>
      <c r="D103" t="s">
        <v>35</v>
      </c>
      <c r="E103">
        <v>1736145.58</v>
      </c>
      <c r="F103">
        <v>1540540</v>
      </c>
      <c r="G103" t="s">
        <v>35</v>
      </c>
      <c r="H103" t="s">
        <v>18</v>
      </c>
    </row>
    <row r="104" spans="1:8" x14ac:dyDescent="0.2">
      <c r="A104" t="s">
        <v>1843</v>
      </c>
      <c r="B104" t="s">
        <v>1844</v>
      </c>
      <c r="C104" t="s">
        <v>1092</v>
      </c>
      <c r="D104" t="s">
        <v>1223</v>
      </c>
      <c r="E104">
        <v>12061.4</v>
      </c>
      <c r="F104">
        <v>0</v>
      </c>
      <c r="G104" t="s">
        <v>1103</v>
      </c>
      <c r="H104" t="s">
        <v>18</v>
      </c>
    </row>
    <row r="105" spans="1:8" x14ac:dyDescent="0.2">
      <c r="A105" t="s">
        <v>1843</v>
      </c>
      <c r="B105" t="s">
        <v>1845</v>
      </c>
      <c r="C105" t="s">
        <v>1092</v>
      </c>
      <c r="D105" t="s">
        <v>1223</v>
      </c>
      <c r="E105">
        <v>10796.43</v>
      </c>
      <c r="F105">
        <v>0</v>
      </c>
      <c r="G105" t="s">
        <v>1103</v>
      </c>
      <c r="H105" t="s">
        <v>18</v>
      </c>
    </row>
    <row r="106" spans="1:8" x14ac:dyDescent="0.2">
      <c r="A106" t="s">
        <v>1843</v>
      </c>
      <c r="B106" t="s">
        <v>1846</v>
      </c>
      <c r="C106" t="s">
        <v>1092</v>
      </c>
      <c r="D106" t="s">
        <v>1223</v>
      </c>
      <c r="E106">
        <v>35672.160000000003</v>
      </c>
      <c r="F106">
        <v>0</v>
      </c>
      <c r="G106" t="s">
        <v>1103</v>
      </c>
      <c r="H106" t="s">
        <v>18</v>
      </c>
    </row>
    <row r="107" spans="1:8" x14ac:dyDescent="0.2">
      <c r="A107" t="s">
        <v>1843</v>
      </c>
      <c r="B107" t="s">
        <v>1847</v>
      </c>
      <c r="C107" t="s">
        <v>1092</v>
      </c>
      <c r="D107" t="s">
        <v>1096</v>
      </c>
      <c r="E107">
        <v>1838</v>
      </c>
      <c r="F107">
        <v>0</v>
      </c>
      <c r="G107" t="s">
        <v>1103</v>
      </c>
      <c r="H107" t="s">
        <v>18</v>
      </c>
    </row>
    <row r="108" spans="1:8" x14ac:dyDescent="0.2">
      <c r="A108" t="s">
        <v>1843</v>
      </c>
      <c r="B108" t="s">
        <v>1848</v>
      </c>
      <c r="C108" t="s">
        <v>1092</v>
      </c>
      <c r="D108" t="s">
        <v>1223</v>
      </c>
      <c r="E108">
        <v>0.61560000000000004</v>
      </c>
      <c r="F108">
        <v>0</v>
      </c>
      <c r="G108" t="s">
        <v>1103</v>
      </c>
      <c r="H108" t="s">
        <v>18</v>
      </c>
    </row>
    <row r="109" spans="1:8" x14ac:dyDescent="0.2">
      <c r="A109" t="s">
        <v>1843</v>
      </c>
      <c r="B109" t="s">
        <v>1099</v>
      </c>
      <c r="C109" t="s">
        <v>1100</v>
      </c>
      <c r="D109" t="s">
        <v>35</v>
      </c>
      <c r="E109">
        <v>60368.605600000003</v>
      </c>
      <c r="F109">
        <v>0</v>
      </c>
      <c r="G109" t="s">
        <v>35</v>
      </c>
      <c r="H109" t="s">
        <v>18</v>
      </c>
    </row>
    <row r="110" spans="1:8" x14ac:dyDescent="0.2">
      <c r="A110" t="s">
        <v>48</v>
      </c>
      <c r="B110" t="s">
        <v>1188</v>
      </c>
      <c r="C110" t="s">
        <v>1092</v>
      </c>
      <c r="D110" t="s">
        <v>1061</v>
      </c>
      <c r="E110">
        <v>3116877.0819999999</v>
      </c>
      <c r="F110">
        <v>2906770</v>
      </c>
      <c r="G110" t="s">
        <v>1111</v>
      </c>
      <c r="H110" t="s">
        <v>18</v>
      </c>
    </row>
    <row r="111" spans="1:8" x14ac:dyDescent="0.2">
      <c r="A111" t="s">
        <v>48</v>
      </c>
      <c r="B111" t="s">
        <v>1189</v>
      </c>
      <c r="C111" t="s">
        <v>1092</v>
      </c>
      <c r="D111" t="s">
        <v>1061</v>
      </c>
      <c r="E111">
        <v>4195086.0410000002</v>
      </c>
      <c r="F111">
        <v>3699076</v>
      </c>
      <c r="G111" t="s">
        <v>1111</v>
      </c>
      <c r="H111" t="s">
        <v>18</v>
      </c>
    </row>
    <row r="112" spans="1:8" x14ac:dyDescent="0.2">
      <c r="A112" t="s">
        <v>48</v>
      </c>
      <c r="B112" t="s">
        <v>1190</v>
      </c>
      <c r="C112" t="s">
        <v>1092</v>
      </c>
      <c r="D112" t="s">
        <v>1061</v>
      </c>
      <c r="E112">
        <v>0</v>
      </c>
      <c r="F112">
        <v>24</v>
      </c>
      <c r="G112" t="s">
        <v>1191</v>
      </c>
      <c r="H112" t="s">
        <v>18</v>
      </c>
    </row>
    <row r="113" spans="1:8" x14ac:dyDescent="0.2">
      <c r="A113" t="s">
        <v>48</v>
      </c>
      <c r="B113" t="s">
        <v>1849</v>
      </c>
      <c r="C113" t="s">
        <v>1092</v>
      </c>
      <c r="D113" t="s">
        <v>1061</v>
      </c>
      <c r="E113">
        <v>0</v>
      </c>
      <c r="F113">
        <v>7</v>
      </c>
      <c r="G113" t="s">
        <v>1191</v>
      </c>
      <c r="H113" t="s">
        <v>18</v>
      </c>
    </row>
    <row r="114" spans="1:8" x14ac:dyDescent="0.2">
      <c r="A114" t="s">
        <v>48</v>
      </c>
      <c r="B114" t="s">
        <v>1192</v>
      </c>
      <c r="C114" t="s">
        <v>1092</v>
      </c>
      <c r="D114" t="s">
        <v>1061</v>
      </c>
      <c r="E114">
        <v>4665992.1639999999</v>
      </c>
      <c r="F114">
        <v>3806935</v>
      </c>
      <c r="G114" t="s">
        <v>1111</v>
      </c>
      <c r="H114" t="s">
        <v>18</v>
      </c>
    </row>
    <row r="115" spans="1:8" x14ac:dyDescent="0.2">
      <c r="A115" t="s">
        <v>48</v>
      </c>
      <c r="B115" t="s">
        <v>1099</v>
      </c>
      <c r="C115" t="s">
        <v>1100</v>
      </c>
      <c r="D115" t="s">
        <v>35</v>
      </c>
      <c r="E115">
        <v>11977955.287</v>
      </c>
      <c r="F115">
        <v>10412812</v>
      </c>
      <c r="G115" t="s">
        <v>35</v>
      </c>
      <c r="H115" t="s">
        <v>18</v>
      </c>
    </row>
    <row r="116" spans="1:8" x14ac:dyDescent="0.2">
      <c r="A116" t="s">
        <v>1194</v>
      </c>
      <c r="B116" t="s">
        <v>1195</v>
      </c>
      <c r="C116" t="s">
        <v>1092</v>
      </c>
      <c r="D116" t="s">
        <v>1058</v>
      </c>
      <c r="E116">
        <v>165305.38499999998</v>
      </c>
      <c r="F116">
        <v>5519</v>
      </c>
      <c r="G116" t="s">
        <v>1803</v>
      </c>
      <c r="H116" t="s">
        <v>18</v>
      </c>
    </row>
    <row r="117" spans="1:8" x14ac:dyDescent="0.2">
      <c r="A117" t="s">
        <v>1194</v>
      </c>
      <c r="B117" t="s">
        <v>1197</v>
      </c>
      <c r="C117" t="s">
        <v>1092</v>
      </c>
      <c r="D117" t="s">
        <v>1058</v>
      </c>
      <c r="E117">
        <v>147261.28400000001</v>
      </c>
      <c r="F117">
        <v>5346</v>
      </c>
      <c r="G117" t="s">
        <v>1803</v>
      </c>
      <c r="H117" t="s">
        <v>18</v>
      </c>
    </row>
    <row r="118" spans="1:8" x14ac:dyDescent="0.2">
      <c r="A118" t="s">
        <v>1194</v>
      </c>
      <c r="B118" t="s">
        <v>1099</v>
      </c>
      <c r="C118" t="s">
        <v>1100</v>
      </c>
      <c r="D118" t="s">
        <v>35</v>
      </c>
      <c r="E118">
        <v>312566.66899999999</v>
      </c>
      <c r="F118">
        <v>10865</v>
      </c>
      <c r="G118" t="s">
        <v>35</v>
      </c>
      <c r="H118" t="s">
        <v>18</v>
      </c>
    </row>
    <row r="119" spans="1:8" x14ac:dyDescent="0.2">
      <c r="A119" t="s">
        <v>1850</v>
      </c>
      <c r="B119" t="s">
        <v>1851</v>
      </c>
      <c r="C119" t="s">
        <v>1092</v>
      </c>
      <c r="D119" t="s">
        <v>1061</v>
      </c>
      <c r="E119">
        <v>16866.900000000001</v>
      </c>
      <c r="F119">
        <v>11221</v>
      </c>
      <c r="G119" t="s">
        <v>1228</v>
      </c>
      <c r="H119" t="s">
        <v>18</v>
      </c>
    </row>
    <row r="120" spans="1:8" x14ac:dyDescent="0.2">
      <c r="A120" t="s">
        <v>1850</v>
      </c>
      <c r="B120" t="s">
        <v>1099</v>
      </c>
      <c r="C120" t="s">
        <v>1100</v>
      </c>
      <c r="D120" t="s">
        <v>35</v>
      </c>
      <c r="E120">
        <v>16866.900000000001</v>
      </c>
      <c r="F120">
        <v>11221</v>
      </c>
      <c r="G120" t="s">
        <v>35</v>
      </c>
      <c r="H120" t="s">
        <v>18</v>
      </c>
    </row>
    <row r="121" spans="1:8" x14ac:dyDescent="0.2">
      <c r="A121" t="s">
        <v>1198</v>
      </c>
      <c r="B121" t="s">
        <v>1174</v>
      </c>
      <c r="C121" t="s">
        <v>1092</v>
      </c>
      <c r="D121" t="s">
        <v>1096</v>
      </c>
      <c r="E121">
        <v>79428.654219999997</v>
      </c>
      <c r="F121">
        <v>18</v>
      </c>
      <c r="G121" t="s">
        <v>1093</v>
      </c>
      <c r="H121" t="s">
        <v>18</v>
      </c>
    </row>
    <row r="122" spans="1:8" x14ac:dyDescent="0.2">
      <c r="A122" t="s">
        <v>1198</v>
      </c>
      <c r="B122" t="s">
        <v>1099</v>
      </c>
      <c r="C122" t="s">
        <v>1100</v>
      </c>
      <c r="D122" t="s">
        <v>35</v>
      </c>
      <c r="E122">
        <v>79428.654219999997</v>
      </c>
      <c r="F122">
        <v>18</v>
      </c>
      <c r="G122" t="s">
        <v>35</v>
      </c>
      <c r="H122" t="s">
        <v>18</v>
      </c>
    </row>
    <row r="123" spans="1:8" x14ac:dyDescent="0.2">
      <c r="A123" t="s">
        <v>1199</v>
      </c>
      <c r="B123" t="s">
        <v>1200</v>
      </c>
      <c r="C123" t="s">
        <v>1092</v>
      </c>
      <c r="D123" t="s">
        <v>1058</v>
      </c>
      <c r="E123">
        <v>465470.435</v>
      </c>
      <c r="F123">
        <v>59</v>
      </c>
      <c r="G123" t="s">
        <v>1093</v>
      </c>
      <c r="H123" t="s">
        <v>18</v>
      </c>
    </row>
    <row r="124" spans="1:8" x14ac:dyDescent="0.2">
      <c r="A124" t="s">
        <v>1199</v>
      </c>
      <c r="B124" t="s">
        <v>1099</v>
      </c>
      <c r="C124" t="s">
        <v>1100</v>
      </c>
      <c r="D124" t="s">
        <v>35</v>
      </c>
      <c r="E124">
        <v>465470.435</v>
      </c>
      <c r="F124">
        <v>59</v>
      </c>
      <c r="G124" t="s">
        <v>35</v>
      </c>
      <c r="H124" t="s">
        <v>18</v>
      </c>
    </row>
    <row r="125" spans="1:8" x14ac:dyDescent="0.2">
      <c r="A125" t="s">
        <v>1201</v>
      </c>
      <c r="B125" t="s">
        <v>1202</v>
      </c>
      <c r="C125" t="s">
        <v>1092</v>
      </c>
      <c r="D125" t="s">
        <v>1096</v>
      </c>
      <c r="E125">
        <v>172823.32237000001</v>
      </c>
      <c r="F125">
        <v>50</v>
      </c>
      <c r="G125" t="s">
        <v>1093</v>
      </c>
      <c r="H125" t="s">
        <v>18</v>
      </c>
    </row>
    <row r="126" spans="1:8" x14ac:dyDescent="0.2">
      <c r="A126" t="s">
        <v>1201</v>
      </c>
      <c r="B126" t="s">
        <v>1099</v>
      </c>
      <c r="C126" t="s">
        <v>1100</v>
      </c>
      <c r="D126" t="s">
        <v>35</v>
      </c>
      <c r="E126">
        <v>172823.32237000001</v>
      </c>
      <c r="F126">
        <v>50</v>
      </c>
      <c r="G126" t="s">
        <v>35</v>
      </c>
      <c r="H126" t="s">
        <v>18</v>
      </c>
    </row>
    <row r="127" spans="1:8" x14ac:dyDescent="0.2">
      <c r="A127" t="s">
        <v>105</v>
      </c>
      <c r="B127" t="s">
        <v>1232</v>
      </c>
      <c r="C127" t="s">
        <v>1092</v>
      </c>
      <c r="D127" t="s">
        <v>1058</v>
      </c>
      <c r="E127">
        <v>205129.42582400001</v>
      </c>
      <c r="F127">
        <v>132827</v>
      </c>
      <c r="G127" t="s">
        <v>1228</v>
      </c>
      <c r="H127" t="s">
        <v>18</v>
      </c>
    </row>
    <row r="128" spans="1:8" x14ac:dyDescent="0.2">
      <c r="A128" t="s">
        <v>105</v>
      </c>
      <c r="B128" t="s">
        <v>1281</v>
      </c>
      <c r="C128" t="s">
        <v>1092</v>
      </c>
      <c r="D128" t="s">
        <v>1126</v>
      </c>
      <c r="E128">
        <v>1158.0412369999999</v>
      </c>
      <c r="F128">
        <v>831</v>
      </c>
      <c r="G128" t="s">
        <v>1236</v>
      </c>
      <c r="H128" t="s">
        <v>18</v>
      </c>
    </row>
    <row r="129" spans="1:8" x14ac:dyDescent="0.2">
      <c r="A129" t="s">
        <v>105</v>
      </c>
      <c r="B129" t="s">
        <v>1282</v>
      </c>
      <c r="C129" t="s">
        <v>1092</v>
      </c>
      <c r="D129" t="s">
        <v>1126</v>
      </c>
      <c r="E129">
        <v>1031.752577</v>
      </c>
      <c r="F129">
        <v>750</v>
      </c>
      <c r="G129" t="s">
        <v>1236</v>
      </c>
      <c r="H129" t="s">
        <v>18</v>
      </c>
    </row>
    <row r="130" spans="1:8" x14ac:dyDescent="0.2">
      <c r="A130" t="s">
        <v>105</v>
      </c>
      <c r="B130" t="s">
        <v>1246</v>
      </c>
      <c r="C130" t="s">
        <v>1092</v>
      </c>
      <c r="D130" t="s">
        <v>1096</v>
      </c>
      <c r="E130">
        <v>0</v>
      </c>
      <c r="F130">
        <v>0</v>
      </c>
      <c r="G130" t="s">
        <v>1238</v>
      </c>
      <c r="H130" t="s">
        <v>18</v>
      </c>
    </row>
    <row r="131" spans="1:8" x14ac:dyDescent="0.2">
      <c r="A131" t="s">
        <v>105</v>
      </c>
      <c r="B131" t="s">
        <v>1283</v>
      </c>
      <c r="C131" t="s">
        <v>1092</v>
      </c>
      <c r="D131" t="s">
        <v>1126</v>
      </c>
      <c r="E131">
        <v>1913.917526</v>
      </c>
      <c r="F131">
        <v>1374</v>
      </c>
      <c r="G131" t="s">
        <v>1236</v>
      </c>
      <c r="H131" t="s">
        <v>18</v>
      </c>
    </row>
    <row r="132" spans="1:8" x14ac:dyDescent="0.2">
      <c r="A132" t="s">
        <v>105</v>
      </c>
      <c r="B132" t="s">
        <v>1247</v>
      </c>
      <c r="C132" t="s">
        <v>1092</v>
      </c>
      <c r="D132" t="s">
        <v>1096</v>
      </c>
      <c r="E132">
        <v>0</v>
      </c>
      <c r="F132">
        <v>0</v>
      </c>
      <c r="G132" t="s">
        <v>1238</v>
      </c>
      <c r="H132" t="s">
        <v>18</v>
      </c>
    </row>
    <row r="133" spans="1:8" x14ac:dyDescent="0.2">
      <c r="A133" t="s">
        <v>105</v>
      </c>
      <c r="B133" t="s">
        <v>1248</v>
      </c>
      <c r="C133" t="s">
        <v>1092</v>
      </c>
      <c r="D133" t="s">
        <v>1096</v>
      </c>
      <c r="E133">
        <v>2317.3742160000002</v>
      </c>
      <c r="F133">
        <v>192</v>
      </c>
      <c r="G133" t="s">
        <v>1238</v>
      </c>
      <c r="H133" t="s">
        <v>18</v>
      </c>
    </row>
    <row r="134" spans="1:8" x14ac:dyDescent="0.2">
      <c r="A134" t="s">
        <v>105</v>
      </c>
      <c r="B134" t="s">
        <v>1254</v>
      </c>
      <c r="C134" t="s">
        <v>1092</v>
      </c>
      <c r="D134" t="s">
        <v>1126</v>
      </c>
      <c r="E134">
        <v>147585.35278800002</v>
      </c>
      <c r="F134">
        <v>84602</v>
      </c>
      <c r="G134" t="s">
        <v>1109</v>
      </c>
      <c r="H134" t="s">
        <v>18</v>
      </c>
    </row>
    <row r="135" spans="1:8" x14ac:dyDescent="0.2">
      <c r="A135" t="s">
        <v>105</v>
      </c>
      <c r="B135" t="s">
        <v>1243</v>
      </c>
      <c r="C135" t="s">
        <v>1092</v>
      </c>
      <c r="D135" t="s">
        <v>1061</v>
      </c>
      <c r="E135">
        <v>15204.918390000001</v>
      </c>
      <c r="F135">
        <v>1159</v>
      </c>
      <c r="G135" t="s">
        <v>1238</v>
      </c>
      <c r="H135" t="s">
        <v>18</v>
      </c>
    </row>
    <row r="136" spans="1:8" x14ac:dyDescent="0.2">
      <c r="A136" t="s">
        <v>105</v>
      </c>
      <c r="B136" t="s">
        <v>1249</v>
      </c>
      <c r="C136" t="s">
        <v>1092</v>
      </c>
      <c r="D136" t="s">
        <v>1096</v>
      </c>
      <c r="E136">
        <v>46491.660335</v>
      </c>
      <c r="F136">
        <v>3085</v>
      </c>
      <c r="G136" t="s">
        <v>1238</v>
      </c>
      <c r="H136" t="s">
        <v>18</v>
      </c>
    </row>
    <row r="137" spans="1:8" x14ac:dyDescent="0.2">
      <c r="A137" t="s">
        <v>105</v>
      </c>
      <c r="B137" t="s">
        <v>1284</v>
      </c>
      <c r="C137" t="s">
        <v>1092</v>
      </c>
      <c r="D137" t="s">
        <v>1052</v>
      </c>
      <c r="E137">
        <v>14572.21</v>
      </c>
      <c r="F137">
        <v>2845</v>
      </c>
      <c r="G137" t="s">
        <v>1093</v>
      </c>
      <c r="H137" t="s">
        <v>18</v>
      </c>
    </row>
    <row r="138" spans="1:8" x14ac:dyDescent="0.2">
      <c r="A138" t="s">
        <v>105</v>
      </c>
      <c r="B138" t="s">
        <v>1250</v>
      </c>
      <c r="C138" t="s">
        <v>1092</v>
      </c>
      <c r="D138" t="s">
        <v>1096</v>
      </c>
      <c r="E138">
        <v>0</v>
      </c>
      <c r="F138">
        <v>0</v>
      </c>
      <c r="G138" t="s">
        <v>1238</v>
      </c>
      <c r="H138" t="s">
        <v>18</v>
      </c>
    </row>
    <row r="139" spans="1:8" x14ac:dyDescent="0.2">
      <c r="A139" t="s">
        <v>105</v>
      </c>
      <c r="B139" t="s">
        <v>1210</v>
      </c>
      <c r="C139" t="s">
        <v>1092</v>
      </c>
      <c r="D139" t="s">
        <v>1058</v>
      </c>
      <c r="E139">
        <v>98542.186269999991</v>
      </c>
      <c r="F139">
        <v>14</v>
      </c>
      <c r="G139" t="s">
        <v>1093</v>
      </c>
      <c r="H139" t="s">
        <v>18</v>
      </c>
    </row>
    <row r="140" spans="1:8" x14ac:dyDescent="0.2">
      <c r="A140" t="s">
        <v>105</v>
      </c>
      <c r="B140" t="s">
        <v>1255</v>
      </c>
      <c r="C140" t="s">
        <v>1092</v>
      </c>
      <c r="D140" t="s">
        <v>1126</v>
      </c>
      <c r="E140">
        <v>35025.908246999999</v>
      </c>
      <c r="F140">
        <v>21211</v>
      </c>
      <c r="G140" t="s">
        <v>1109</v>
      </c>
      <c r="H140" t="s">
        <v>18</v>
      </c>
    </row>
    <row r="141" spans="1:8" x14ac:dyDescent="0.2">
      <c r="A141" t="s">
        <v>105</v>
      </c>
      <c r="B141" t="s">
        <v>1285</v>
      </c>
      <c r="C141" t="s">
        <v>1092</v>
      </c>
      <c r="D141" t="s">
        <v>1126</v>
      </c>
      <c r="E141">
        <v>1275.8762889999998</v>
      </c>
      <c r="F141">
        <v>906</v>
      </c>
      <c r="G141" t="s">
        <v>1236</v>
      </c>
      <c r="H141" t="s">
        <v>18</v>
      </c>
    </row>
    <row r="142" spans="1:8" x14ac:dyDescent="0.2">
      <c r="A142" t="s">
        <v>105</v>
      </c>
      <c r="B142" t="s">
        <v>1237</v>
      </c>
      <c r="C142" t="s">
        <v>1092</v>
      </c>
      <c r="D142" t="s">
        <v>1058</v>
      </c>
      <c r="E142">
        <v>597.52021999999999</v>
      </c>
      <c r="F142">
        <v>245</v>
      </c>
      <c r="G142" t="s">
        <v>1238</v>
      </c>
      <c r="H142" t="s">
        <v>18</v>
      </c>
    </row>
    <row r="143" spans="1:8" x14ac:dyDescent="0.2">
      <c r="A143" t="s">
        <v>105</v>
      </c>
      <c r="B143" t="s">
        <v>1256</v>
      </c>
      <c r="C143" t="s">
        <v>1092</v>
      </c>
      <c r="D143" t="s">
        <v>1126</v>
      </c>
      <c r="E143">
        <v>15939.101546</v>
      </c>
      <c r="F143">
        <v>10522</v>
      </c>
      <c r="G143" t="s">
        <v>1109</v>
      </c>
      <c r="H143" t="s">
        <v>18</v>
      </c>
    </row>
    <row r="144" spans="1:8" x14ac:dyDescent="0.2">
      <c r="A144" t="s">
        <v>105</v>
      </c>
      <c r="B144" t="s">
        <v>1234</v>
      </c>
      <c r="C144" t="s">
        <v>1092</v>
      </c>
      <c r="D144" t="s">
        <v>1061</v>
      </c>
      <c r="E144">
        <v>134212.70001100001</v>
      </c>
      <c r="F144">
        <v>76088</v>
      </c>
      <c r="G144" t="s">
        <v>1228</v>
      </c>
      <c r="H144" t="s">
        <v>18</v>
      </c>
    </row>
    <row r="145" spans="1:8" x14ac:dyDescent="0.2">
      <c r="A145" t="s">
        <v>105</v>
      </c>
      <c r="B145" t="s">
        <v>1227</v>
      </c>
      <c r="C145" t="s">
        <v>1092</v>
      </c>
      <c r="D145" t="s">
        <v>1058</v>
      </c>
      <c r="E145">
        <v>44833.875343000007</v>
      </c>
      <c r="F145">
        <v>23570</v>
      </c>
      <c r="G145" t="s">
        <v>1228</v>
      </c>
      <c r="H145" t="s">
        <v>18</v>
      </c>
    </row>
    <row r="146" spans="1:8" x14ac:dyDescent="0.2">
      <c r="A146" t="s">
        <v>105</v>
      </c>
      <c r="B146" t="s">
        <v>1239</v>
      </c>
      <c r="C146" t="s">
        <v>1092</v>
      </c>
      <c r="D146" t="s">
        <v>1058</v>
      </c>
      <c r="E146">
        <v>3424.040242</v>
      </c>
      <c r="F146">
        <v>248</v>
      </c>
      <c r="G146" t="s">
        <v>1238</v>
      </c>
      <c r="H146" t="s">
        <v>18</v>
      </c>
    </row>
    <row r="147" spans="1:8" x14ac:dyDescent="0.2">
      <c r="A147" t="s">
        <v>105</v>
      </c>
      <c r="B147" t="s">
        <v>1259</v>
      </c>
      <c r="C147" t="s">
        <v>1092</v>
      </c>
      <c r="D147" t="s">
        <v>1061</v>
      </c>
      <c r="E147">
        <v>95900.189488000004</v>
      </c>
      <c r="F147">
        <v>52697</v>
      </c>
      <c r="G147" t="s">
        <v>1228</v>
      </c>
      <c r="H147" t="s">
        <v>18</v>
      </c>
    </row>
    <row r="148" spans="1:8" x14ac:dyDescent="0.2">
      <c r="A148" t="s">
        <v>105</v>
      </c>
      <c r="B148" t="s">
        <v>1260</v>
      </c>
      <c r="C148" t="s">
        <v>1092</v>
      </c>
      <c r="D148" t="s">
        <v>1061</v>
      </c>
      <c r="E148">
        <v>73939.202382999996</v>
      </c>
      <c r="F148">
        <v>43183</v>
      </c>
      <c r="G148" t="s">
        <v>1228</v>
      </c>
      <c r="H148" t="s">
        <v>18</v>
      </c>
    </row>
    <row r="149" spans="1:8" x14ac:dyDescent="0.2">
      <c r="A149" t="s">
        <v>105</v>
      </c>
      <c r="B149" t="s">
        <v>1257</v>
      </c>
      <c r="C149" t="s">
        <v>1092</v>
      </c>
      <c r="D149" t="s">
        <v>1126</v>
      </c>
      <c r="E149">
        <v>12128.127999999999</v>
      </c>
      <c r="F149">
        <v>8425</v>
      </c>
      <c r="G149" t="s">
        <v>1109</v>
      </c>
      <c r="H149" t="s">
        <v>18</v>
      </c>
    </row>
    <row r="150" spans="1:8" x14ac:dyDescent="0.2">
      <c r="A150" t="s">
        <v>105</v>
      </c>
      <c r="B150" t="s">
        <v>1235</v>
      </c>
      <c r="C150" t="s">
        <v>1092</v>
      </c>
      <c r="D150" t="s">
        <v>1223</v>
      </c>
      <c r="E150">
        <v>13927.164999999999</v>
      </c>
      <c r="F150">
        <v>4932</v>
      </c>
      <c r="G150" t="s">
        <v>1236</v>
      </c>
      <c r="H150" t="s">
        <v>18</v>
      </c>
    </row>
    <row r="151" spans="1:8" x14ac:dyDescent="0.2">
      <c r="A151" t="s">
        <v>105</v>
      </c>
      <c r="B151" t="s">
        <v>1240</v>
      </c>
      <c r="C151" t="s">
        <v>1092</v>
      </c>
      <c r="D151" t="s">
        <v>1058</v>
      </c>
      <c r="E151">
        <v>5065.0677839999998</v>
      </c>
      <c r="F151">
        <v>402</v>
      </c>
      <c r="G151" t="s">
        <v>1238</v>
      </c>
      <c r="H151" t="s">
        <v>18</v>
      </c>
    </row>
    <row r="152" spans="1:8" x14ac:dyDescent="0.2">
      <c r="A152" t="s">
        <v>105</v>
      </c>
      <c r="B152" t="s">
        <v>1422</v>
      </c>
      <c r="C152" t="s">
        <v>1092</v>
      </c>
      <c r="D152" t="s">
        <v>1126</v>
      </c>
      <c r="E152">
        <v>0</v>
      </c>
      <c r="F152">
        <v>0</v>
      </c>
      <c r="G152" t="s">
        <v>1236</v>
      </c>
      <c r="H152" t="s">
        <v>18</v>
      </c>
    </row>
    <row r="153" spans="1:8" x14ac:dyDescent="0.2">
      <c r="A153" t="s">
        <v>105</v>
      </c>
      <c r="B153" t="s">
        <v>1286</v>
      </c>
      <c r="C153" t="s">
        <v>1092</v>
      </c>
      <c r="D153" t="s">
        <v>1126</v>
      </c>
      <c r="E153">
        <v>8968.0123709999989</v>
      </c>
      <c r="F153">
        <v>5728</v>
      </c>
      <c r="G153" t="s">
        <v>1109</v>
      </c>
      <c r="H153" t="s">
        <v>18</v>
      </c>
    </row>
    <row r="154" spans="1:8" x14ac:dyDescent="0.2">
      <c r="A154" t="s">
        <v>105</v>
      </c>
      <c r="B154" t="s">
        <v>1852</v>
      </c>
      <c r="C154" t="s">
        <v>1092</v>
      </c>
      <c r="D154" t="s">
        <v>1126</v>
      </c>
      <c r="E154">
        <v>2923.1043810000001</v>
      </c>
      <c r="F154">
        <v>2348</v>
      </c>
      <c r="G154" t="s">
        <v>1236</v>
      </c>
      <c r="H154" t="s">
        <v>18</v>
      </c>
    </row>
    <row r="155" spans="1:8" x14ac:dyDescent="0.2">
      <c r="A155" t="s">
        <v>105</v>
      </c>
      <c r="B155" t="s">
        <v>1241</v>
      </c>
      <c r="C155" t="s">
        <v>1092</v>
      </c>
      <c r="D155" t="s">
        <v>1058</v>
      </c>
      <c r="E155">
        <v>20705.842438</v>
      </c>
      <c r="F155">
        <v>1592</v>
      </c>
      <c r="G155" t="s">
        <v>1238</v>
      </c>
      <c r="H155" t="s">
        <v>18</v>
      </c>
    </row>
    <row r="156" spans="1:8" x14ac:dyDescent="0.2">
      <c r="A156" t="s">
        <v>105</v>
      </c>
      <c r="B156" t="s">
        <v>1242</v>
      </c>
      <c r="C156" t="s">
        <v>1092</v>
      </c>
      <c r="D156" t="s">
        <v>1058</v>
      </c>
      <c r="E156">
        <v>117017.038229</v>
      </c>
      <c r="F156">
        <v>10686</v>
      </c>
      <c r="G156" t="s">
        <v>1238</v>
      </c>
      <c r="H156" t="s">
        <v>18</v>
      </c>
    </row>
    <row r="157" spans="1:8" x14ac:dyDescent="0.2">
      <c r="A157" t="s">
        <v>105</v>
      </c>
      <c r="B157" t="s">
        <v>1853</v>
      </c>
      <c r="C157" t="s">
        <v>1092</v>
      </c>
      <c r="D157" t="s">
        <v>1058</v>
      </c>
      <c r="E157">
        <v>42570.323000000004</v>
      </c>
      <c r="F157">
        <v>24497</v>
      </c>
      <c r="G157" t="s">
        <v>1228</v>
      </c>
      <c r="H157" t="s">
        <v>18</v>
      </c>
    </row>
    <row r="158" spans="1:8" x14ac:dyDescent="0.2">
      <c r="A158" t="s">
        <v>105</v>
      </c>
      <c r="B158" t="s">
        <v>1252</v>
      </c>
      <c r="C158" t="s">
        <v>1092</v>
      </c>
      <c r="D158" t="s">
        <v>1223</v>
      </c>
      <c r="E158">
        <v>308456.11231</v>
      </c>
      <c r="F158">
        <v>154742</v>
      </c>
      <c r="G158" t="s">
        <v>1109</v>
      </c>
      <c r="H158" t="s">
        <v>18</v>
      </c>
    </row>
    <row r="159" spans="1:8" x14ac:dyDescent="0.2">
      <c r="A159" t="s">
        <v>105</v>
      </c>
      <c r="B159" t="s">
        <v>1261</v>
      </c>
      <c r="C159" t="s">
        <v>1092</v>
      </c>
      <c r="D159" t="s">
        <v>1061</v>
      </c>
      <c r="E159">
        <v>271083.62053000001</v>
      </c>
      <c r="F159">
        <v>154603</v>
      </c>
      <c r="G159" t="s">
        <v>1228</v>
      </c>
      <c r="H159" t="s">
        <v>18</v>
      </c>
    </row>
    <row r="160" spans="1:8" x14ac:dyDescent="0.2">
      <c r="A160" t="s">
        <v>105</v>
      </c>
      <c r="B160" t="s">
        <v>1229</v>
      </c>
      <c r="C160" t="s">
        <v>1092</v>
      </c>
      <c r="D160" t="s">
        <v>1061</v>
      </c>
      <c r="E160">
        <v>89339.962370000008</v>
      </c>
      <c r="F160">
        <v>50746</v>
      </c>
      <c r="G160" t="s">
        <v>1228</v>
      </c>
      <c r="H160" t="s">
        <v>18</v>
      </c>
    </row>
    <row r="161" spans="1:8" x14ac:dyDescent="0.2">
      <c r="A161" t="s">
        <v>105</v>
      </c>
      <c r="B161" t="s">
        <v>1230</v>
      </c>
      <c r="C161" t="s">
        <v>1092</v>
      </c>
      <c r="D161" t="s">
        <v>1061</v>
      </c>
      <c r="E161">
        <v>114746.17333000001</v>
      </c>
      <c r="F161">
        <v>59605</v>
      </c>
      <c r="G161" t="s">
        <v>1228</v>
      </c>
      <c r="H161" t="s">
        <v>18</v>
      </c>
    </row>
    <row r="162" spans="1:8" x14ac:dyDescent="0.2">
      <c r="A162" t="s">
        <v>105</v>
      </c>
      <c r="B162" t="s">
        <v>1253</v>
      </c>
      <c r="C162" t="s">
        <v>1092</v>
      </c>
      <c r="D162" t="s">
        <v>1223</v>
      </c>
      <c r="E162">
        <v>214412.981443</v>
      </c>
      <c r="F162">
        <v>101325</v>
      </c>
      <c r="G162" t="s">
        <v>1109</v>
      </c>
      <c r="H162" t="s">
        <v>18</v>
      </c>
    </row>
    <row r="163" spans="1:8" x14ac:dyDescent="0.2">
      <c r="A163" t="s">
        <v>105</v>
      </c>
      <c r="B163" t="s">
        <v>1423</v>
      </c>
      <c r="C163" t="s">
        <v>1092</v>
      </c>
      <c r="D163" t="s">
        <v>1126</v>
      </c>
      <c r="E163">
        <v>18281.275173000002</v>
      </c>
      <c r="F163">
        <v>1413</v>
      </c>
      <c r="G163" t="s">
        <v>1238</v>
      </c>
      <c r="H163" t="s">
        <v>18</v>
      </c>
    </row>
    <row r="164" spans="1:8" x14ac:dyDescent="0.2">
      <c r="A164" t="s">
        <v>105</v>
      </c>
      <c r="B164" t="s">
        <v>1251</v>
      </c>
      <c r="C164" t="s">
        <v>1092</v>
      </c>
      <c r="D164" t="s">
        <v>1096</v>
      </c>
      <c r="E164">
        <v>0</v>
      </c>
      <c r="F164">
        <v>0</v>
      </c>
      <c r="G164" t="s">
        <v>1238</v>
      </c>
      <c r="H164" t="s">
        <v>18</v>
      </c>
    </row>
    <row r="165" spans="1:8" x14ac:dyDescent="0.2">
      <c r="A165" t="s">
        <v>105</v>
      </c>
      <c r="B165" t="s">
        <v>1231</v>
      </c>
      <c r="C165" t="s">
        <v>1092</v>
      </c>
      <c r="D165" t="s">
        <v>1058</v>
      </c>
      <c r="E165">
        <v>35762.878747000002</v>
      </c>
      <c r="F165">
        <v>20334</v>
      </c>
      <c r="G165" t="s">
        <v>1228</v>
      </c>
      <c r="H165" t="s">
        <v>18</v>
      </c>
    </row>
    <row r="166" spans="1:8" x14ac:dyDescent="0.2">
      <c r="A166" t="s">
        <v>105</v>
      </c>
      <c r="B166" t="s">
        <v>1424</v>
      </c>
      <c r="C166" t="s">
        <v>1092</v>
      </c>
      <c r="D166" t="s">
        <v>1126</v>
      </c>
      <c r="E166">
        <v>23146.808703000002</v>
      </c>
      <c r="F166">
        <v>1785</v>
      </c>
      <c r="G166" t="s">
        <v>1238</v>
      </c>
      <c r="H166" t="s">
        <v>18</v>
      </c>
    </row>
    <row r="167" spans="1:8" x14ac:dyDescent="0.2">
      <c r="A167" t="s">
        <v>105</v>
      </c>
      <c r="B167" t="s">
        <v>1233</v>
      </c>
      <c r="C167" t="s">
        <v>1092</v>
      </c>
      <c r="D167" t="s">
        <v>1058</v>
      </c>
      <c r="E167">
        <v>132022.38803499998</v>
      </c>
      <c r="F167">
        <v>88928</v>
      </c>
      <c r="G167" t="s">
        <v>1228</v>
      </c>
      <c r="H167" t="s">
        <v>18</v>
      </c>
    </row>
    <row r="168" spans="1:8" x14ac:dyDescent="0.2">
      <c r="A168" t="s">
        <v>105</v>
      </c>
      <c r="B168" t="s">
        <v>1287</v>
      </c>
      <c r="C168" t="s">
        <v>1092</v>
      </c>
      <c r="D168" t="s">
        <v>1126</v>
      </c>
      <c r="E168">
        <v>1393.4020619999999</v>
      </c>
      <c r="F168">
        <v>1082</v>
      </c>
      <c r="G168" t="s">
        <v>1236</v>
      </c>
      <c r="H168" t="s">
        <v>18</v>
      </c>
    </row>
    <row r="169" spans="1:8" x14ac:dyDescent="0.2">
      <c r="A169" t="s">
        <v>105</v>
      </c>
      <c r="B169" t="s">
        <v>1806</v>
      </c>
      <c r="C169" t="s">
        <v>1092</v>
      </c>
      <c r="D169" t="s">
        <v>1061</v>
      </c>
      <c r="E169">
        <v>9071.2885310000001</v>
      </c>
      <c r="F169">
        <v>0</v>
      </c>
      <c r="G169" t="s">
        <v>1103</v>
      </c>
      <c r="H169" t="s">
        <v>18</v>
      </c>
    </row>
    <row r="170" spans="1:8" x14ac:dyDescent="0.2">
      <c r="A170" t="s">
        <v>105</v>
      </c>
      <c r="B170" t="s">
        <v>1244</v>
      </c>
      <c r="C170" t="s">
        <v>1092</v>
      </c>
      <c r="D170" t="s">
        <v>1052</v>
      </c>
      <c r="E170">
        <v>3269.241368</v>
      </c>
      <c r="F170">
        <v>617</v>
      </c>
      <c r="G170" t="s">
        <v>1238</v>
      </c>
      <c r="H170" t="s">
        <v>18</v>
      </c>
    </row>
    <row r="171" spans="1:8" x14ac:dyDescent="0.2">
      <c r="A171" t="s">
        <v>105</v>
      </c>
      <c r="B171" t="s">
        <v>1245</v>
      </c>
      <c r="C171" t="s">
        <v>1092</v>
      </c>
      <c r="D171" t="s">
        <v>1052</v>
      </c>
      <c r="E171">
        <v>14459.5075</v>
      </c>
      <c r="F171">
        <v>1110</v>
      </c>
      <c r="G171" t="s">
        <v>1238</v>
      </c>
      <c r="H171" t="s">
        <v>18</v>
      </c>
    </row>
    <row r="172" spans="1:8" x14ac:dyDescent="0.2">
      <c r="A172" t="s">
        <v>105</v>
      </c>
      <c r="B172" t="s">
        <v>1689</v>
      </c>
      <c r="C172" t="s">
        <v>1092</v>
      </c>
      <c r="D172" t="s">
        <v>1096</v>
      </c>
      <c r="E172">
        <v>25514.950670000002</v>
      </c>
      <c r="F172">
        <v>4</v>
      </c>
      <c r="G172" t="s">
        <v>1093</v>
      </c>
      <c r="H172" t="s">
        <v>18</v>
      </c>
    </row>
    <row r="173" spans="1:8" x14ac:dyDescent="0.2">
      <c r="A173" t="s">
        <v>105</v>
      </c>
      <c r="B173" t="s">
        <v>1099</v>
      </c>
      <c r="C173" t="s">
        <v>1100</v>
      </c>
      <c r="D173" t="s">
        <v>35</v>
      </c>
      <c r="E173">
        <v>2423360.5249069999</v>
      </c>
      <c r="F173">
        <v>1151253</v>
      </c>
      <c r="G173" t="s">
        <v>35</v>
      </c>
      <c r="H173" t="s">
        <v>18</v>
      </c>
    </row>
    <row r="174" spans="1:8" x14ac:dyDescent="0.2">
      <c r="A174" t="s">
        <v>1204</v>
      </c>
      <c r="B174" t="s">
        <v>1205</v>
      </c>
      <c r="C174" t="s">
        <v>1092</v>
      </c>
      <c r="D174" t="s">
        <v>1061</v>
      </c>
      <c r="E174">
        <v>188028.18830000001</v>
      </c>
      <c r="F174">
        <v>80</v>
      </c>
      <c r="G174" t="s">
        <v>1103</v>
      </c>
      <c r="H174" t="s">
        <v>18</v>
      </c>
    </row>
    <row r="175" spans="1:8" x14ac:dyDescent="0.2">
      <c r="A175" t="s">
        <v>1204</v>
      </c>
      <c r="B175" t="s">
        <v>1099</v>
      </c>
      <c r="C175" t="s">
        <v>1100</v>
      </c>
      <c r="D175" t="s">
        <v>35</v>
      </c>
      <c r="E175">
        <v>188028.18830000001</v>
      </c>
      <c r="F175">
        <v>80</v>
      </c>
      <c r="G175" t="s">
        <v>35</v>
      </c>
      <c r="H175" t="s">
        <v>18</v>
      </c>
    </row>
    <row r="176" spans="1:8" x14ac:dyDescent="0.2">
      <c r="A176" t="s">
        <v>215</v>
      </c>
      <c r="B176" t="s">
        <v>1206</v>
      </c>
      <c r="C176" t="s">
        <v>1092</v>
      </c>
      <c r="D176" t="s">
        <v>1061</v>
      </c>
      <c r="E176">
        <v>95634.546000000002</v>
      </c>
      <c r="F176">
        <v>354</v>
      </c>
      <c r="G176" t="s">
        <v>1107</v>
      </c>
      <c r="H176" t="s">
        <v>18</v>
      </c>
    </row>
    <row r="177" spans="1:8" x14ac:dyDescent="0.2">
      <c r="A177" t="s">
        <v>215</v>
      </c>
      <c r="B177" t="s">
        <v>1207</v>
      </c>
      <c r="C177" t="s">
        <v>1092</v>
      </c>
      <c r="D177" t="s">
        <v>1061</v>
      </c>
      <c r="E177">
        <v>660150.071</v>
      </c>
      <c r="F177">
        <v>86</v>
      </c>
      <c r="G177" t="s">
        <v>1107</v>
      </c>
      <c r="H177" t="s">
        <v>18</v>
      </c>
    </row>
    <row r="178" spans="1:8" x14ac:dyDescent="0.2">
      <c r="A178" t="s">
        <v>215</v>
      </c>
      <c r="B178" t="s">
        <v>1208</v>
      </c>
      <c r="C178" t="s">
        <v>1092</v>
      </c>
      <c r="D178" t="s">
        <v>1061</v>
      </c>
      <c r="E178">
        <v>367387.05800000002</v>
      </c>
      <c r="F178">
        <v>145668</v>
      </c>
      <c r="G178" t="s">
        <v>1109</v>
      </c>
      <c r="H178" t="s">
        <v>18</v>
      </c>
    </row>
    <row r="179" spans="1:8" x14ac:dyDescent="0.2">
      <c r="A179" t="s">
        <v>215</v>
      </c>
      <c r="B179" t="s">
        <v>1209</v>
      </c>
      <c r="C179" t="s">
        <v>1092</v>
      </c>
      <c r="D179" t="s">
        <v>1061</v>
      </c>
      <c r="E179">
        <v>774814.625</v>
      </c>
      <c r="F179">
        <v>13</v>
      </c>
      <c r="G179" t="s">
        <v>1107</v>
      </c>
      <c r="H179" t="s">
        <v>18</v>
      </c>
    </row>
    <row r="180" spans="1:8" x14ac:dyDescent="0.2">
      <c r="A180" t="s">
        <v>215</v>
      </c>
      <c r="B180" t="s">
        <v>1099</v>
      </c>
      <c r="C180" t="s">
        <v>1100</v>
      </c>
      <c r="D180" t="s">
        <v>35</v>
      </c>
      <c r="E180">
        <v>1897986.3000000003</v>
      </c>
      <c r="F180">
        <v>146121</v>
      </c>
      <c r="G180" t="s">
        <v>35</v>
      </c>
      <c r="H180" t="s">
        <v>18</v>
      </c>
    </row>
    <row r="181" spans="1:8" x14ac:dyDescent="0.2">
      <c r="A181" t="s">
        <v>1211</v>
      </c>
      <c r="B181" t="s">
        <v>1212</v>
      </c>
      <c r="C181" t="s">
        <v>1092</v>
      </c>
      <c r="D181" t="s">
        <v>1126</v>
      </c>
      <c r="E181">
        <v>652303.16300000006</v>
      </c>
      <c r="F181">
        <v>187</v>
      </c>
      <c r="G181" t="s">
        <v>1093</v>
      </c>
      <c r="H181" t="s">
        <v>18</v>
      </c>
    </row>
    <row r="182" spans="1:8" x14ac:dyDescent="0.2">
      <c r="A182" t="s">
        <v>1211</v>
      </c>
      <c r="B182" t="s">
        <v>1099</v>
      </c>
      <c r="C182" t="s">
        <v>1100</v>
      </c>
      <c r="D182" t="s">
        <v>35</v>
      </c>
      <c r="E182">
        <v>652303.16300000006</v>
      </c>
      <c r="F182">
        <v>187</v>
      </c>
      <c r="G182" t="s">
        <v>35</v>
      </c>
      <c r="H182" t="s">
        <v>18</v>
      </c>
    </row>
    <row r="183" spans="1:8" x14ac:dyDescent="0.2">
      <c r="A183" t="s">
        <v>1218</v>
      </c>
      <c r="B183" t="s">
        <v>1219</v>
      </c>
      <c r="C183" t="s">
        <v>1092</v>
      </c>
      <c r="D183" t="s">
        <v>1058</v>
      </c>
      <c r="E183">
        <v>546300.40500000003</v>
      </c>
      <c r="F183">
        <v>39</v>
      </c>
      <c r="G183" t="s">
        <v>1103</v>
      </c>
      <c r="H183" t="s">
        <v>18</v>
      </c>
    </row>
    <row r="184" spans="1:8" x14ac:dyDescent="0.2">
      <c r="A184" t="s">
        <v>1218</v>
      </c>
      <c r="B184" t="s">
        <v>1220</v>
      </c>
      <c r="C184" t="s">
        <v>1092</v>
      </c>
      <c r="D184" t="s">
        <v>1096</v>
      </c>
      <c r="E184">
        <v>100053.076</v>
      </c>
      <c r="F184">
        <v>10</v>
      </c>
      <c r="G184" t="s">
        <v>1103</v>
      </c>
      <c r="H184" t="s">
        <v>18</v>
      </c>
    </row>
    <row r="185" spans="1:8" x14ac:dyDescent="0.2">
      <c r="A185" t="s">
        <v>1218</v>
      </c>
      <c r="B185" t="s">
        <v>1221</v>
      </c>
      <c r="C185" t="s">
        <v>1092</v>
      </c>
      <c r="D185" t="s">
        <v>1096</v>
      </c>
      <c r="E185">
        <v>0</v>
      </c>
      <c r="F185">
        <v>0</v>
      </c>
      <c r="G185" t="s">
        <v>1191</v>
      </c>
      <c r="H185" t="s">
        <v>18</v>
      </c>
    </row>
    <row r="186" spans="1:8" x14ac:dyDescent="0.2">
      <c r="A186" t="s">
        <v>1218</v>
      </c>
      <c r="B186" t="s">
        <v>1222</v>
      </c>
      <c r="C186" t="s">
        <v>1092</v>
      </c>
      <c r="D186" t="s">
        <v>1061</v>
      </c>
      <c r="E186">
        <v>108558.45</v>
      </c>
      <c r="F186">
        <v>6</v>
      </c>
      <c r="G186" t="s">
        <v>1103</v>
      </c>
      <c r="H186" t="s">
        <v>18</v>
      </c>
    </row>
    <row r="187" spans="1:8" x14ac:dyDescent="0.2">
      <c r="A187" t="s">
        <v>1218</v>
      </c>
      <c r="B187" t="s">
        <v>1224</v>
      </c>
      <c r="C187" t="s">
        <v>1092</v>
      </c>
      <c r="D187" t="s">
        <v>1058</v>
      </c>
      <c r="E187">
        <v>0</v>
      </c>
      <c r="F187">
        <v>0</v>
      </c>
      <c r="G187" t="s">
        <v>1191</v>
      </c>
      <c r="H187" t="s">
        <v>18</v>
      </c>
    </row>
    <row r="188" spans="1:8" x14ac:dyDescent="0.2">
      <c r="A188" t="s">
        <v>1218</v>
      </c>
      <c r="B188" t="s">
        <v>1225</v>
      </c>
      <c r="C188" t="s">
        <v>1092</v>
      </c>
      <c r="D188" t="s">
        <v>1058</v>
      </c>
      <c r="E188">
        <v>0</v>
      </c>
      <c r="F188">
        <v>0</v>
      </c>
      <c r="G188" t="s">
        <v>1191</v>
      </c>
      <c r="H188" t="s">
        <v>18</v>
      </c>
    </row>
    <row r="189" spans="1:8" x14ac:dyDescent="0.2">
      <c r="A189" t="s">
        <v>1218</v>
      </c>
      <c r="B189" t="s">
        <v>1226</v>
      </c>
      <c r="C189" t="s">
        <v>1092</v>
      </c>
      <c r="D189" t="s">
        <v>1058</v>
      </c>
      <c r="E189">
        <v>0</v>
      </c>
      <c r="F189">
        <v>0</v>
      </c>
      <c r="G189" t="s">
        <v>1191</v>
      </c>
      <c r="H189" t="s">
        <v>18</v>
      </c>
    </row>
    <row r="190" spans="1:8" x14ac:dyDescent="0.2">
      <c r="A190" t="s">
        <v>1218</v>
      </c>
      <c r="B190" t="s">
        <v>1099</v>
      </c>
      <c r="C190" t="s">
        <v>1100</v>
      </c>
      <c r="D190" t="s">
        <v>35</v>
      </c>
      <c r="E190">
        <v>754911.93099999998</v>
      </c>
      <c r="F190">
        <v>55</v>
      </c>
      <c r="G190" t="s">
        <v>35</v>
      </c>
      <c r="H190" t="s">
        <v>18</v>
      </c>
    </row>
    <row r="191" spans="1:8" x14ac:dyDescent="0.2">
      <c r="A191" t="s">
        <v>71</v>
      </c>
      <c r="B191" t="s">
        <v>1262</v>
      </c>
      <c r="C191" t="s">
        <v>1092</v>
      </c>
      <c r="D191" t="s">
        <v>1126</v>
      </c>
      <c r="E191">
        <v>0</v>
      </c>
      <c r="F191">
        <v>66</v>
      </c>
      <c r="G191" t="s">
        <v>1191</v>
      </c>
      <c r="H191" t="s">
        <v>18</v>
      </c>
    </row>
    <row r="192" spans="1:8" x14ac:dyDescent="0.2">
      <c r="A192" t="s">
        <v>71</v>
      </c>
      <c r="B192" t="s">
        <v>1263</v>
      </c>
      <c r="C192" t="s">
        <v>1092</v>
      </c>
      <c r="D192" t="s">
        <v>1126</v>
      </c>
      <c r="E192">
        <v>1978.9949999999999</v>
      </c>
      <c r="F192">
        <v>91</v>
      </c>
      <c r="G192" t="s">
        <v>1093</v>
      </c>
      <c r="H192" t="s">
        <v>18</v>
      </c>
    </row>
    <row r="193" spans="1:8" x14ac:dyDescent="0.2">
      <c r="A193" t="s">
        <v>71</v>
      </c>
      <c r="B193" t="s">
        <v>1264</v>
      </c>
      <c r="C193" t="s">
        <v>1092</v>
      </c>
      <c r="D193" t="s">
        <v>1126</v>
      </c>
      <c r="E193">
        <v>985699.49025000003</v>
      </c>
      <c r="F193">
        <v>371127</v>
      </c>
      <c r="G193" t="s">
        <v>1109</v>
      </c>
      <c r="H193" t="s">
        <v>18</v>
      </c>
    </row>
    <row r="194" spans="1:8" x14ac:dyDescent="0.2">
      <c r="A194" t="s">
        <v>71</v>
      </c>
      <c r="B194" t="s">
        <v>1265</v>
      </c>
      <c r="C194" t="s">
        <v>1092</v>
      </c>
      <c r="D194" t="s">
        <v>1126</v>
      </c>
      <c r="E194">
        <v>965689.210127</v>
      </c>
      <c r="F194">
        <v>885552</v>
      </c>
      <c r="G194" t="s">
        <v>1111</v>
      </c>
      <c r="H194" t="s">
        <v>18</v>
      </c>
    </row>
    <row r="195" spans="1:8" x14ac:dyDescent="0.2">
      <c r="A195" t="s">
        <v>71</v>
      </c>
      <c r="B195" t="s">
        <v>1266</v>
      </c>
      <c r="C195" t="s">
        <v>1092</v>
      </c>
      <c r="D195" t="s">
        <v>1126</v>
      </c>
      <c r="E195">
        <v>3535.3005240000002</v>
      </c>
      <c r="F195">
        <v>1876</v>
      </c>
      <c r="G195" t="s">
        <v>1236</v>
      </c>
      <c r="H195" t="s">
        <v>18</v>
      </c>
    </row>
    <row r="196" spans="1:8" x14ac:dyDescent="0.2">
      <c r="A196" t="s">
        <v>71</v>
      </c>
      <c r="B196" t="s">
        <v>1267</v>
      </c>
      <c r="C196" t="s">
        <v>1092</v>
      </c>
      <c r="D196" t="s">
        <v>1126</v>
      </c>
      <c r="E196">
        <v>4835.7182570000004</v>
      </c>
      <c r="F196">
        <v>2510</v>
      </c>
      <c r="G196" t="s">
        <v>1236</v>
      </c>
      <c r="H196" t="s">
        <v>18</v>
      </c>
    </row>
    <row r="197" spans="1:8" x14ac:dyDescent="0.2">
      <c r="A197" t="s">
        <v>71</v>
      </c>
      <c r="B197" t="s">
        <v>1268</v>
      </c>
      <c r="C197" t="s">
        <v>1092</v>
      </c>
      <c r="D197" t="s">
        <v>1126</v>
      </c>
      <c r="E197">
        <v>2995.9385000000002</v>
      </c>
      <c r="F197">
        <v>0</v>
      </c>
      <c r="G197" t="s">
        <v>1093</v>
      </c>
      <c r="H197" t="s">
        <v>18</v>
      </c>
    </row>
    <row r="198" spans="1:8" x14ac:dyDescent="0.2">
      <c r="A198" t="s">
        <v>71</v>
      </c>
      <c r="B198" t="s">
        <v>1269</v>
      </c>
      <c r="C198" t="s">
        <v>1092</v>
      </c>
      <c r="D198" t="s">
        <v>1126</v>
      </c>
      <c r="E198">
        <v>4423.2146339999999</v>
      </c>
      <c r="F198">
        <v>2595</v>
      </c>
      <c r="G198" t="s">
        <v>1109</v>
      </c>
      <c r="H198" t="s">
        <v>18</v>
      </c>
    </row>
    <row r="199" spans="1:8" x14ac:dyDescent="0.2">
      <c r="A199" t="s">
        <v>71</v>
      </c>
      <c r="B199" t="s">
        <v>1270</v>
      </c>
      <c r="C199" t="s">
        <v>1092</v>
      </c>
      <c r="D199" t="s">
        <v>1126</v>
      </c>
      <c r="E199">
        <v>0</v>
      </c>
      <c r="F199">
        <v>250</v>
      </c>
      <c r="G199" t="s">
        <v>1191</v>
      </c>
      <c r="H199" t="s">
        <v>18</v>
      </c>
    </row>
    <row r="200" spans="1:8" x14ac:dyDescent="0.2">
      <c r="A200" t="s">
        <v>71</v>
      </c>
      <c r="B200" t="s">
        <v>1271</v>
      </c>
      <c r="C200" t="s">
        <v>1092</v>
      </c>
      <c r="D200" t="s">
        <v>1126</v>
      </c>
      <c r="E200">
        <v>625118.62962200004</v>
      </c>
      <c r="F200">
        <v>328762</v>
      </c>
      <c r="G200" t="s">
        <v>1109</v>
      </c>
      <c r="H200" t="s">
        <v>18</v>
      </c>
    </row>
    <row r="201" spans="1:8" x14ac:dyDescent="0.2">
      <c r="A201" t="s">
        <v>71</v>
      </c>
      <c r="B201" t="s">
        <v>1272</v>
      </c>
      <c r="C201" t="s">
        <v>1092</v>
      </c>
      <c r="D201" t="s">
        <v>1126</v>
      </c>
      <c r="E201">
        <v>2427120.8285329998</v>
      </c>
      <c r="F201">
        <v>2297577</v>
      </c>
      <c r="G201" t="s">
        <v>1111</v>
      </c>
      <c r="H201" t="s">
        <v>18</v>
      </c>
    </row>
    <row r="202" spans="1:8" x14ac:dyDescent="0.2">
      <c r="A202" t="s">
        <v>71</v>
      </c>
      <c r="B202" t="s">
        <v>1273</v>
      </c>
      <c r="C202" t="s">
        <v>1092</v>
      </c>
      <c r="D202" t="s">
        <v>1126</v>
      </c>
      <c r="E202">
        <v>2995.7381410000003</v>
      </c>
      <c r="F202">
        <v>2497</v>
      </c>
      <c r="G202" t="s">
        <v>1109</v>
      </c>
      <c r="H202" t="s">
        <v>18</v>
      </c>
    </row>
    <row r="203" spans="1:8" x14ac:dyDescent="0.2">
      <c r="A203" t="s">
        <v>71</v>
      </c>
      <c r="B203" t="s">
        <v>1274</v>
      </c>
      <c r="C203" t="s">
        <v>1092</v>
      </c>
      <c r="D203" t="s">
        <v>1126</v>
      </c>
      <c r="E203">
        <v>377465.36404099996</v>
      </c>
      <c r="F203">
        <v>387804</v>
      </c>
      <c r="G203" t="s">
        <v>1109</v>
      </c>
      <c r="H203" t="s">
        <v>18</v>
      </c>
    </row>
    <row r="204" spans="1:8" x14ac:dyDescent="0.2">
      <c r="A204" t="s">
        <v>71</v>
      </c>
      <c r="B204" t="s">
        <v>1275</v>
      </c>
      <c r="C204" t="s">
        <v>1092</v>
      </c>
      <c r="D204" t="s">
        <v>1126</v>
      </c>
      <c r="E204">
        <v>0</v>
      </c>
      <c r="F204">
        <v>0</v>
      </c>
      <c r="G204" t="s">
        <v>1191</v>
      </c>
      <c r="H204" t="s">
        <v>18</v>
      </c>
    </row>
    <row r="205" spans="1:8" x14ac:dyDescent="0.2">
      <c r="A205" t="s">
        <v>71</v>
      </c>
      <c r="B205" t="s">
        <v>1099</v>
      </c>
      <c r="C205" t="s">
        <v>1100</v>
      </c>
      <c r="D205" t="s">
        <v>35</v>
      </c>
      <c r="E205">
        <v>5401858.4276290005</v>
      </c>
      <c r="F205">
        <v>4280707</v>
      </c>
      <c r="G205" t="s">
        <v>35</v>
      </c>
      <c r="H205" t="s">
        <v>18</v>
      </c>
    </row>
    <row r="206" spans="1:8" x14ac:dyDescent="0.2">
      <c r="A206" t="s">
        <v>589</v>
      </c>
      <c r="B206" t="s">
        <v>1276</v>
      </c>
      <c r="C206" t="s">
        <v>1092</v>
      </c>
      <c r="D206" t="s">
        <v>1126</v>
      </c>
      <c r="E206">
        <v>208.12621000000001</v>
      </c>
      <c r="F206">
        <v>150</v>
      </c>
      <c r="G206" t="s">
        <v>1236</v>
      </c>
      <c r="H206" t="s">
        <v>18</v>
      </c>
    </row>
    <row r="207" spans="1:8" x14ac:dyDescent="0.2">
      <c r="A207" t="s">
        <v>589</v>
      </c>
      <c r="B207" t="s">
        <v>1099</v>
      </c>
      <c r="C207" t="s">
        <v>1100</v>
      </c>
      <c r="D207" t="s">
        <v>35</v>
      </c>
      <c r="E207">
        <v>208.12621000000001</v>
      </c>
      <c r="F207">
        <v>150</v>
      </c>
      <c r="G207" t="s">
        <v>35</v>
      </c>
      <c r="H207" t="s">
        <v>18</v>
      </c>
    </row>
    <row r="208" spans="1:8" x14ac:dyDescent="0.2">
      <c r="A208" t="s">
        <v>1854</v>
      </c>
      <c r="B208" t="s">
        <v>1855</v>
      </c>
      <c r="C208" t="s">
        <v>1092</v>
      </c>
      <c r="D208" t="s">
        <v>1126</v>
      </c>
      <c r="E208">
        <v>101068.14200000001</v>
      </c>
      <c r="F208">
        <v>11213</v>
      </c>
      <c r="G208" t="s">
        <v>1093</v>
      </c>
      <c r="H208" t="s">
        <v>18</v>
      </c>
    </row>
    <row r="209" spans="1:8" x14ac:dyDescent="0.2">
      <c r="A209" t="s">
        <v>1854</v>
      </c>
      <c r="B209" t="s">
        <v>1099</v>
      </c>
      <c r="C209" t="s">
        <v>1100</v>
      </c>
      <c r="D209" t="s">
        <v>35</v>
      </c>
      <c r="E209">
        <v>101068.14200000001</v>
      </c>
      <c r="F209">
        <v>11213</v>
      </c>
      <c r="G209" t="s">
        <v>35</v>
      </c>
      <c r="H209" t="s">
        <v>18</v>
      </c>
    </row>
    <row r="210" spans="1:8" x14ac:dyDescent="0.2">
      <c r="A210" t="s">
        <v>301</v>
      </c>
      <c r="B210" t="s">
        <v>1288</v>
      </c>
      <c r="C210" t="s">
        <v>1092</v>
      </c>
      <c r="D210" t="s">
        <v>1061</v>
      </c>
      <c r="E210">
        <v>6830.1469999999999</v>
      </c>
      <c r="F210">
        <v>4679</v>
      </c>
      <c r="G210" t="s">
        <v>1236</v>
      </c>
      <c r="H210" t="s">
        <v>18</v>
      </c>
    </row>
    <row r="211" spans="1:8" x14ac:dyDescent="0.2">
      <c r="A211" t="s">
        <v>301</v>
      </c>
      <c r="B211" t="s">
        <v>1289</v>
      </c>
      <c r="C211" t="s">
        <v>1092</v>
      </c>
      <c r="D211" t="s">
        <v>1061</v>
      </c>
      <c r="E211">
        <v>3721.94</v>
      </c>
      <c r="F211">
        <v>2465</v>
      </c>
      <c r="G211" t="s">
        <v>1236</v>
      </c>
      <c r="H211" t="s">
        <v>18</v>
      </c>
    </row>
    <row r="212" spans="1:8" x14ac:dyDescent="0.2">
      <c r="A212" t="s">
        <v>301</v>
      </c>
      <c r="B212" t="s">
        <v>1290</v>
      </c>
      <c r="C212" t="s">
        <v>1092</v>
      </c>
      <c r="D212" t="s">
        <v>1061</v>
      </c>
      <c r="E212">
        <v>17934.830000000002</v>
      </c>
      <c r="F212">
        <v>11903</v>
      </c>
      <c r="G212" t="s">
        <v>1236</v>
      </c>
      <c r="H212" t="s">
        <v>18</v>
      </c>
    </row>
    <row r="213" spans="1:8" x14ac:dyDescent="0.2">
      <c r="A213" t="s">
        <v>301</v>
      </c>
      <c r="B213" t="s">
        <v>1291</v>
      </c>
      <c r="C213" t="s">
        <v>1092</v>
      </c>
      <c r="D213" t="s">
        <v>1061</v>
      </c>
      <c r="E213">
        <v>8719.0612000000001</v>
      </c>
      <c r="F213">
        <v>8045</v>
      </c>
      <c r="G213" t="s">
        <v>1109</v>
      </c>
      <c r="H213" t="s">
        <v>18</v>
      </c>
    </row>
    <row r="214" spans="1:8" x14ac:dyDescent="0.2">
      <c r="A214" t="s">
        <v>301</v>
      </c>
      <c r="B214" t="s">
        <v>1292</v>
      </c>
      <c r="C214" t="s">
        <v>1092</v>
      </c>
      <c r="D214" t="s">
        <v>1061</v>
      </c>
      <c r="E214">
        <v>1408.33</v>
      </c>
      <c r="F214">
        <v>949</v>
      </c>
      <c r="G214" t="s">
        <v>1236</v>
      </c>
      <c r="H214" t="s">
        <v>18</v>
      </c>
    </row>
    <row r="215" spans="1:8" x14ac:dyDescent="0.2">
      <c r="A215" t="s">
        <v>301</v>
      </c>
      <c r="B215" t="s">
        <v>1293</v>
      </c>
      <c r="C215" t="s">
        <v>1092</v>
      </c>
      <c r="D215" t="s">
        <v>1061</v>
      </c>
      <c r="E215">
        <v>1609.71</v>
      </c>
      <c r="F215">
        <v>1037</v>
      </c>
      <c r="G215" t="s">
        <v>1236</v>
      </c>
      <c r="H215" t="s">
        <v>18</v>
      </c>
    </row>
    <row r="216" spans="1:8" x14ac:dyDescent="0.2">
      <c r="A216" t="s">
        <v>301</v>
      </c>
      <c r="B216" t="s">
        <v>1294</v>
      </c>
      <c r="C216" t="s">
        <v>1092</v>
      </c>
      <c r="D216" t="s">
        <v>1061</v>
      </c>
      <c r="E216">
        <v>1387.54</v>
      </c>
      <c r="F216">
        <v>994</v>
      </c>
      <c r="G216" t="s">
        <v>1236</v>
      </c>
      <c r="H216" t="s">
        <v>18</v>
      </c>
    </row>
    <row r="217" spans="1:8" x14ac:dyDescent="0.2">
      <c r="A217" t="s">
        <v>301</v>
      </c>
      <c r="B217" t="s">
        <v>1295</v>
      </c>
      <c r="C217" t="s">
        <v>1092</v>
      </c>
      <c r="D217" t="s">
        <v>1061</v>
      </c>
      <c r="E217">
        <v>3231.6392780000001</v>
      </c>
      <c r="F217">
        <v>2201</v>
      </c>
      <c r="G217" t="s">
        <v>1236</v>
      </c>
      <c r="H217" t="s">
        <v>18</v>
      </c>
    </row>
    <row r="218" spans="1:8" x14ac:dyDescent="0.2">
      <c r="A218" t="s">
        <v>301</v>
      </c>
      <c r="B218" t="s">
        <v>1296</v>
      </c>
      <c r="C218" t="s">
        <v>1092</v>
      </c>
      <c r="D218" t="s">
        <v>1061</v>
      </c>
      <c r="E218">
        <v>2591.7852240000002</v>
      </c>
      <c r="F218">
        <v>1621</v>
      </c>
      <c r="G218" t="s">
        <v>1236</v>
      </c>
      <c r="H218" t="s">
        <v>18</v>
      </c>
    </row>
    <row r="219" spans="1:8" x14ac:dyDescent="0.2">
      <c r="A219" t="s">
        <v>301</v>
      </c>
      <c r="B219" t="s">
        <v>1297</v>
      </c>
      <c r="C219" t="s">
        <v>1092</v>
      </c>
      <c r="D219" t="s">
        <v>1061</v>
      </c>
      <c r="E219">
        <v>2589.9699999999998</v>
      </c>
      <c r="F219">
        <v>1793</v>
      </c>
      <c r="G219" t="s">
        <v>1236</v>
      </c>
      <c r="H219" t="s">
        <v>18</v>
      </c>
    </row>
    <row r="220" spans="1:8" x14ac:dyDescent="0.2">
      <c r="A220" t="s">
        <v>301</v>
      </c>
      <c r="B220" t="s">
        <v>1298</v>
      </c>
      <c r="C220" t="s">
        <v>1092</v>
      </c>
      <c r="D220" t="s">
        <v>1061</v>
      </c>
      <c r="E220">
        <v>1157.0440000000001</v>
      </c>
      <c r="F220">
        <v>815</v>
      </c>
      <c r="G220" t="s">
        <v>1236</v>
      </c>
      <c r="H220" t="s">
        <v>18</v>
      </c>
    </row>
    <row r="221" spans="1:8" x14ac:dyDescent="0.2">
      <c r="A221" t="s">
        <v>301</v>
      </c>
      <c r="B221" t="s">
        <v>1299</v>
      </c>
      <c r="C221" t="s">
        <v>1092</v>
      </c>
      <c r="D221" t="s">
        <v>1061</v>
      </c>
      <c r="E221">
        <v>1887.04</v>
      </c>
      <c r="F221">
        <v>1223</v>
      </c>
      <c r="G221" t="s">
        <v>1236</v>
      </c>
      <c r="H221" t="s">
        <v>18</v>
      </c>
    </row>
    <row r="222" spans="1:8" x14ac:dyDescent="0.2">
      <c r="A222" t="s">
        <v>301</v>
      </c>
      <c r="B222" t="s">
        <v>1300</v>
      </c>
      <c r="C222" t="s">
        <v>1092</v>
      </c>
      <c r="D222" t="s">
        <v>1061</v>
      </c>
      <c r="E222">
        <v>1830.7079700000002</v>
      </c>
      <c r="F222">
        <v>1284</v>
      </c>
      <c r="G222" t="s">
        <v>1236</v>
      </c>
      <c r="H222" t="s">
        <v>18</v>
      </c>
    </row>
    <row r="223" spans="1:8" x14ac:dyDescent="0.2">
      <c r="A223" t="s">
        <v>301</v>
      </c>
      <c r="B223" t="s">
        <v>1301</v>
      </c>
      <c r="C223" t="s">
        <v>1092</v>
      </c>
      <c r="D223" t="s">
        <v>1061</v>
      </c>
      <c r="E223">
        <v>1055.4215999999999</v>
      </c>
      <c r="F223">
        <v>760</v>
      </c>
      <c r="G223" t="s">
        <v>1236</v>
      </c>
      <c r="H223" t="s">
        <v>18</v>
      </c>
    </row>
    <row r="224" spans="1:8" x14ac:dyDescent="0.2">
      <c r="A224" t="s">
        <v>301</v>
      </c>
      <c r="B224" t="s">
        <v>1302</v>
      </c>
      <c r="C224" t="s">
        <v>1092</v>
      </c>
      <c r="D224" t="s">
        <v>1061</v>
      </c>
      <c r="E224">
        <v>1904.9749999999999</v>
      </c>
      <c r="F224">
        <v>0</v>
      </c>
      <c r="G224" t="s">
        <v>1103</v>
      </c>
      <c r="H224" t="s">
        <v>18</v>
      </c>
    </row>
    <row r="225" spans="1:8" x14ac:dyDescent="0.2">
      <c r="A225" t="s">
        <v>301</v>
      </c>
      <c r="B225" t="s">
        <v>1303</v>
      </c>
      <c r="C225" t="s">
        <v>1092</v>
      </c>
      <c r="D225" t="s">
        <v>1061</v>
      </c>
      <c r="E225">
        <v>8434.268</v>
      </c>
      <c r="F225">
        <v>5167</v>
      </c>
      <c r="G225" t="s">
        <v>1236</v>
      </c>
      <c r="H225" t="s">
        <v>18</v>
      </c>
    </row>
    <row r="226" spans="1:8" x14ac:dyDescent="0.2">
      <c r="A226" t="s">
        <v>301</v>
      </c>
      <c r="B226" t="s">
        <v>1304</v>
      </c>
      <c r="C226" t="s">
        <v>1092</v>
      </c>
      <c r="D226" t="s">
        <v>1061</v>
      </c>
      <c r="E226">
        <v>2646.6289999999999</v>
      </c>
      <c r="F226">
        <v>1910</v>
      </c>
      <c r="G226" t="s">
        <v>1236</v>
      </c>
      <c r="H226" t="s">
        <v>18</v>
      </c>
    </row>
    <row r="227" spans="1:8" x14ac:dyDescent="0.2">
      <c r="A227" t="s">
        <v>301</v>
      </c>
      <c r="B227" t="s">
        <v>1305</v>
      </c>
      <c r="C227" t="s">
        <v>1092</v>
      </c>
      <c r="D227" t="s">
        <v>1061</v>
      </c>
      <c r="E227">
        <v>1107.11538</v>
      </c>
      <c r="F227">
        <v>780</v>
      </c>
      <c r="G227" t="s">
        <v>1236</v>
      </c>
      <c r="H227" t="s">
        <v>18</v>
      </c>
    </row>
    <row r="228" spans="1:8" x14ac:dyDescent="0.2">
      <c r="A228" t="s">
        <v>301</v>
      </c>
      <c r="B228" t="s">
        <v>1306</v>
      </c>
      <c r="C228" t="s">
        <v>1092</v>
      </c>
      <c r="D228" t="s">
        <v>1061</v>
      </c>
      <c r="E228">
        <v>1053.8599999999999</v>
      </c>
      <c r="F228">
        <v>0</v>
      </c>
      <c r="G228" t="s">
        <v>1103</v>
      </c>
      <c r="H228" t="s">
        <v>18</v>
      </c>
    </row>
    <row r="229" spans="1:8" x14ac:dyDescent="0.2">
      <c r="A229" t="s">
        <v>301</v>
      </c>
      <c r="B229" t="s">
        <v>1307</v>
      </c>
      <c r="C229" t="s">
        <v>1092</v>
      </c>
      <c r="D229" t="s">
        <v>1061</v>
      </c>
      <c r="E229">
        <v>7202.5591000000004</v>
      </c>
      <c r="F229">
        <v>5198</v>
      </c>
      <c r="G229" t="s">
        <v>1236</v>
      </c>
      <c r="H229" t="s">
        <v>18</v>
      </c>
    </row>
    <row r="230" spans="1:8" x14ac:dyDescent="0.2">
      <c r="A230" t="s">
        <v>301</v>
      </c>
      <c r="B230" t="s">
        <v>1308</v>
      </c>
      <c r="C230" t="s">
        <v>1092</v>
      </c>
      <c r="D230" t="s">
        <v>1061</v>
      </c>
      <c r="E230">
        <v>1004.991</v>
      </c>
      <c r="F230">
        <v>727</v>
      </c>
      <c r="G230" t="s">
        <v>1236</v>
      </c>
      <c r="H230" t="s">
        <v>18</v>
      </c>
    </row>
    <row r="231" spans="1:8" x14ac:dyDescent="0.2">
      <c r="A231" t="s">
        <v>301</v>
      </c>
      <c r="B231" t="s">
        <v>1309</v>
      </c>
      <c r="C231" t="s">
        <v>1092</v>
      </c>
      <c r="D231" t="s">
        <v>1061</v>
      </c>
      <c r="E231">
        <v>1298.2714639999999</v>
      </c>
      <c r="F231">
        <v>885</v>
      </c>
      <c r="G231" t="s">
        <v>1236</v>
      </c>
      <c r="H231" t="s">
        <v>18</v>
      </c>
    </row>
    <row r="232" spans="1:8" x14ac:dyDescent="0.2">
      <c r="A232" t="s">
        <v>301</v>
      </c>
      <c r="B232" t="s">
        <v>1310</v>
      </c>
      <c r="C232" t="s">
        <v>1092</v>
      </c>
      <c r="D232" t="s">
        <v>1061</v>
      </c>
      <c r="E232">
        <v>5859.8430000000008</v>
      </c>
      <c r="F232">
        <v>3992</v>
      </c>
      <c r="G232" t="s">
        <v>1236</v>
      </c>
      <c r="H232" t="s">
        <v>18</v>
      </c>
    </row>
    <row r="233" spans="1:8" x14ac:dyDescent="0.2">
      <c r="A233" t="s">
        <v>301</v>
      </c>
      <c r="B233" t="s">
        <v>1311</v>
      </c>
      <c r="C233" t="s">
        <v>1092</v>
      </c>
      <c r="D233" t="s">
        <v>1061</v>
      </c>
      <c r="E233">
        <v>2630.078</v>
      </c>
      <c r="F233">
        <v>1738</v>
      </c>
      <c r="G233" t="s">
        <v>1236</v>
      </c>
      <c r="H233" t="s">
        <v>18</v>
      </c>
    </row>
    <row r="234" spans="1:8" x14ac:dyDescent="0.2">
      <c r="A234" t="s">
        <v>301</v>
      </c>
      <c r="B234" t="s">
        <v>1312</v>
      </c>
      <c r="C234" t="s">
        <v>1092</v>
      </c>
      <c r="D234" t="s">
        <v>1061</v>
      </c>
      <c r="E234">
        <v>3370.8500000000004</v>
      </c>
      <c r="F234">
        <v>2281</v>
      </c>
      <c r="G234" t="s">
        <v>1236</v>
      </c>
      <c r="H234" t="s">
        <v>18</v>
      </c>
    </row>
    <row r="235" spans="1:8" x14ac:dyDescent="0.2">
      <c r="A235" t="s">
        <v>301</v>
      </c>
      <c r="B235" t="s">
        <v>1313</v>
      </c>
      <c r="C235" t="s">
        <v>1092</v>
      </c>
      <c r="D235" t="s">
        <v>1061</v>
      </c>
      <c r="E235">
        <v>4892.7730000000001</v>
      </c>
      <c r="F235">
        <v>0</v>
      </c>
      <c r="G235" t="s">
        <v>1103</v>
      </c>
      <c r="H235" t="s">
        <v>18</v>
      </c>
    </row>
    <row r="236" spans="1:8" x14ac:dyDescent="0.2">
      <c r="A236" t="s">
        <v>301</v>
      </c>
      <c r="B236" t="s">
        <v>1314</v>
      </c>
      <c r="C236" t="s">
        <v>1092</v>
      </c>
      <c r="D236" t="s">
        <v>1061</v>
      </c>
      <c r="E236">
        <v>1264.8330000000001</v>
      </c>
      <c r="F236">
        <v>903</v>
      </c>
      <c r="G236" t="s">
        <v>1236</v>
      </c>
      <c r="H236" t="s">
        <v>18</v>
      </c>
    </row>
    <row r="237" spans="1:8" x14ac:dyDescent="0.2">
      <c r="A237" t="s">
        <v>301</v>
      </c>
      <c r="B237" t="s">
        <v>1315</v>
      </c>
      <c r="C237" t="s">
        <v>1092</v>
      </c>
      <c r="D237" t="s">
        <v>1061</v>
      </c>
      <c r="E237">
        <v>2130.9699999999998</v>
      </c>
      <c r="F237">
        <v>1360</v>
      </c>
      <c r="G237" t="s">
        <v>1236</v>
      </c>
      <c r="H237" t="s">
        <v>18</v>
      </c>
    </row>
    <row r="238" spans="1:8" x14ac:dyDescent="0.2">
      <c r="A238" t="s">
        <v>301</v>
      </c>
      <c r="B238" t="s">
        <v>1316</v>
      </c>
      <c r="C238" t="s">
        <v>1092</v>
      </c>
      <c r="D238" t="s">
        <v>1061</v>
      </c>
      <c r="E238">
        <v>1778.9659999999999</v>
      </c>
      <c r="F238">
        <v>1428</v>
      </c>
      <c r="G238" t="s">
        <v>1236</v>
      </c>
      <c r="H238" t="s">
        <v>18</v>
      </c>
    </row>
    <row r="239" spans="1:8" x14ac:dyDescent="0.2">
      <c r="A239" t="s">
        <v>301</v>
      </c>
      <c r="B239" t="s">
        <v>1317</v>
      </c>
      <c r="C239" t="s">
        <v>1092</v>
      </c>
      <c r="D239" t="s">
        <v>1061</v>
      </c>
      <c r="E239">
        <v>9491.3870000000006</v>
      </c>
      <c r="F239">
        <v>6631</v>
      </c>
      <c r="G239" t="s">
        <v>1236</v>
      </c>
      <c r="H239" t="s">
        <v>18</v>
      </c>
    </row>
    <row r="240" spans="1:8" x14ac:dyDescent="0.2">
      <c r="A240" t="s">
        <v>301</v>
      </c>
      <c r="B240" t="s">
        <v>1318</v>
      </c>
      <c r="C240" t="s">
        <v>1092</v>
      </c>
      <c r="D240" t="s">
        <v>1061</v>
      </c>
      <c r="E240">
        <v>3724.77</v>
      </c>
      <c r="F240">
        <v>2519</v>
      </c>
      <c r="G240" t="s">
        <v>1236</v>
      </c>
      <c r="H240" t="s">
        <v>18</v>
      </c>
    </row>
    <row r="241" spans="1:8" x14ac:dyDescent="0.2">
      <c r="A241" t="s">
        <v>301</v>
      </c>
      <c r="B241" t="s">
        <v>1319</v>
      </c>
      <c r="C241" t="s">
        <v>1092</v>
      </c>
      <c r="D241" t="s">
        <v>1061</v>
      </c>
      <c r="E241">
        <v>6476.9049999999997</v>
      </c>
      <c r="F241">
        <v>0</v>
      </c>
      <c r="G241" t="s">
        <v>1103</v>
      </c>
      <c r="H241" t="s">
        <v>18</v>
      </c>
    </row>
    <row r="242" spans="1:8" x14ac:dyDescent="0.2">
      <c r="A242" t="s">
        <v>301</v>
      </c>
      <c r="B242" t="s">
        <v>1320</v>
      </c>
      <c r="C242" t="s">
        <v>1092</v>
      </c>
      <c r="D242" t="s">
        <v>1061</v>
      </c>
      <c r="E242">
        <v>1940.66</v>
      </c>
      <c r="F242">
        <v>1367</v>
      </c>
      <c r="G242" t="s">
        <v>1236</v>
      </c>
      <c r="H242" t="s">
        <v>18</v>
      </c>
    </row>
    <row r="243" spans="1:8" x14ac:dyDescent="0.2">
      <c r="A243" t="s">
        <v>301</v>
      </c>
      <c r="B243" t="s">
        <v>1321</v>
      </c>
      <c r="C243" t="s">
        <v>1092</v>
      </c>
      <c r="D243" t="s">
        <v>1061</v>
      </c>
      <c r="E243">
        <v>615.28100000000006</v>
      </c>
      <c r="F243">
        <v>469</v>
      </c>
      <c r="G243" t="s">
        <v>1236</v>
      </c>
      <c r="H243" t="s">
        <v>18</v>
      </c>
    </row>
    <row r="244" spans="1:8" x14ac:dyDescent="0.2">
      <c r="A244" t="s">
        <v>301</v>
      </c>
      <c r="B244" t="s">
        <v>1322</v>
      </c>
      <c r="C244" t="s">
        <v>1092</v>
      </c>
      <c r="D244" t="s">
        <v>1061</v>
      </c>
      <c r="E244">
        <v>29092.95</v>
      </c>
      <c r="F244">
        <v>19640</v>
      </c>
      <c r="G244" t="s">
        <v>1236</v>
      </c>
      <c r="H244" t="s">
        <v>18</v>
      </c>
    </row>
    <row r="245" spans="1:8" x14ac:dyDescent="0.2">
      <c r="A245" t="s">
        <v>301</v>
      </c>
      <c r="B245" t="s">
        <v>1323</v>
      </c>
      <c r="C245" t="s">
        <v>1092</v>
      </c>
      <c r="D245" t="s">
        <v>1061</v>
      </c>
      <c r="E245">
        <v>1303.829</v>
      </c>
      <c r="F245">
        <v>1033</v>
      </c>
      <c r="G245" t="s">
        <v>1236</v>
      </c>
      <c r="H245" t="s">
        <v>18</v>
      </c>
    </row>
    <row r="246" spans="1:8" x14ac:dyDescent="0.2">
      <c r="A246" t="s">
        <v>301</v>
      </c>
      <c r="B246" t="s">
        <v>1324</v>
      </c>
      <c r="C246" t="s">
        <v>1092</v>
      </c>
      <c r="D246" t="s">
        <v>1061</v>
      </c>
      <c r="E246">
        <v>5128.7971000000007</v>
      </c>
      <c r="F246">
        <v>3445</v>
      </c>
      <c r="G246" t="s">
        <v>1236</v>
      </c>
      <c r="H246" t="s">
        <v>18</v>
      </c>
    </row>
    <row r="247" spans="1:8" x14ac:dyDescent="0.2">
      <c r="A247" t="s">
        <v>301</v>
      </c>
      <c r="B247" t="s">
        <v>1325</v>
      </c>
      <c r="C247" t="s">
        <v>1092</v>
      </c>
      <c r="D247" t="s">
        <v>1096</v>
      </c>
      <c r="E247">
        <v>2862.335</v>
      </c>
      <c r="F247">
        <v>0</v>
      </c>
      <c r="G247" t="s">
        <v>1103</v>
      </c>
      <c r="H247" t="s">
        <v>18</v>
      </c>
    </row>
    <row r="248" spans="1:8" x14ac:dyDescent="0.2">
      <c r="A248" t="s">
        <v>301</v>
      </c>
      <c r="B248" t="s">
        <v>1326</v>
      </c>
      <c r="C248" t="s">
        <v>1092</v>
      </c>
      <c r="D248" t="s">
        <v>1061</v>
      </c>
      <c r="E248">
        <v>1215.8799999999999</v>
      </c>
      <c r="F248">
        <v>793</v>
      </c>
      <c r="G248" t="s">
        <v>1236</v>
      </c>
      <c r="H248" t="s">
        <v>18</v>
      </c>
    </row>
    <row r="249" spans="1:8" x14ac:dyDescent="0.2">
      <c r="A249" t="s">
        <v>301</v>
      </c>
      <c r="B249" t="s">
        <v>1327</v>
      </c>
      <c r="C249" t="s">
        <v>1092</v>
      </c>
      <c r="D249" t="s">
        <v>1061</v>
      </c>
      <c r="E249">
        <v>1797.7739999999999</v>
      </c>
      <c r="F249">
        <v>1209</v>
      </c>
      <c r="G249" t="s">
        <v>1236</v>
      </c>
      <c r="H249" t="s">
        <v>18</v>
      </c>
    </row>
    <row r="250" spans="1:8" x14ac:dyDescent="0.2">
      <c r="A250" t="s">
        <v>301</v>
      </c>
      <c r="B250" t="s">
        <v>1328</v>
      </c>
      <c r="C250" t="s">
        <v>1092</v>
      </c>
      <c r="D250" t="s">
        <v>1061</v>
      </c>
      <c r="E250">
        <v>1763.3380000000002</v>
      </c>
      <c r="F250">
        <v>1239</v>
      </c>
      <c r="G250" t="s">
        <v>1236</v>
      </c>
      <c r="H250" t="s">
        <v>18</v>
      </c>
    </row>
    <row r="251" spans="1:8" x14ac:dyDescent="0.2">
      <c r="A251" t="s">
        <v>301</v>
      </c>
      <c r="B251" t="s">
        <v>1099</v>
      </c>
      <c r="C251" t="s">
        <v>1100</v>
      </c>
      <c r="D251" t="s">
        <v>35</v>
      </c>
      <c r="E251">
        <v>167950.05431599997</v>
      </c>
      <c r="F251">
        <v>104483</v>
      </c>
      <c r="G251" t="s">
        <v>35</v>
      </c>
      <c r="H251" t="s">
        <v>18</v>
      </c>
    </row>
    <row r="252" spans="1:8" x14ac:dyDescent="0.2">
      <c r="A252" t="s">
        <v>38</v>
      </c>
      <c r="B252" t="s">
        <v>1330</v>
      </c>
      <c r="C252" t="s">
        <v>1092</v>
      </c>
      <c r="D252" t="s">
        <v>1052</v>
      </c>
      <c r="E252">
        <v>65958.81</v>
      </c>
      <c r="F252">
        <v>53821</v>
      </c>
      <c r="G252" t="s">
        <v>1109</v>
      </c>
      <c r="H252" t="s">
        <v>18</v>
      </c>
    </row>
    <row r="253" spans="1:8" x14ac:dyDescent="0.2">
      <c r="A253" t="s">
        <v>38</v>
      </c>
      <c r="B253" t="s">
        <v>1331</v>
      </c>
      <c r="C253" t="s">
        <v>1092</v>
      </c>
      <c r="D253" t="s">
        <v>1096</v>
      </c>
      <c r="E253">
        <v>43308.732385000003</v>
      </c>
      <c r="F253">
        <v>33933</v>
      </c>
      <c r="G253" t="s">
        <v>1109</v>
      </c>
      <c r="H253" t="s">
        <v>18</v>
      </c>
    </row>
    <row r="254" spans="1:8" x14ac:dyDescent="0.2">
      <c r="A254" t="s">
        <v>38</v>
      </c>
      <c r="B254" t="s">
        <v>1332</v>
      </c>
      <c r="C254" t="s">
        <v>1092</v>
      </c>
      <c r="D254" t="s">
        <v>1058</v>
      </c>
      <c r="E254">
        <v>7020510.0620000008</v>
      </c>
      <c r="F254">
        <v>6032263</v>
      </c>
      <c r="G254" t="s">
        <v>1111</v>
      </c>
      <c r="H254" t="s">
        <v>18</v>
      </c>
    </row>
    <row r="255" spans="1:8" x14ac:dyDescent="0.2">
      <c r="A255" t="s">
        <v>38</v>
      </c>
      <c r="B255" t="s">
        <v>1333</v>
      </c>
      <c r="C255" t="s">
        <v>1092</v>
      </c>
      <c r="D255" t="s">
        <v>1096</v>
      </c>
      <c r="E255">
        <v>344414.39500000002</v>
      </c>
      <c r="F255">
        <v>186736</v>
      </c>
      <c r="G255" t="s">
        <v>1109</v>
      </c>
      <c r="H255" t="s">
        <v>18</v>
      </c>
    </row>
    <row r="256" spans="1:8" x14ac:dyDescent="0.2">
      <c r="A256" t="s">
        <v>38</v>
      </c>
      <c r="B256" t="s">
        <v>1334</v>
      </c>
      <c r="C256" t="s">
        <v>1092</v>
      </c>
      <c r="D256" t="s">
        <v>1058</v>
      </c>
      <c r="E256">
        <v>603545.45710999996</v>
      </c>
      <c r="F256">
        <v>256617</v>
      </c>
      <c r="G256" t="s">
        <v>1109</v>
      </c>
      <c r="H256" t="s">
        <v>18</v>
      </c>
    </row>
    <row r="257" spans="1:8" x14ac:dyDescent="0.2">
      <c r="A257" t="s">
        <v>38</v>
      </c>
      <c r="B257" t="s">
        <v>1335</v>
      </c>
      <c r="C257" t="s">
        <v>1092</v>
      </c>
      <c r="D257" t="s">
        <v>1096</v>
      </c>
      <c r="E257">
        <v>2306.5121200000003</v>
      </c>
      <c r="F257">
        <v>0</v>
      </c>
      <c r="G257" t="s">
        <v>1103</v>
      </c>
      <c r="H257" t="s">
        <v>18</v>
      </c>
    </row>
    <row r="258" spans="1:8" x14ac:dyDescent="0.2">
      <c r="A258" t="s">
        <v>38</v>
      </c>
      <c r="B258" t="s">
        <v>1336</v>
      </c>
      <c r="C258" t="s">
        <v>1092</v>
      </c>
      <c r="D258" t="s">
        <v>1096</v>
      </c>
      <c r="E258">
        <v>8182830.0000009993</v>
      </c>
      <c r="F258">
        <v>11017527</v>
      </c>
      <c r="G258" t="s">
        <v>1128</v>
      </c>
      <c r="H258" t="s">
        <v>18</v>
      </c>
    </row>
    <row r="259" spans="1:8" x14ac:dyDescent="0.2">
      <c r="A259" t="s">
        <v>38</v>
      </c>
      <c r="B259" t="s">
        <v>1099</v>
      </c>
      <c r="C259" t="s">
        <v>1100</v>
      </c>
      <c r="D259" t="s">
        <v>35</v>
      </c>
      <c r="E259">
        <v>16262873.968615998</v>
      </c>
      <c r="F259">
        <v>17580897</v>
      </c>
      <c r="G259" t="s">
        <v>35</v>
      </c>
      <c r="H259" t="s">
        <v>18</v>
      </c>
    </row>
    <row r="260" spans="1:8" x14ac:dyDescent="0.2">
      <c r="A260" t="s">
        <v>1338</v>
      </c>
      <c r="B260" t="s">
        <v>1339</v>
      </c>
      <c r="C260" t="s">
        <v>1092</v>
      </c>
      <c r="D260" t="s">
        <v>1061</v>
      </c>
      <c r="E260">
        <v>392857.77100000001</v>
      </c>
      <c r="F260">
        <v>43</v>
      </c>
      <c r="G260" t="s">
        <v>1103</v>
      </c>
      <c r="H260" t="s">
        <v>18</v>
      </c>
    </row>
    <row r="261" spans="1:8" x14ac:dyDescent="0.2">
      <c r="A261" t="s">
        <v>1338</v>
      </c>
      <c r="B261" t="s">
        <v>1099</v>
      </c>
      <c r="C261" t="s">
        <v>1100</v>
      </c>
      <c r="D261" t="s">
        <v>35</v>
      </c>
      <c r="E261">
        <v>392857.77100000001</v>
      </c>
      <c r="F261">
        <v>43</v>
      </c>
      <c r="G261" t="s">
        <v>35</v>
      </c>
      <c r="H261" t="s">
        <v>18</v>
      </c>
    </row>
    <row r="262" spans="1:8" x14ac:dyDescent="0.2">
      <c r="A262" t="s">
        <v>99</v>
      </c>
      <c r="B262" t="s">
        <v>1856</v>
      </c>
      <c r="C262" t="s">
        <v>1092</v>
      </c>
      <c r="D262" t="s">
        <v>1096</v>
      </c>
      <c r="E262">
        <v>173691.82805000001</v>
      </c>
      <c r="F262">
        <v>129093</v>
      </c>
      <c r="G262" t="s">
        <v>1857</v>
      </c>
      <c r="H262" t="s">
        <v>18</v>
      </c>
    </row>
    <row r="263" spans="1:8" x14ac:dyDescent="0.2">
      <c r="A263" t="s">
        <v>99</v>
      </c>
      <c r="B263" t="s">
        <v>1099</v>
      </c>
      <c r="C263" t="s">
        <v>1100</v>
      </c>
      <c r="D263" t="s">
        <v>35</v>
      </c>
      <c r="E263">
        <v>173691.82805000001</v>
      </c>
      <c r="F263">
        <v>129093</v>
      </c>
      <c r="G263" t="s">
        <v>35</v>
      </c>
      <c r="H263" t="s">
        <v>18</v>
      </c>
    </row>
    <row r="264" spans="1:8" x14ac:dyDescent="0.2">
      <c r="A264" t="s">
        <v>1342</v>
      </c>
      <c r="B264" t="s">
        <v>1343</v>
      </c>
      <c r="C264" t="s">
        <v>1092</v>
      </c>
      <c r="D264" t="s">
        <v>1058</v>
      </c>
      <c r="E264">
        <v>260550.198</v>
      </c>
      <c r="F264">
        <v>0</v>
      </c>
      <c r="G264" t="s">
        <v>1103</v>
      </c>
      <c r="H264" t="s">
        <v>18</v>
      </c>
    </row>
    <row r="265" spans="1:8" x14ac:dyDescent="0.2">
      <c r="A265" t="s">
        <v>1342</v>
      </c>
      <c r="B265" t="s">
        <v>1099</v>
      </c>
      <c r="C265" t="s">
        <v>1100</v>
      </c>
      <c r="D265" t="s">
        <v>35</v>
      </c>
      <c r="E265">
        <v>260550.198</v>
      </c>
      <c r="F265">
        <v>0</v>
      </c>
      <c r="G265" t="s">
        <v>35</v>
      </c>
      <c r="H265" t="s">
        <v>18</v>
      </c>
    </row>
    <row r="266" spans="1:8" x14ac:dyDescent="0.2">
      <c r="A266" t="s">
        <v>840</v>
      </c>
      <c r="B266" t="s">
        <v>1858</v>
      </c>
      <c r="C266" t="s">
        <v>1092</v>
      </c>
      <c r="D266" t="s">
        <v>1126</v>
      </c>
      <c r="E266">
        <v>180409.85322600001</v>
      </c>
      <c r="F266">
        <v>426</v>
      </c>
      <c r="G266" t="s">
        <v>1103</v>
      </c>
      <c r="H266" t="s">
        <v>18</v>
      </c>
    </row>
    <row r="267" spans="1:8" x14ac:dyDescent="0.2">
      <c r="A267" t="s">
        <v>840</v>
      </c>
      <c r="B267" t="s">
        <v>1344</v>
      </c>
      <c r="C267" t="s">
        <v>1092</v>
      </c>
      <c r="D267" t="s">
        <v>1126</v>
      </c>
      <c r="E267">
        <v>873017.20043700002</v>
      </c>
      <c r="F267">
        <v>436601</v>
      </c>
      <c r="G267" t="s">
        <v>1109</v>
      </c>
      <c r="H267" t="s">
        <v>18</v>
      </c>
    </row>
    <row r="268" spans="1:8" x14ac:dyDescent="0.2">
      <c r="A268" t="s">
        <v>840</v>
      </c>
      <c r="B268" t="s">
        <v>1099</v>
      </c>
      <c r="C268" t="s">
        <v>1100</v>
      </c>
      <c r="D268" t="s">
        <v>35</v>
      </c>
      <c r="E268">
        <v>1053427.053663</v>
      </c>
      <c r="F268">
        <v>437027</v>
      </c>
      <c r="G268" t="s">
        <v>35</v>
      </c>
      <c r="H268" t="s">
        <v>18</v>
      </c>
    </row>
    <row r="269" spans="1:8" x14ac:dyDescent="0.2">
      <c r="A269" t="s">
        <v>1347</v>
      </c>
      <c r="B269" t="s">
        <v>1859</v>
      </c>
      <c r="C269" t="s">
        <v>1092</v>
      </c>
      <c r="D269" t="s">
        <v>1061</v>
      </c>
      <c r="E269">
        <v>0</v>
      </c>
      <c r="F269">
        <v>1</v>
      </c>
      <c r="G269" t="s">
        <v>1191</v>
      </c>
      <c r="H269" t="s">
        <v>18</v>
      </c>
    </row>
    <row r="270" spans="1:8" x14ac:dyDescent="0.2">
      <c r="A270" t="s">
        <v>1347</v>
      </c>
      <c r="B270" t="s">
        <v>1860</v>
      </c>
      <c r="C270" t="s">
        <v>1092</v>
      </c>
      <c r="D270" t="s">
        <v>1061</v>
      </c>
      <c r="E270">
        <v>0</v>
      </c>
      <c r="F270">
        <v>0</v>
      </c>
      <c r="G270" t="s">
        <v>1093</v>
      </c>
      <c r="H270" t="s">
        <v>18</v>
      </c>
    </row>
    <row r="271" spans="1:8" x14ac:dyDescent="0.2">
      <c r="A271" t="s">
        <v>1347</v>
      </c>
      <c r="B271" t="s">
        <v>1348</v>
      </c>
      <c r="C271" t="s">
        <v>1092</v>
      </c>
      <c r="D271" t="s">
        <v>1058</v>
      </c>
      <c r="E271">
        <v>108550.7628</v>
      </c>
      <c r="F271">
        <v>5</v>
      </c>
      <c r="G271" t="s">
        <v>1103</v>
      </c>
      <c r="H271" t="s">
        <v>18</v>
      </c>
    </row>
    <row r="272" spans="1:8" x14ac:dyDescent="0.2">
      <c r="A272" t="s">
        <v>1347</v>
      </c>
      <c r="B272" t="s">
        <v>1861</v>
      </c>
      <c r="C272" t="s">
        <v>1092</v>
      </c>
      <c r="D272" t="s">
        <v>1061</v>
      </c>
      <c r="E272">
        <v>0</v>
      </c>
      <c r="F272">
        <v>249</v>
      </c>
      <c r="G272" t="s">
        <v>1103</v>
      </c>
      <c r="H272" t="s">
        <v>18</v>
      </c>
    </row>
    <row r="273" spans="1:8" x14ac:dyDescent="0.2">
      <c r="A273" t="s">
        <v>1347</v>
      </c>
      <c r="B273" t="s">
        <v>1862</v>
      </c>
      <c r="C273" t="s">
        <v>1092</v>
      </c>
      <c r="D273" t="s">
        <v>1061</v>
      </c>
      <c r="E273">
        <v>0</v>
      </c>
      <c r="F273">
        <v>1889</v>
      </c>
      <c r="G273" t="s">
        <v>1107</v>
      </c>
      <c r="H273" t="s">
        <v>18</v>
      </c>
    </row>
    <row r="274" spans="1:8" x14ac:dyDescent="0.2">
      <c r="A274" t="s">
        <v>1347</v>
      </c>
      <c r="B274" t="s">
        <v>1349</v>
      </c>
      <c r="C274" t="s">
        <v>1092</v>
      </c>
      <c r="D274" t="s">
        <v>1058</v>
      </c>
      <c r="E274">
        <v>90780.763099999996</v>
      </c>
      <c r="F274">
        <v>15</v>
      </c>
      <c r="G274" t="s">
        <v>1103</v>
      </c>
      <c r="H274" t="s">
        <v>18</v>
      </c>
    </row>
    <row r="275" spans="1:8" x14ac:dyDescent="0.2">
      <c r="A275" t="s">
        <v>1347</v>
      </c>
      <c r="B275" t="s">
        <v>1099</v>
      </c>
      <c r="C275" t="s">
        <v>1100</v>
      </c>
      <c r="D275" t="s">
        <v>35</v>
      </c>
      <c r="E275">
        <v>199331.52590000001</v>
      </c>
      <c r="F275">
        <v>2159</v>
      </c>
      <c r="G275" t="s">
        <v>35</v>
      </c>
      <c r="H275" t="s">
        <v>18</v>
      </c>
    </row>
    <row r="276" spans="1:8" x14ac:dyDescent="0.2">
      <c r="A276" t="s">
        <v>1350</v>
      </c>
      <c r="B276" t="s">
        <v>1351</v>
      </c>
      <c r="C276" t="s">
        <v>1092</v>
      </c>
      <c r="D276" t="s">
        <v>1061</v>
      </c>
      <c r="E276">
        <v>165192.99100000001</v>
      </c>
      <c r="F276">
        <v>41</v>
      </c>
      <c r="G276" t="s">
        <v>1103</v>
      </c>
      <c r="H276" t="s">
        <v>18</v>
      </c>
    </row>
    <row r="277" spans="1:8" x14ac:dyDescent="0.2">
      <c r="A277" t="s">
        <v>1350</v>
      </c>
      <c r="B277" t="s">
        <v>1352</v>
      </c>
      <c r="C277" t="s">
        <v>1092</v>
      </c>
      <c r="D277" t="s">
        <v>1096</v>
      </c>
      <c r="E277">
        <v>148778.87899999999</v>
      </c>
      <c r="F277">
        <v>53</v>
      </c>
      <c r="G277" t="s">
        <v>1103</v>
      </c>
      <c r="H277" t="s">
        <v>18</v>
      </c>
    </row>
    <row r="278" spans="1:8" x14ac:dyDescent="0.2">
      <c r="A278" t="s">
        <v>1350</v>
      </c>
      <c r="B278" t="s">
        <v>1099</v>
      </c>
      <c r="C278" t="s">
        <v>1100</v>
      </c>
      <c r="D278" t="s">
        <v>35</v>
      </c>
      <c r="E278">
        <v>313971.87</v>
      </c>
      <c r="F278">
        <v>94</v>
      </c>
      <c r="G278" t="s">
        <v>35</v>
      </c>
      <c r="H278" t="s">
        <v>18</v>
      </c>
    </row>
    <row r="279" spans="1:8" x14ac:dyDescent="0.2">
      <c r="A279" t="s">
        <v>63</v>
      </c>
      <c r="B279" t="s">
        <v>1354</v>
      </c>
      <c r="C279" t="s">
        <v>1092</v>
      </c>
      <c r="D279" t="s">
        <v>1061</v>
      </c>
      <c r="E279">
        <v>5220116.2122840006</v>
      </c>
      <c r="F279">
        <v>4301871</v>
      </c>
      <c r="G279" t="s">
        <v>1111</v>
      </c>
      <c r="H279" t="s">
        <v>18</v>
      </c>
    </row>
    <row r="280" spans="1:8" x14ac:dyDescent="0.2">
      <c r="A280" t="s">
        <v>63</v>
      </c>
      <c r="B280" t="s">
        <v>1099</v>
      </c>
      <c r="C280" t="s">
        <v>1100</v>
      </c>
      <c r="D280" t="s">
        <v>35</v>
      </c>
      <c r="E280">
        <v>5220116.2122840006</v>
      </c>
      <c r="F280">
        <v>4301871</v>
      </c>
      <c r="G280" t="s">
        <v>35</v>
      </c>
      <c r="H280" t="s">
        <v>18</v>
      </c>
    </row>
    <row r="281" spans="1:8" x14ac:dyDescent="0.2">
      <c r="A281" t="s">
        <v>69</v>
      </c>
      <c r="B281" t="s">
        <v>1863</v>
      </c>
      <c r="C281" t="s">
        <v>1092</v>
      </c>
      <c r="D281" t="s">
        <v>1061</v>
      </c>
      <c r="E281">
        <v>730910.13675399998</v>
      </c>
      <c r="F281">
        <v>239508</v>
      </c>
      <c r="G281" t="s">
        <v>1109</v>
      </c>
      <c r="H281" t="s">
        <v>18</v>
      </c>
    </row>
    <row r="282" spans="1:8" x14ac:dyDescent="0.2">
      <c r="A282" t="s">
        <v>69</v>
      </c>
      <c r="B282" t="s">
        <v>1099</v>
      </c>
      <c r="C282" t="s">
        <v>1100</v>
      </c>
      <c r="D282" t="s">
        <v>35</v>
      </c>
      <c r="E282">
        <v>730910.13675399998</v>
      </c>
      <c r="F282">
        <v>239508</v>
      </c>
      <c r="G282" t="s">
        <v>35</v>
      </c>
      <c r="H282" t="s">
        <v>18</v>
      </c>
    </row>
    <row r="283" spans="1:8" x14ac:dyDescent="0.2">
      <c r="A283" t="s">
        <v>1355</v>
      </c>
      <c r="B283" t="s">
        <v>1356</v>
      </c>
      <c r="C283" t="s">
        <v>1092</v>
      </c>
      <c r="D283" t="s">
        <v>1096</v>
      </c>
      <c r="E283">
        <v>276549.53000000003</v>
      </c>
      <c r="F283">
        <v>83</v>
      </c>
      <c r="G283" t="s">
        <v>1093</v>
      </c>
      <c r="H283" t="s">
        <v>18</v>
      </c>
    </row>
    <row r="284" spans="1:8" x14ac:dyDescent="0.2">
      <c r="A284" t="s">
        <v>1355</v>
      </c>
      <c r="B284" t="s">
        <v>1357</v>
      </c>
      <c r="C284" t="s">
        <v>1092</v>
      </c>
      <c r="D284" t="s">
        <v>1096</v>
      </c>
      <c r="E284">
        <v>560200.79999999993</v>
      </c>
      <c r="F284">
        <v>131</v>
      </c>
      <c r="G284" t="s">
        <v>1093</v>
      </c>
      <c r="H284" t="s">
        <v>18</v>
      </c>
    </row>
    <row r="285" spans="1:8" x14ac:dyDescent="0.2">
      <c r="A285" t="s">
        <v>1355</v>
      </c>
      <c r="B285" t="s">
        <v>1864</v>
      </c>
      <c r="C285" t="s">
        <v>1092</v>
      </c>
      <c r="D285" t="s">
        <v>1061</v>
      </c>
      <c r="E285">
        <v>0</v>
      </c>
      <c r="F285">
        <v>2761</v>
      </c>
      <c r="G285" t="s">
        <v>1103</v>
      </c>
      <c r="H285" t="s">
        <v>18</v>
      </c>
    </row>
    <row r="286" spans="1:8" x14ac:dyDescent="0.2">
      <c r="A286" t="s">
        <v>1355</v>
      </c>
      <c r="B286" t="s">
        <v>1358</v>
      </c>
      <c r="C286" t="s">
        <v>1092</v>
      </c>
      <c r="D286" t="s">
        <v>1058</v>
      </c>
      <c r="E286">
        <v>187249.139</v>
      </c>
      <c r="F286">
        <v>57</v>
      </c>
      <c r="G286" t="s">
        <v>1093</v>
      </c>
      <c r="H286" t="s">
        <v>18</v>
      </c>
    </row>
    <row r="287" spans="1:8" x14ac:dyDescent="0.2">
      <c r="A287" t="s">
        <v>1355</v>
      </c>
      <c r="B287" t="s">
        <v>1359</v>
      </c>
      <c r="C287" t="s">
        <v>1092</v>
      </c>
      <c r="D287" t="s">
        <v>1058</v>
      </c>
      <c r="E287">
        <v>97937.600000000006</v>
      </c>
      <c r="F287">
        <v>38</v>
      </c>
      <c r="G287" t="s">
        <v>1093</v>
      </c>
      <c r="H287" t="s">
        <v>18</v>
      </c>
    </row>
    <row r="288" spans="1:8" x14ac:dyDescent="0.2">
      <c r="A288" t="s">
        <v>1355</v>
      </c>
      <c r="B288" t="s">
        <v>1360</v>
      </c>
      <c r="C288" t="s">
        <v>1092</v>
      </c>
      <c r="D288" t="s">
        <v>1126</v>
      </c>
      <c r="E288">
        <v>91348.820999999996</v>
      </c>
      <c r="F288">
        <v>47</v>
      </c>
      <c r="G288" t="s">
        <v>1103</v>
      </c>
      <c r="H288" t="s">
        <v>18</v>
      </c>
    </row>
    <row r="289" spans="1:8" x14ac:dyDescent="0.2">
      <c r="A289" t="s">
        <v>1355</v>
      </c>
      <c r="B289" t="s">
        <v>1865</v>
      </c>
      <c r="C289" t="s">
        <v>1092</v>
      </c>
      <c r="D289" t="s">
        <v>1058</v>
      </c>
      <c r="E289">
        <v>0</v>
      </c>
      <c r="F289">
        <v>804</v>
      </c>
      <c r="G289" t="s">
        <v>1103</v>
      </c>
      <c r="H289" t="s">
        <v>18</v>
      </c>
    </row>
    <row r="290" spans="1:8" x14ac:dyDescent="0.2">
      <c r="A290" t="s">
        <v>1355</v>
      </c>
      <c r="B290" t="s">
        <v>1361</v>
      </c>
      <c r="C290" t="s">
        <v>1092</v>
      </c>
      <c r="D290" t="s">
        <v>1096</v>
      </c>
      <c r="E290">
        <v>244708.63</v>
      </c>
      <c r="F290">
        <v>43</v>
      </c>
      <c r="G290" t="s">
        <v>1093</v>
      </c>
      <c r="H290" t="s">
        <v>18</v>
      </c>
    </row>
    <row r="291" spans="1:8" x14ac:dyDescent="0.2">
      <c r="A291" t="s">
        <v>1355</v>
      </c>
      <c r="B291" t="s">
        <v>1362</v>
      </c>
      <c r="C291" t="s">
        <v>1092</v>
      </c>
      <c r="D291" t="s">
        <v>1215</v>
      </c>
      <c r="E291">
        <v>0</v>
      </c>
      <c r="F291">
        <v>1</v>
      </c>
      <c r="G291" t="s">
        <v>1191</v>
      </c>
      <c r="H291" t="s">
        <v>18</v>
      </c>
    </row>
    <row r="292" spans="1:8" x14ac:dyDescent="0.2">
      <c r="A292" t="s">
        <v>1355</v>
      </c>
      <c r="B292" t="s">
        <v>1363</v>
      </c>
      <c r="C292" t="s">
        <v>1092</v>
      </c>
      <c r="D292" t="s">
        <v>1096</v>
      </c>
      <c r="E292">
        <v>438746.96600000001</v>
      </c>
      <c r="F292">
        <v>138</v>
      </c>
      <c r="G292" t="s">
        <v>1093</v>
      </c>
      <c r="H292" t="s">
        <v>18</v>
      </c>
    </row>
    <row r="293" spans="1:8" x14ac:dyDescent="0.2">
      <c r="A293" t="s">
        <v>1355</v>
      </c>
      <c r="B293" t="s">
        <v>1099</v>
      </c>
      <c r="C293" t="s">
        <v>1100</v>
      </c>
      <c r="D293" t="s">
        <v>35</v>
      </c>
      <c r="E293">
        <v>1896741.486</v>
      </c>
      <c r="F293">
        <v>4103</v>
      </c>
      <c r="G293" t="s">
        <v>35</v>
      </c>
      <c r="H293" t="s">
        <v>18</v>
      </c>
    </row>
    <row r="294" spans="1:8" x14ac:dyDescent="0.2">
      <c r="A294" t="s">
        <v>1364</v>
      </c>
      <c r="B294" t="s">
        <v>1365</v>
      </c>
      <c r="C294" t="s">
        <v>1092</v>
      </c>
      <c r="D294" t="s">
        <v>1126</v>
      </c>
      <c r="E294">
        <v>37604.623510000005</v>
      </c>
      <c r="F294">
        <v>22282</v>
      </c>
      <c r="G294" t="s">
        <v>1109</v>
      </c>
      <c r="H294" t="s">
        <v>18</v>
      </c>
    </row>
    <row r="295" spans="1:8" x14ac:dyDescent="0.2">
      <c r="A295" t="s">
        <v>1364</v>
      </c>
      <c r="B295" t="s">
        <v>1099</v>
      </c>
      <c r="C295" t="s">
        <v>1100</v>
      </c>
      <c r="D295" t="s">
        <v>35</v>
      </c>
      <c r="E295">
        <v>37604.623510000005</v>
      </c>
      <c r="F295">
        <v>22282</v>
      </c>
      <c r="G295" t="s">
        <v>35</v>
      </c>
      <c r="H295" t="s">
        <v>18</v>
      </c>
    </row>
    <row r="296" spans="1:8" x14ac:dyDescent="0.2">
      <c r="A296" t="s">
        <v>1366</v>
      </c>
      <c r="B296" t="s">
        <v>1367</v>
      </c>
      <c r="C296" t="s">
        <v>1092</v>
      </c>
      <c r="D296" t="s">
        <v>1058</v>
      </c>
      <c r="E296">
        <v>102183.89657700001</v>
      </c>
      <c r="F296">
        <v>34</v>
      </c>
      <c r="G296" t="s">
        <v>1103</v>
      </c>
      <c r="H296" t="s">
        <v>18</v>
      </c>
    </row>
    <row r="297" spans="1:8" x14ac:dyDescent="0.2">
      <c r="A297" t="s">
        <v>1366</v>
      </c>
      <c r="B297" t="s">
        <v>1099</v>
      </c>
      <c r="C297" t="s">
        <v>1100</v>
      </c>
      <c r="D297" t="s">
        <v>35</v>
      </c>
      <c r="E297">
        <v>102183.89657700001</v>
      </c>
      <c r="F297">
        <v>34</v>
      </c>
      <c r="G297" t="s">
        <v>35</v>
      </c>
      <c r="H297" t="s">
        <v>18</v>
      </c>
    </row>
    <row r="298" spans="1:8" x14ac:dyDescent="0.2">
      <c r="A298" t="s">
        <v>1368</v>
      </c>
      <c r="B298" t="s">
        <v>1369</v>
      </c>
      <c r="C298" t="s">
        <v>1092</v>
      </c>
      <c r="D298" t="s">
        <v>1061</v>
      </c>
      <c r="E298">
        <v>32316.536</v>
      </c>
      <c r="F298">
        <v>0</v>
      </c>
      <c r="G298" t="s">
        <v>1103</v>
      </c>
      <c r="H298" t="s">
        <v>18</v>
      </c>
    </row>
    <row r="299" spans="1:8" x14ac:dyDescent="0.2">
      <c r="A299" t="s">
        <v>1368</v>
      </c>
      <c r="B299" t="s">
        <v>1099</v>
      </c>
      <c r="C299" t="s">
        <v>1100</v>
      </c>
      <c r="D299" t="s">
        <v>35</v>
      </c>
      <c r="E299">
        <v>32316.536</v>
      </c>
      <c r="F299">
        <v>0</v>
      </c>
      <c r="G299" t="s">
        <v>35</v>
      </c>
      <c r="H299" t="s">
        <v>18</v>
      </c>
    </row>
    <row r="300" spans="1:8" x14ac:dyDescent="0.2">
      <c r="A300" t="s">
        <v>1370</v>
      </c>
      <c r="B300" t="s">
        <v>1371</v>
      </c>
      <c r="C300" t="s">
        <v>1092</v>
      </c>
      <c r="D300" t="s">
        <v>1058</v>
      </c>
      <c r="E300">
        <v>56651</v>
      </c>
      <c r="F300">
        <v>0</v>
      </c>
      <c r="G300" t="s">
        <v>1107</v>
      </c>
      <c r="H300" t="s">
        <v>18</v>
      </c>
    </row>
    <row r="301" spans="1:8" x14ac:dyDescent="0.2">
      <c r="A301" t="s">
        <v>1370</v>
      </c>
      <c r="B301" t="s">
        <v>1372</v>
      </c>
      <c r="C301" t="s">
        <v>1092</v>
      </c>
      <c r="D301" t="s">
        <v>1058</v>
      </c>
      <c r="E301">
        <v>8069</v>
      </c>
      <c r="F301">
        <v>0</v>
      </c>
      <c r="G301" t="s">
        <v>1107</v>
      </c>
      <c r="H301" t="s">
        <v>18</v>
      </c>
    </row>
    <row r="302" spans="1:8" x14ac:dyDescent="0.2">
      <c r="A302" t="s">
        <v>1370</v>
      </c>
      <c r="B302" t="s">
        <v>1099</v>
      </c>
      <c r="C302" t="s">
        <v>1100</v>
      </c>
      <c r="D302" t="s">
        <v>35</v>
      </c>
      <c r="E302">
        <v>64720</v>
      </c>
      <c r="F302">
        <v>0</v>
      </c>
      <c r="G302" t="s">
        <v>35</v>
      </c>
      <c r="H302" t="s">
        <v>18</v>
      </c>
    </row>
    <row r="303" spans="1:8" x14ac:dyDescent="0.2">
      <c r="A303" t="s">
        <v>481</v>
      </c>
      <c r="B303" t="s">
        <v>1373</v>
      </c>
      <c r="C303" t="s">
        <v>1092</v>
      </c>
      <c r="D303" t="s">
        <v>1064</v>
      </c>
      <c r="E303">
        <v>191628.74599999998</v>
      </c>
      <c r="F303">
        <v>7</v>
      </c>
      <c r="G303" t="s">
        <v>1107</v>
      </c>
      <c r="H303" t="s">
        <v>18</v>
      </c>
    </row>
    <row r="304" spans="1:8" x14ac:dyDescent="0.2">
      <c r="A304" t="s">
        <v>481</v>
      </c>
      <c r="B304" t="s">
        <v>1866</v>
      </c>
      <c r="C304" t="s">
        <v>1092</v>
      </c>
      <c r="D304" t="s">
        <v>1064</v>
      </c>
      <c r="E304">
        <v>64775.423999999999</v>
      </c>
      <c r="F304">
        <v>6</v>
      </c>
      <c r="G304" t="s">
        <v>1107</v>
      </c>
      <c r="H304" t="s">
        <v>18</v>
      </c>
    </row>
    <row r="305" spans="1:8" x14ac:dyDescent="0.2">
      <c r="A305" t="s">
        <v>481</v>
      </c>
      <c r="B305" t="s">
        <v>1375</v>
      </c>
      <c r="C305" t="s">
        <v>1092</v>
      </c>
      <c r="D305" t="s">
        <v>1064</v>
      </c>
      <c r="E305">
        <v>191711.59100000001</v>
      </c>
      <c r="F305">
        <v>14</v>
      </c>
      <c r="G305" t="s">
        <v>1107</v>
      </c>
      <c r="H305" t="s">
        <v>18</v>
      </c>
    </row>
    <row r="306" spans="1:8" x14ac:dyDescent="0.2">
      <c r="A306" t="s">
        <v>481</v>
      </c>
      <c r="B306" t="s">
        <v>1376</v>
      </c>
      <c r="C306" t="s">
        <v>1092</v>
      </c>
      <c r="D306" t="s">
        <v>1064</v>
      </c>
      <c r="E306">
        <v>224035.49399999998</v>
      </c>
      <c r="F306">
        <v>20</v>
      </c>
      <c r="G306" t="s">
        <v>1107</v>
      </c>
      <c r="H306" t="s">
        <v>18</v>
      </c>
    </row>
    <row r="307" spans="1:8" x14ac:dyDescent="0.2">
      <c r="A307" t="s">
        <v>481</v>
      </c>
      <c r="B307" t="s">
        <v>1377</v>
      </c>
      <c r="C307" t="s">
        <v>1092</v>
      </c>
      <c r="D307" t="s">
        <v>1064</v>
      </c>
      <c r="E307">
        <v>70203.976999999999</v>
      </c>
      <c r="F307">
        <v>2</v>
      </c>
      <c r="G307" t="s">
        <v>1107</v>
      </c>
      <c r="H307" t="s">
        <v>18</v>
      </c>
    </row>
    <row r="308" spans="1:8" x14ac:dyDescent="0.2">
      <c r="A308" t="s">
        <v>481</v>
      </c>
      <c r="B308" t="s">
        <v>1378</v>
      </c>
      <c r="C308" t="s">
        <v>1092</v>
      </c>
      <c r="D308" t="s">
        <v>1064</v>
      </c>
      <c r="E308">
        <v>162356.886</v>
      </c>
      <c r="F308">
        <v>6</v>
      </c>
      <c r="G308" t="s">
        <v>1107</v>
      </c>
      <c r="H308" t="s">
        <v>18</v>
      </c>
    </row>
    <row r="309" spans="1:8" x14ac:dyDescent="0.2">
      <c r="A309" t="s">
        <v>481</v>
      </c>
      <c r="B309" t="s">
        <v>1867</v>
      </c>
      <c r="C309" t="s">
        <v>1092</v>
      </c>
      <c r="D309" t="s">
        <v>1064</v>
      </c>
      <c r="E309">
        <v>132803.32199999999</v>
      </c>
      <c r="F309">
        <v>6</v>
      </c>
      <c r="G309" t="s">
        <v>1107</v>
      </c>
      <c r="H309" t="s">
        <v>18</v>
      </c>
    </row>
    <row r="310" spans="1:8" x14ac:dyDescent="0.2">
      <c r="A310" t="s">
        <v>481</v>
      </c>
      <c r="B310" t="s">
        <v>1380</v>
      </c>
      <c r="C310" t="s">
        <v>1092</v>
      </c>
      <c r="D310" t="s">
        <v>1064</v>
      </c>
      <c r="E310">
        <v>1029502.426</v>
      </c>
      <c r="F310">
        <v>137</v>
      </c>
      <c r="G310" t="s">
        <v>1107</v>
      </c>
      <c r="H310" t="s">
        <v>18</v>
      </c>
    </row>
    <row r="311" spans="1:8" x14ac:dyDescent="0.2">
      <c r="A311" t="s">
        <v>481</v>
      </c>
      <c r="B311" t="s">
        <v>1381</v>
      </c>
      <c r="C311" t="s">
        <v>1092</v>
      </c>
      <c r="D311" t="s">
        <v>1064</v>
      </c>
      <c r="E311">
        <v>442041.15700000001</v>
      </c>
      <c r="F311">
        <v>28</v>
      </c>
      <c r="G311" t="s">
        <v>1107</v>
      </c>
      <c r="H311" t="s">
        <v>18</v>
      </c>
    </row>
    <row r="312" spans="1:8" x14ac:dyDescent="0.2">
      <c r="A312" t="s">
        <v>481</v>
      </c>
      <c r="B312" t="s">
        <v>1382</v>
      </c>
      <c r="C312" t="s">
        <v>1092</v>
      </c>
      <c r="D312" t="s">
        <v>1064</v>
      </c>
      <c r="E312">
        <v>84420.745999999999</v>
      </c>
      <c r="F312">
        <v>9</v>
      </c>
      <c r="G312" t="s">
        <v>1107</v>
      </c>
      <c r="H312" t="s">
        <v>18</v>
      </c>
    </row>
    <row r="313" spans="1:8" x14ac:dyDescent="0.2">
      <c r="A313" t="s">
        <v>481</v>
      </c>
      <c r="B313" t="s">
        <v>1383</v>
      </c>
      <c r="C313" t="s">
        <v>1092</v>
      </c>
      <c r="D313" t="s">
        <v>1064</v>
      </c>
      <c r="E313">
        <v>0</v>
      </c>
      <c r="F313">
        <v>0</v>
      </c>
      <c r="G313" t="s">
        <v>1107</v>
      </c>
      <c r="H313" t="s">
        <v>18</v>
      </c>
    </row>
    <row r="314" spans="1:8" x14ac:dyDescent="0.2">
      <c r="A314" t="s">
        <v>481</v>
      </c>
      <c r="B314" t="s">
        <v>1384</v>
      </c>
      <c r="C314" t="s">
        <v>1092</v>
      </c>
      <c r="D314" t="s">
        <v>1064</v>
      </c>
      <c r="E314">
        <v>27271.812000000002</v>
      </c>
      <c r="F314">
        <v>1</v>
      </c>
      <c r="G314" t="s">
        <v>1107</v>
      </c>
      <c r="H314" t="s">
        <v>18</v>
      </c>
    </row>
    <row r="315" spans="1:8" x14ac:dyDescent="0.2">
      <c r="A315" t="s">
        <v>481</v>
      </c>
      <c r="B315" t="s">
        <v>1385</v>
      </c>
      <c r="C315" t="s">
        <v>1092</v>
      </c>
      <c r="D315" t="s">
        <v>1064</v>
      </c>
      <c r="E315">
        <v>142000.94199999998</v>
      </c>
      <c r="F315">
        <v>6</v>
      </c>
      <c r="G315" t="s">
        <v>1107</v>
      </c>
      <c r="H315" t="s">
        <v>18</v>
      </c>
    </row>
    <row r="316" spans="1:8" x14ac:dyDescent="0.2">
      <c r="A316" t="s">
        <v>481</v>
      </c>
      <c r="B316" t="s">
        <v>1386</v>
      </c>
      <c r="C316" t="s">
        <v>1092</v>
      </c>
      <c r="D316" t="s">
        <v>1064</v>
      </c>
      <c r="E316">
        <v>373268.39199999999</v>
      </c>
      <c r="F316">
        <v>17</v>
      </c>
      <c r="G316" t="s">
        <v>1107</v>
      </c>
      <c r="H316" t="s">
        <v>18</v>
      </c>
    </row>
    <row r="317" spans="1:8" x14ac:dyDescent="0.2">
      <c r="A317" t="s">
        <v>481</v>
      </c>
      <c r="B317" t="s">
        <v>1387</v>
      </c>
      <c r="C317" t="s">
        <v>1092</v>
      </c>
      <c r="D317" t="s">
        <v>1064</v>
      </c>
      <c r="E317">
        <v>233383.02500000002</v>
      </c>
      <c r="F317">
        <v>118</v>
      </c>
      <c r="G317" t="s">
        <v>1107</v>
      </c>
      <c r="H317" t="s">
        <v>18</v>
      </c>
    </row>
    <row r="318" spans="1:8" x14ac:dyDescent="0.2">
      <c r="A318" t="s">
        <v>481</v>
      </c>
      <c r="B318" t="s">
        <v>1388</v>
      </c>
      <c r="C318" t="s">
        <v>1092</v>
      </c>
      <c r="D318" t="s">
        <v>1064</v>
      </c>
      <c r="E318">
        <v>121070.73299999999</v>
      </c>
      <c r="F318">
        <v>6</v>
      </c>
      <c r="G318" t="s">
        <v>1107</v>
      </c>
      <c r="H318" t="s">
        <v>18</v>
      </c>
    </row>
    <row r="319" spans="1:8" x14ac:dyDescent="0.2">
      <c r="A319" t="s">
        <v>481</v>
      </c>
      <c r="B319" t="s">
        <v>1389</v>
      </c>
      <c r="C319" t="s">
        <v>1092</v>
      </c>
      <c r="D319" t="s">
        <v>1064</v>
      </c>
      <c r="E319">
        <v>69814.166999999987</v>
      </c>
      <c r="F319">
        <v>8</v>
      </c>
      <c r="G319" t="s">
        <v>1107</v>
      </c>
      <c r="H319" t="s">
        <v>18</v>
      </c>
    </row>
    <row r="320" spans="1:8" x14ac:dyDescent="0.2">
      <c r="A320" t="s">
        <v>481</v>
      </c>
      <c r="B320" t="s">
        <v>1390</v>
      </c>
      <c r="C320" t="s">
        <v>1092</v>
      </c>
      <c r="D320" t="s">
        <v>1064</v>
      </c>
      <c r="E320">
        <v>4913.3119999999999</v>
      </c>
      <c r="F320">
        <v>0</v>
      </c>
      <c r="G320" t="s">
        <v>1107</v>
      </c>
      <c r="H320" t="s">
        <v>18</v>
      </c>
    </row>
    <row r="321" spans="1:8" x14ac:dyDescent="0.2">
      <c r="A321" t="s">
        <v>481</v>
      </c>
      <c r="B321" t="s">
        <v>1868</v>
      </c>
      <c r="C321" t="s">
        <v>1092</v>
      </c>
      <c r="D321" t="s">
        <v>1064</v>
      </c>
      <c r="E321">
        <v>508690.36</v>
      </c>
      <c r="F321">
        <v>7</v>
      </c>
      <c r="G321" t="s">
        <v>1107</v>
      </c>
      <c r="H321" t="s">
        <v>18</v>
      </c>
    </row>
    <row r="322" spans="1:8" x14ac:dyDescent="0.2">
      <c r="A322" t="s">
        <v>481</v>
      </c>
      <c r="B322" t="s">
        <v>1392</v>
      </c>
      <c r="C322" t="s">
        <v>1092</v>
      </c>
      <c r="D322" t="s">
        <v>1064</v>
      </c>
      <c r="E322">
        <v>650609.03600000008</v>
      </c>
      <c r="F322">
        <v>74</v>
      </c>
      <c r="G322" t="s">
        <v>1107</v>
      </c>
      <c r="H322" t="s">
        <v>18</v>
      </c>
    </row>
    <row r="323" spans="1:8" x14ac:dyDescent="0.2">
      <c r="A323" t="s">
        <v>481</v>
      </c>
      <c r="B323" t="s">
        <v>1393</v>
      </c>
      <c r="C323" t="s">
        <v>1092</v>
      </c>
      <c r="D323" t="s">
        <v>1064</v>
      </c>
      <c r="E323">
        <v>106549.99099999999</v>
      </c>
      <c r="F323">
        <v>7</v>
      </c>
      <c r="G323" t="s">
        <v>1107</v>
      </c>
      <c r="H323" t="s">
        <v>18</v>
      </c>
    </row>
    <row r="324" spans="1:8" x14ac:dyDescent="0.2">
      <c r="A324" t="s">
        <v>481</v>
      </c>
      <c r="B324" t="s">
        <v>1394</v>
      </c>
      <c r="C324" t="s">
        <v>1092</v>
      </c>
      <c r="D324" t="s">
        <v>1064</v>
      </c>
      <c r="E324">
        <v>496664.72499999998</v>
      </c>
      <c r="F324">
        <v>1143</v>
      </c>
      <c r="G324" t="s">
        <v>1107</v>
      </c>
      <c r="H324" t="s">
        <v>18</v>
      </c>
    </row>
    <row r="325" spans="1:8" x14ac:dyDescent="0.2">
      <c r="A325" t="s">
        <v>481</v>
      </c>
      <c r="B325" t="s">
        <v>1395</v>
      </c>
      <c r="C325" t="s">
        <v>1092</v>
      </c>
      <c r="D325" t="s">
        <v>1064</v>
      </c>
      <c r="E325">
        <v>0</v>
      </c>
      <c r="F325">
        <v>0</v>
      </c>
      <c r="G325" t="s">
        <v>1107</v>
      </c>
      <c r="H325" t="s">
        <v>18</v>
      </c>
    </row>
    <row r="326" spans="1:8" x14ac:dyDescent="0.2">
      <c r="A326" t="s">
        <v>481</v>
      </c>
      <c r="B326" t="s">
        <v>1396</v>
      </c>
      <c r="C326" t="s">
        <v>1092</v>
      </c>
      <c r="D326" t="s">
        <v>1064</v>
      </c>
      <c r="E326">
        <v>241891.05600000001</v>
      </c>
      <c r="F326">
        <v>0</v>
      </c>
      <c r="G326" t="s">
        <v>1107</v>
      </c>
      <c r="H326" t="s">
        <v>18</v>
      </c>
    </row>
    <row r="327" spans="1:8" x14ac:dyDescent="0.2">
      <c r="A327" t="s">
        <v>481</v>
      </c>
      <c r="B327" t="s">
        <v>1869</v>
      </c>
      <c r="C327" t="s">
        <v>1092</v>
      </c>
      <c r="D327" t="s">
        <v>1064</v>
      </c>
      <c r="E327">
        <v>185640.019</v>
      </c>
      <c r="F327">
        <v>26</v>
      </c>
      <c r="G327" t="s">
        <v>1107</v>
      </c>
      <c r="H327" t="s">
        <v>18</v>
      </c>
    </row>
    <row r="328" spans="1:8" x14ac:dyDescent="0.2">
      <c r="A328" t="s">
        <v>481</v>
      </c>
      <c r="B328" t="s">
        <v>1398</v>
      </c>
      <c r="C328" t="s">
        <v>1092</v>
      </c>
      <c r="D328" t="s">
        <v>1064</v>
      </c>
      <c r="E328">
        <v>405846.24800000002</v>
      </c>
      <c r="F328">
        <v>40</v>
      </c>
      <c r="G328" t="s">
        <v>1107</v>
      </c>
      <c r="H328" t="s">
        <v>18</v>
      </c>
    </row>
    <row r="329" spans="1:8" x14ac:dyDescent="0.2">
      <c r="A329" t="s">
        <v>481</v>
      </c>
      <c r="B329" t="s">
        <v>1399</v>
      </c>
      <c r="C329" t="s">
        <v>1092</v>
      </c>
      <c r="D329" t="s">
        <v>1064</v>
      </c>
      <c r="E329">
        <v>205038.02</v>
      </c>
      <c r="F329">
        <v>0</v>
      </c>
      <c r="G329" t="s">
        <v>1107</v>
      </c>
      <c r="H329" t="s">
        <v>18</v>
      </c>
    </row>
    <row r="330" spans="1:8" x14ac:dyDescent="0.2">
      <c r="A330" t="s">
        <v>481</v>
      </c>
      <c r="B330" t="s">
        <v>1400</v>
      </c>
      <c r="C330" t="s">
        <v>1092</v>
      </c>
      <c r="D330" t="s">
        <v>1064</v>
      </c>
      <c r="E330">
        <v>83661.032999999996</v>
      </c>
      <c r="F330">
        <v>6</v>
      </c>
      <c r="G330" t="s">
        <v>1107</v>
      </c>
      <c r="H330" t="s">
        <v>18</v>
      </c>
    </row>
    <row r="331" spans="1:8" x14ac:dyDescent="0.2">
      <c r="A331" t="s">
        <v>481</v>
      </c>
      <c r="B331" t="s">
        <v>1401</v>
      </c>
      <c r="C331" t="s">
        <v>1092</v>
      </c>
      <c r="D331" t="s">
        <v>1064</v>
      </c>
      <c r="E331">
        <v>5916.9400000000005</v>
      </c>
      <c r="F331">
        <v>2053</v>
      </c>
      <c r="G331" t="s">
        <v>1093</v>
      </c>
      <c r="H331" t="s">
        <v>18</v>
      </c>
    </row>
    <row r="332" spans="1:8" x14ac:dyDescent="0.2">
      <c r="A332" t="s">
        <v>481</v>
      </c>
      <c r="B332" t="s">
        <v>1402</v>
      </c>
      <c r="C332" t="s">
        <v>1092</v>
      </c>
      <c r="D332" t="s">
        <v>1064</v>
      </c>
      <c r="E332">
        <v>15197.558999999999</v>
      </c>
      <c r="F332">
        <v>7802</v>
      </c>
      <c r="G332" t="s">
        <v>1093</v>
      </c>
      <c r="H332" t="s">
        <v>18</v>
      </c>
    </row>
    <row r="333" spans="1:8" x14ac:dyDescent="0.2">
      <c r="A333" t="s">
        <v>481</v>
      </c>
      <c r="B333" t="s">
        <v>1403</v>
      </c>
      <c r="C333" t="s">
        <v>1092</v>
      </c>
      <c r="D333" t="s">
        <v>1064</v>
      </c>
      <c r="E333">
        <v>302062.13200000004</v>
      </c>
      <c r="F333">
        <v>133215</v>
      </c>
      <c r="G333" t="s">
        <v>1109</v>
      </c>
      <c r="H333" t="s">
        <v>18</v>
      </c>
    </row>
    <row r="334" spans="1:8" x14ac:dyDescent="0.2">
      <c r="A334" t="s">
        <v>481</v>
      </c>
      <c r="B334" t="s">
        <v>1099</v>
      </c>
      <c r="C334" t="s">
        <v>1100</v>
      </c>
      <c r="D334" t="s">
        <v>35</v>
      </c>
      <c r="E334">
        <v>6772969.2709999988</v>
      </c>
      <c r="F334">
        <v>144764</v>
      </c>
      <c r="G334" t="s">
        <v>35</v>
      </c>
      <c r="H334" t="s">
        <v>18</v>
      </c>
    </row>
    <row r="335" spans="1:8" x14ac:dyDescent="0.2">
      <c r="A335" t="s">
        <v>874</v>
      </c>
      <c r="B335" t="s">
        <v>1404</v>
      </c>
      <c r="C335" t="s">
        <v>1092</v>
      </c>
      <c r="D335" t="s">
        <v>1126</v>
      </c>
      <c r="E335">
        <v>266527.60399999999</v>
      </c>
      <c r="F335">
        <v>47</v>
      </c>
      <c r="G335" t="s">
        <v>1093</v>
      </c>
      <c r="H335" t="s">
        <v>18</v>
      </c>
    </row>
    <row r="336" spans="1:8" x14ac:dyDescent="0.2">
      <c r="A336" t="s">
        <v>874</v>
      </c>
      <c r="B336" t="s">
        <v>1405</v>
      </c>
      <c r="C336" t="s">
        <v>1092</v>
      </c>
      <c r="D336" t="s">
        <v>1058</v>
      </c>
      <c r="E336">
        <v>403278.68180000002</v>
      </c>
      <c r="F336">
        <v>91</v>
      </c>
      <c r="G336" t="s">
        <v>1103</v>
      </c>
      <c r="H336" t="s">
        <v>18</v>
      </c>
    </row>
    <row r="337" spans="1:8" x14ac:dyDescent="0.2">
      <c r="A337" t="s">
        <v>874</v>
      </c>
      <c r="B337" t="s">
        <v>1406</v>
      </c>
      <c r="C337" t="s">
        <v>1092</v>
      </c>
      <c r="D337" t="s">
        <v>1058</v>
      </c>
      <c r="E337">
        <v>274278.55200000003</v>
      </c>
      <c r="F337">
        <v>46</v>
      </c>
      <c r="G337" t="s">
        <v>1093</v>
      </c>
      <c r="H337" t="s">
        <v>18</v>
      </c>
    </row>
    <row r="338" spans="1:8" x14ac:dyDescent="0.2">
      <c r="A338" t="s">
        <v>874</v>
      </c>
      <c r="B338" t="s">
        <v>1407</v>
      </c>
      <c r="C338" t="s">
        <v>1092</v>
      </c>
      <c r="D338" t="s">
        <v>1052</v>
      </c>
      <c r="E338">
        <v>40593.668000000005</v>
      </c>
      <c r="F338">
        <v>22689</v>
      </c>
      <c r="G338" t="s">
        <v>1109</v>
      </c>
      <c r="H338" t="s">
        <v>18</v>
      </c>
    </row>
    <row r="339" spans="1:8" x14ac:dyDescent="0.2">
      <c r="A339" t="s">
        <v>874</v>
      </c>
      <c r="B339" t="s">
        <v>1408</v>
      </c>
      <c r="C339" t="s">
        <v>1092</v>
      </c>
      <c r="D339" t="s">
        <v>1058</v>
      </c>
      <c r="E339">
        <v>317925.07199999999</v>
      </c>
      <c r="F339">
        <v>106</v>
      </c>
      <c r="G339" t="s">
        <v>1093</v>
      </c>
      <c r="H339" t="s">
        <v>18</v>
      </c>
    </row>
    <row r="340" spans="1:8" x14ac:dyDescent="0.2">
      <c r="A340" t="s">
        <v>874</v>
      </c>
      <c r="B340" t="s">
        <v>1870</v>
      </c>
      <c r="C340" t="s">
        <v>1092</v>
      </c>
      <c r="D340" t="s">
        <v>1058</v>
      </c>
      <c r="E340">
        <v>373718.88900000002</v>
      </c>
      <c r="F340">
        <v>166</v>
      </c>
      <c r="G340" t="s">
        <v>1093</v>
      </c>
      <c r="H340" t="s">
        <v>18</v>
      </c>
    </row>
    <row r="341" spans="1:8" x14ac:dyDescent="0.2">
      <c r="A341" t="s">
        <v>874</v>
      </c>
      <c r="B341" t="s">
        <v>1409</v>
      </c>
      <c r="C341" t="s">
        <v>1092</v>
      </c>
      <c r="D341" t="s">
        <v>1052</v>
      </c>
      <c r="E341">
        <v>0</v>
      </c>
      <c r="F341">
        <v>5</v>
      </c>
      <c r="G341" t="s">
        <v>1191</v>
      </c>
      <c r="H341" t="s">
        <v>18</v>
      </c>
    </row>
    <row r="342" spans="1:8" x14ac:dyDescent="0.2">
      <c r="A342" t="s">
        <v>874</v>
      </c>
      <c r="B342" t="s">
        <v>1410</v>
      </c>
      <c r="C342" t="s">
        <v>1092</v>
      </c>
      <c r="D342" t="s">
        <v>1052</v>
      </c>
      <c r="E342">
        <v>491400.53859999997</v>
      </c>
      <c r="F342">
        <v>59</v>
      </c>
      <c r="G342" t="s">
        <v>1093</v>
      </c>
      <c r="H342" t="s">
        <v>18</v>
      </c>
    </row>
    <row r="343" spans="1:8" x14ac:dyDescent="0.2">
      <c r="A343" t="s">
        <v>874</v>
      </c>
      <c r="B343" t="s">
        <v>1871</v>
      </c>
      <c r="C343" t="s">
        <v>1092</v>
      </c>
      <c r="D343" t="s">
        <v>1052</v>
      </c>
      <c r="E343">
        <v>667365.02920000011</v>
      </c>
      <c r="F343">
        <v>195</v>
      </c>
      <c r="G343" t="s">
        <v>1093</v>
      </c>
      <c r="H343" t="s">
        <v>18</v>
      </c>
    </row>
    <row r="344" spans="1:8" x14ac:dyDescent="0.2">
      <c r="A344" t="s">
        <v>874</v>
      </c>
      <c r="B344" t="s">
        <v>1412</v>
      </c>
      <c r="C344" t="s">
        <v>1092</v>
      </c>
      <c r="D344" t="s">
        <v>1058</v>
      </c>
      <c r="E344">
        <v>56060.028899999998</v>
      </c>
      <c r="F344">
        <v>37532</v>
      </c>
      <c r="G344" t="s">
        <v>1109</v>
      </c>
      <c r="H344" t="s">
        <v>18</v>
      </c>
    </row>
    <row r="345" spans="1:8" x14ac:dyDescent="0.2">
      <c r="A345" t="s">
        <v>874</v>
      </c>
      <c r="B345" t="s">
        <v>1413</v>
      </c>
      <c r="C345" t="s">
        <v>1092</v>
      </c>
      <c r="D345" t="s">
        <v>1058</v>
      </c>
      <c r="E345">
        <v>127353.198</v>
      </c>
      <c r="F345">
        <v>29</v>
      </c>
      <c r="G345" t="s">
        <v>1093</v>
      </c>
      <c r="H345" t="s">
        <v>18</v>
      </c>
    </row>
    <row r="346" spans="1:8" x14ac:dyDescent="0.2">
      <c r="A346" t="s">
        <v>874</v>
      </c>
      <c r="B346" t="s">
        <v>1099</v>
      </c>
      <c r="C346" t="s">
        <v>1100</v>
      </c>
      <c r="D346" t="s">
        <v>35</v>
      </c>
      <c r="E346">
        <v>3018501.261500001</v>
      </c>
      <c r="F346">
        <v>60965</v>
      </c>
      <c r="G346" t="s">
        <v>35</v>
      </c>
      <c r="H346" t="s">
        <v>18</v>
      </c>
    </row>
    <row r="347" spans="1:8" x14ac:dyDescent="0.2">
      <c r="A347" t="s">
        <v>904</v>
      </c>
      <c r="B347" t="s">
        <v>1189</v>
      </c>
      <c r="C347" t="s">
        <v>1092</v>
      </c>
      <c r="D347" t="s">
        <v>1061</v>
      </c>
      <c r="E347">
        <v>4195086.0410000002</v>
      </c>
      <c r="F347">
        <v>3699076</v>
      </c>
      <c r="G347" t="s">
        <v>1111</v>
      </c>
      <c r="H347" t="s">
        <v>18</v>
      </c>
    </row>
    <row r="348" spans="1:8" x14ac:dyDescent="0.2">
      <c r="A348" t="s">
        <v>904</v>
      </c>
      <c r="B348" t="s">
        <v>1099</v>
      </c>
      <c r="C348" t="s">
        <v>1100</v>
      </c>
      <c r="D348" t="s">
        <v>35</v>
      </c>
      <c r="E348">
        <v>4195086.0410000002</v>
      </c>
      <c r="F348">
        <v>3699076</v>
      </c>
      <c r="G348" t="s">
        <v>35</v>
      </c>
      <c r="H348" t="s">
        <v>18</v>
      </c>
    </row>
    <row r="349" spans="1:8" x14ac:dyDescent="0.2">
      <c r="A349" t="s">
        <v>1414</v>
      </c>
      <c r="B349" t="s">
        <v>1415</v>
      </c>
      <c r="C349" t="s">
        <v>1092</v>
      </c>
      <c r="D349" t="s">
        <v>1061</v>
      </c>
      <c r="E349">
        <v>242529.53400000001</v>
      </c>
      <c r="F349">
        <v>45</v>
      </c>
      <c r="G349" t="s">
        <v>1103</v>
      </c>
      <c r="H349" t="s">
        <v>18</v>
      </c>
    </row>
    <row r="350" spans="1:8" x14ac:dyDescent="0.2">
      <c r="A350" t="s">
        <v>1414</v>
      </c>
      <c r="B350" t="s">
        <v>1099</v>
      </c>
      <c r="C350" t="s">
        <v>1100</v>
      </c>
      <c r="D350" t="s">
        <v>35</v>
      </c>
      <c r="E350">
        <v>242529.53400000001</v>
      </c>
      <c r="F350">
        <v>45</v>
      </c>
      <c r="G350" t="s">
        <v>35</v>
      </c>
      <c r="H350" t="s">
        <v>18</v>
      </c>
    </row>
    <row r="351" spans="1:8" x14ac:dyDescent="0.2">
      <c r="A351" t="s">
        <v>151</v>
      </c>
      <c r="B351" t="s">
        <v>1193</v>
      </c>
      <c r="C351" t="s">
        <v>1092</v>
      </c>
      <c r="D351" t="s">
        <v>1052</v>
      </c>
      <c r="E351">
        <v>92168</v>
      </c>
      <c r="F351">
        <v>18</v>
      </c>
      <c r="G351" t="s">
        <v>1093</v>
      </c>
      <c r="H351" t="s">
        <v>18</v>
      </c>
    </row>
    <row r="352" spans="1:8" x14ac:dyDescent="0.2">
      <c r="A352" t="s">
        <v>151</v>
      </c>
      <c r="B352" t="s">
        <v>1760</v>
      </c>
      <c r="C352" t="s">
        <v>1092</v>
      </c>
      <c r="D352" t="s">
        <v>1052</v>
      </c>
      <c r="E352">
        <v>20366.61</v>
      </c>
      <c r="F352">
        <v>17992</v>
      </c>
      <c r="G352" t="s">
        <v>1109</v>
      </c>
      <c r="H352" t="s">
        <v>18</v>
      </c>
    </row>
    <row r="353" spans="1:8" x14ac:dyDescent="0.2">
      <c r="A353" t="s">
        <v>151</v>
      </c>
      <c r="B353" t="s">
        <v>1872</v>
      </c>
      <c r="C353" t="s">
        <v>1092</v>
      </c>
      <c r="D353" t="s">
        <v>1096</v>
      </c>
      <c r="E353">
        <v>2.1760000000000002</v>
      </c>
      <c r="F353">
        <v>1008</v>
      </c>
      <c r="G353" t="s">
        <v>1103</v>
      </c>
      <c r="H353" t="s">
        <v>18</v>
      </c>
    </row>
    <row r="354" spans="1:8" x14ac:dyDescent="0.2">
      <c r="A354" t="s">
        <v>151</v>
      </c>
      <c r="B354" t="s">
        <v>1761</v>
      </c>
      <c r="C354" t="s">
        <v>1092</v>
      </c>
      <c r="D354" t="s">
        <v>1096</v>
      </c>
      <c r="E354">
        <v>37373</v>
      </c>
      <c r="F354">
        <v>30202</v>
      </c>
      <c r="G354" t="s">
        <v>1109</v>
      </c>
      <c r="H354" t="s">
        <v>18</v>
      </c>
    </row>
    <row r="355" spans="1:8" x14ac:dyDescent="0.2">
      <c r="A355" t="s">
        <v>151</v>
      </c>
      <c r="B355" t="s">
        <v>1538</v>
      </c>
      <c r="C355" t="s">
        <v>1092</v>
      </c>
      <c r="D355" t="s">
        <v>1052</v>
      </c>
      <c r="E355">
        <v>1069200</v>
      </c>
      <c r="F355">
        <v>467340</v>
      </c>
      <c r="G355" t="s">
        <v>1109</v>
      </c>
      <c r="H355" t="s">
        <v>18</v>
      </c>
    </row>
    <row r="356" spans="1:8" x14ac:dyDescent="0.2">
      <c r="A356" t="s">
        <v>151</v>
      </c>
      <c r="B356" t="s">
        <v>1762</v>
      </c>
      <c r="C356" t="s">
        <v>1092</v>
      </c>
      <c r="D356" t="s">
        <v>1052</v>
      </c>
      <c r="E356">
        <v>223.5</v>
      </c>
      <c r="F356">
        <v>469</v>
      </c>
      <c r="G356" t="s">
        <v>1236</v>
      </c>
      <c r="H356" t="s">
        <v>18</v>
      </c>
    </row>
    <row r="357" spans="1:8" x14ac:dyDescent="0.2">
      <c r="A357" t="s">
        <v>151</v>
      </c>
      <c r="B357" t="s">
        <v>1763</v>
      </c>
      <c r="C357" t="s">
        <v>1092</v>
      </c>
      <c r="D357" t="s">
        <v>1052</v>
      </c>
      <c r="E357">
        <v>162.30000000000001</v>
      </c>
      <c r="F357">
        <v>1885</v>
      </c>
      <c r="G357" t="s">
        <v>1236</v>
      </c>
      <c r="H357" t="s">
        <v>18</v>
      </c>
    </row>
    <row r="358" spans="1:8" x14ac:dyDescent="0.2">
      <c r="A358" t="s">
        <v>151</v>
      </c>
      <c r="B358" t="s">
        <v>1099</v>
      </c>
      <c r="C358" t="s">
        <v>1100</v>
      </c>
      <c r="D358" t="s">
        <v>35</v>
      </c>
      <c r="E358">
        <v>1219495.5859999999</v>
      </c>
      <c r="F358">
        <v>518914</v>
      </c>
      <c r="G358" t="s">
        <v>35</v>
      </c>
      <c r="H358" t="s">
        <v>18</v>
      </c>
    </row>
    <row r="359" spans="1:8" x14ac:dyDescent="0.2">
      <c r="A359" t="s">
        <v>1416</v>
      </c>
      <c r="B359" t="s">
        <v>1417</v>
      </c>
      <c r="C359" t="s">
        <v>1092</v>
      </c>
      <c r="D359" t="s">
        <v>1215</v>
      </c>
      <c r="E359">
        <v>195315.46900000001</v>
      </c>
      <c r="F359">
        <v>42</v>
      </c>
      <c r="G359" t="s">
        <v>1093</v>
      </c>
      <c r="H359" t="s">
        <v>18</v>
      </c>
    </row>
    <row r="360" spans="1:8" x14ac:dyDescent="0.2">
      <c r="A360" t="s">
        <v>1416</v>
      </c>
      <c r="B360" t="s">
        <v>1099</v>
      </c>
      <c r="C360" t="s">
        <v>1100</v>
      </c>
      <c r="D360" t="s">
        <v>35</v>
      </c>
      <c r="E360">
        <v>195315.46900000001</v>
      </c>
      <c r="F360">
        <v>42</v>
      </c>
      <c r="G360" t="s">
        <v>35</v>
      </c>
      <c r="H360" t="s">
        <v>18</v>
      </c>
    </row>
    <row r="361" spans="1:8" x14ac:dyDescent="0.2">
      <c r="A361" t="s">
        <v>1873</v>
      </c>
      <c r="B361" t="s">
        <v>1874</v>
      </c>
      <c r="C361" t="s">
        <v>1092</v>
      </c>
      <c r="D361" t="s">
        <v>1061</v>
      </c>
      <c r="E361">
        <v>34998</v>
      </c>
      <c r="F361">
        <v>0</v>
      </c>
      <c r="G361" t="s">
        <v>1103</v>
      </c>
      <c r="H361" t="s">
        <v>18</v>
      </c>
    </row>
    <row r="362" spans="1:8" x14ac:dyDescent="0.2">
      <c r="A362" t="s">
        <v>1873</v>
      </c>
      <c r="B362" t="s">
        <v>1099</v>
      </c>
      <c r="C362" t="s">
        <v>1100</v>
      </c>
      <c r="D362" t="s">
        <v>35</v>
      </c>
      <c r="E362">
        <v>34998</v>
      </c>
      <c r="F362">
        <v>0</v>
      </c>
      <c r="G362" t="s">
        <v>35</v>
      </c>
      <c r="H362" t="s">
        <v>18</v>
      </c>
    </row>
    <row r="363" spans="1:8" x14ac:dyDescent="0.2">
      <c r="A363" t="s">
        <v>1418</v>
      </c>
      <c r="B363" t="s">
        <v>1419</v>
      </c>
      <c r="C363" t="s">
        <v>1092</v>
      </c>
      <c r="D363" t="s">
        <v>1096</v>
      </c>
      <c r="E363">
        <v>137082</v>
      </c>
      <c r="F363">
        <v>0</v>
      </c>
      <c r="G363" t="s">
        <v>1103</v>
      </c>
      <c r="H363" t="s">
        <v>18</v>
      </c>
    </row>
    <row r="364" spans="1:8" x14ac:dyDescent="0.2">
      <c r="A364" t="s">
        <v>1418</v>
      </c>
      <c r="B364" t="s">
        <v>1099</v>
      </c>
      <c r="C364" t="s">
        <v>1100</v>
      </c>
      <c r="D364" t="s">
        <v>35</v>
      </c>
      <c r="E364">
        <v>137082</v>
      </c>
      <c r="F364">
        <v>0</v>
      </c>
      <c r="G364" t="s">
        <v>35</v>
      </c>
      <c r="H364" t="s">
        <v>18</v>
      </c>
    </row>
    <row r="365" spans="1:8" x14ac:dyDescent="0.2">
      <c r="A365" t="s">
        <v>1420</v>
      </c>
      <c r="B365" t="s">
        <v>1421</v>
      </c>
      <c r="C365" t="s">
        <v>1092</v>
      </c>
      <c r="D365" t="s">
        <v>1096</v>
      </c>
      <c r="E365">
        <v>495009</v>
      </c>
      <c r="F365">
        <v>102</v>
      </c>
      <c r="G365" t="s">
        <v>1093</v>
      </c>
      <c r="H365" t="s">
        <v>18</v>
      </c>
    </row>
    <row r="366" spans="1:8" x14ac:dyDescent="0.2">
      <c r="A366" t="s">
        <v>1420</v>
      </c>
      <c r="B366" t="s">
        <v>1099</v>
      </c>
      <c r="C366" t="s">
        <v>1100</v>
      </c>
      <c r="D366" t="s">
        <v>35</v>
      </c>
      <c r="E366">
        <v>495009</v>
      </c>
      <c r="F366">
        <v>102</v>
      </c>
      <c r="G366" t="s">
        <v>35</v>
      </c>
      <c r="H366" t="s">
        <v>18</v>
      </c>
    </row>
    <row r="367" spans="1:8" x14ac:dyDescent="0.2">
      <c r="A367" t="s">
        <v>1425</v>
      </c>
      <c r="B367" t="s">
        <v>1426</v>
      </c>
      <c r="C367" t="s">
        <v>1092</v>
      </c>
      <c r="D367" t="s">
        <v>1061</v>
      </c>
      <c r="E367">
        <v>8852.2759999999998</v>
      </c>
      <c r="F367">
        <v>862</v>
      </c>
      <c r="G367" t="s">
        <v>1238</v>
      </c>
      <c r="H367" t="s">
        <v>18</v>
      </c>
    </row>
    <row r="368" spans="1:8" x14ac:dyDescent="0.2">
      <c r="A368" t="s">
        <v>1425</v>
      </c>
      <c r="B368" t="s">
        <v>1427</v>
      </c>
      <c r="C368" t="s">
        <v>1092</v>
      </c>
      <c r="D368" t="s">
        <v>1061</v>
      </c>
      <c r="E368">
        <v>5820.3230000000003</v>
      </c>
      <c r="F368">
        <v>611</v>
      </c>
      <c r="G368" t="s">
        <v>1238</v>
      </c>
      <c r="H368" t="s">
        <v>18</v>
      </c>
    </row>
    <row r="369" spans="1:8" x14ac:dyDescent="0.2">
      <c r="A369" t="s">
        <v>1425</v>
      </c>
      <c r="B369" t="s">
        <v>1428</v>
      </c>
      <c r="C369" t="s">
        <v>1092</v>
      </c>
      <c r="D369" t="s">
        <v>1061</v>
      </c>
      <c r="E369">
        <v>15765.026</v>
      </c>
      <c r="F369">
        <v>1523</v>
      </c>
      <c r="G369" t="s">
        <v>1238</v>
      </c>
      <c r="H369" t="s">
        <v>18</v>
      </c>
    </row>
    <row r="370" spans="1:8" x14ac:dyDescent="0.2">
      <c r="A370" t="s">
        <v>1425</v>
      </c>
      <c r="B370" t="s">
        <v>1429</v>
      </c>
      <c r="C370" t="s">
        <v>1092</v>
      </c>
      <c r="D370" t="s">
        <v>1061</v>
      </c>
      <c r="E370">
        <v>14939.119999999999</v>
      </c>
      <c r="F370">
        <v>1118</v>
      </c>
      <c r="G370" t="s">
        <v>1238</v>
      </c>
      <c r="H370" t="s">
        <v>18</v>
      </c>
    </row>
    <row r="371" spans="1:8" x14ac:dyDescent="0.2">
      <c r="A371" t="s">
        <v>1425</v>
      </c>
      <c r="B371" t="s">
        <v>1430</v>
      </c>
      <c r="C371" t="s">
        <v>1092</v>
      </c>
      <c r="D371" t="s">
        <v>1061</v>
      </c>
      <c r="E371">
        <v>11761.295999999998</v>
      </c>
      <c r="F371">
        <v>1176</v>
      </c>
      <c r="G371" t="s">
        <v>1238</v>
      </c>
      <c r="H371" t="s">
        <v>18</v>
      </c>
    </row>
    <row r="372" spans="1:8" x14ac:dyDescent="0.2">
      <c r="A372" t="s">
        <v>1425</v>
      </c>
      <c r="B372" t="s">
        <v>1431</v>
      </c>
      <c r="C372" t="s">
        <v>1092</v>
      </c>
      <c r="D372" t="s">
        <v>1215</v>
      </c>
      <c r="E372">
        <v>41168.712</v>
      </c>
      <c r="F372">
        <v>4257</v>
      </c>
      <c r="G372" t="s">
        <v>1238</v>
      </c>
      <c r="H372" t="s">
        <v>18</v>
      </c>
    </row>
    <row r="373" spans="1:8" x14ac:dyDescent="0.2">
      <c r="A373" t="s">
        <v>1425</v>
      </c>
      <c r="B373" t="s">
        <v>1432</v>
      </c>
      <c r="C373" t="s">
        <v>1092</v>
      </c>
      <c r="D373" t="s">
        <v>1061</v>
      </c>
      <c r="E373">
        <v>4729.8119999999999</v>
      </c>
      <c r="F373">
        <v>408</v>
      </c>
      <c r="G373" t="s">
        <v>1238</v>
      </c>
      <c r="H373" t="s">
        <v>18</v>
      </c>
    </row>
    <row r="374" spans="1:8" x14ac:dyDescent="0.2">
      <c r="A374" t="s">
        <v>1425</v>
      </c>
      <c r="B374" t="s">
        <v>1099</v>
      </c>
      <c r="C374" t="s">
        <v>1100</v>
      </c>
      <c r="D374" t="s">
        <v>35</v>
      </c>
      <c r="E374">
        <v>103036.56499999999</v>
      </c>
      <c r="F374">
        <v>9955</v>
      </c>
      <c r="G374" t="s">
        <v>35</v>
      </c>
      <c r="H374" t="s">
        <v>18</v>
      </c>
    </row>
    <row r="375" spans="1:8" x14ac:dyDescent="0.2">
      <c r="A375" t="s">
        <v>1433</v>
      </c>
      <c r="B375" t="s">
        <v>1434</v>
      </c>
      <c r="C375" t="s">
        <v>1092</v>
      </c>
      <c r="D375" t="s">
        <v>1061</v>
      </c>
      <c r="E375">
        <v>172780.68900000001</v>
      </c>
      <c r="F375">
        <v>17</v>
      </c>
      <c r="G375" t="s">
        <v>1103</v>
      </c>
      <c r="H375" t="s">
        <v>18</v>
      </c>
    </row>
    <row r="376" spans="1:8" x14ac:dyDescent="0.2">
      <c r="A376" t="s">
        <v>1433</v>
      </c>
      <c r="B376" t="s">
        <v>1099</v>
      </c>
      <c r="C376" t="s">
        <v>1100</v>
      </c>
      <c r="D376" t="s">
        <v>35</v>
      </c>
      <c r="E376">
        <v>172780.68900000001</v>
      </c>
      <c r="F376">
        <v>17</v>
      </c>
      <c r="G376" t="s">
        <v>35</v>
      </c>
      <c r="H376" t="s">
        <v>18</v>
      </c>
    </row>
    <row r="377" spans="1:8" x14ac:dyDescent="0.2">
      <c r="A377" t="s">
        <v>1435</v>
      </c>
      <c r="B377" t="s">
        <v>1436</v>
      </c>
      <c r="C377" t="s">
        <v>1092</v>
      </c>
      <c r="D377" t="s">
        <v>1061</v>
      </c>
      <c r="E377">
        <v>178698.62700000001</v>
      </c>
      <c r="F377">
        <v>54</v>
      </c>
      <c r="G377" t="s">
        <v>1103</v>
      </c>
      <c r="H377" t="s">
        <v>18</v>
      </c>
    </row>
    <row r="378" spans="1:8" x14ac:dyDescent="0.2">
      <c r="A378" t="s">
        <v>1435</v>
      </c>
      <c r="B378" t="s">
        <v>1099</v>
      </c>
      <c r="C378" t="s">
        <v>1100</v>
      </c>
      <c r="D378" t="s">
        <v>35</v>
      </c>
      <c r="E378">
        <v>178698.62700000001</v>
      </c>
      <c r="F378">
        <v>54</v>
      </c>
      <c r="G378" t="s">
        <v>35</v>
      </c>
      <c r="H378" t="s">
        <v>18</v>
      </c>
    </row>
    <row r="379" spans="1:8" x14ac:dyDescent="0.2">
      <c r="A379" t="s">
        <v>1437</v>
      </c>
      <c r="B379" t="s">
        <v>1438</v>
      </c>
      <c r="C379" t="s">
        <v>1092</v>
      </c>
      <c r="D379" t="s">
        <v>1052</v>
      </c>
      <c r="E379">
        <v>569389.90595000004</v>
      </c>
      <c r="F379">
        <v>151</v>
      </c>
      <c r="G379" t="s">
        <v>1093</v>
      </c>
      <c r="H379" t="s">
        <v>18</v>
      </c>
    </row>
    <row r="380" spans="1:8" x14ac:dyDescent="0.2">
      <c r="A380" t="s">
        <v>1437</v>
      </c>
      <c r="B380" t="s">
        <v>1099</v>
      </c>
      <c r="C380" t="s">
        <v>1100</v>
      </c>
      <c r="D380" t="s">
        <v>35</v>
      </c>
      <c r="E380">
        <v>569389.90595000004</v>
      </c>
      <c r="F380">
        <v>151</v>
      </c>
      <c r="G380" t="s">
        <v>35</v>
      </c>
      <c r="H380" t="s">
        <v>18</v>
      </c>
    </row>
    <row r="381" spans="1:8" x14ac:dyDescent="0.2">
      <c r="A381" t="s">
        <v>543</v>
      </c>
      <c r="B381" t="s">
        <v>1439</v>
      </c>
      <c r="C381" t="s">
        <v>1092</v>
      </c>
      <c r="D381" t="s">
        <v>1058</v>
      </c>
      <c r="E381">
        <v>6376.9340000000002</v>
      </c>
      <c r="F381">
        <v>470</v>
      </c>
      <c r="G381" t="s">
        <v>1238</v>
      </c>
      <c r="H381" t="s">
        <v>18</v>
      </c>
    </row>
    <row r="382" spans="1:8" x14ac:dyDescent="0.2">
      <c r="A382" t="s">
        <v>543</v>
      </c>
      <c r="B382" t="s">
        <v>1440</v>
      </c>
      <c r="C382" t="s">
        <v>1092</v>
      </c>
      <c r="D382" t="s">
        <v>1058</v>
      </c>
      <c r="E382">
        <v>1028.3499999999999</v>
      </c>
      <c r="F382">
        <v>0</v>
      </c>
      <c r="G382" t="s">
        <v>1103</v>
      </c>
      <c r="H382" t="s">
        <v>18</v>
      </c>
    </row>
    <row r="383" spans="1:8" x14ac:dyDescent="0.2">
      <c r="A383" t="s">
        <v>543</v>
      </c>
      <c r="B383" t="s">
        <v>1441</v>
      </c>
      <c r="C383" t="s">
        <v>1092</v>
      </c>
      <c r="D383" t="s">
        <v>1058</v>
      </c>
      <c r="E383">
        <v>869.33799999999997</v>
      </c>
      <c r="F383">
        <v>71</v>
      </c>
      <c r="G383" t="s">
        <v>1238</v>
      </c>
      <c r="H383" t="s">
        <v>18</v>
      </c>
    </row>
    <row r="384" spans="1:8" x14ac:dyDescent="0.2">
      <c r="A384" t="s">
        <v>543</v>
      </c>
      <c r="B384" t="s">
        <v>1442</v>
      </c>
      <c r="C384" t="s">
        <v>1092</v>
      </c>
      <c r="D384" t="s">
        <v>1096</v>
      </c>
      <c r="E384">
        <v>10090.737000000001</v>
      </c>
      <c r="F384">
        <v>781</v>
      </c>
      <c r="G384" t="s">
        <v>1238</v>
      </c>
      <c r="H384" t="s">
        <v>18</v>
      </c>
    </row>
    <row r="385" spans="1:8" x14ac:dyDescent="0.2">
      <c r="A385" t="s">
        <v>543</v>
      </c>
      <c r="B385" t="s">
        <v>1443</v>
      </c>
      <c r="C385" t="s">
        <v>1092</v>
      </c>
      <c r="D385" t="s">
        <v>1096</v>
      </c>
      <c r="E385">
        <v>4124.4520000000002</v>
      </c>
      <c r="F385">
        <v>291</v>
      </c>
      <c r="G385" t="s">
        <v>1238</v>
      </c>
      <c r="H385" t="s">
        <v>18</v>
      </c>
    </row>
    <row r="386" spans="1:8" x14ac:dyDescent="0.2">
      <c r="A386" t="s">
        <v>543</v>
      </c>
      <c r="B386" t="s">
        <v>1444</v>
      </c>
      <c r="C386" t="s">
        <v>1092</v>
      </c>
      <c r="D386" t="s">
        <v>1061</v>
      </c>
      <c r="E386">
        <v>6347.5209999999997</v>
      </c>
      <c r="F386">
        <v>451</v>
      </c>
      <c r="G386" t="s">
        <v>1238</v>
      </c>
      <c r="H386" t="s">
        <v>18</v>
      </c>
    </row>
    <row r="387" spans="1:8" x14ac:dyDescent="0.2">
      <c r="A387" t="s">
        <v>543</v>
      </c>
      <c r="B387" t="s">
        <v>1445</v>
      </c>
      <c r="C387" t="s">
        <v>1092</v>
      </c>
      <c r="D387" t="s">
        <v>1064</v>
      </c>
      <c r="E387">
        <v>15159.003999999999</v>
      </c>
      <c r="F387">
        <v>1094</v>
      </c>
      <c r="G387" t="s">
        <v>1238</v>
      </c>
      <c r="H387" t="s">
        <v>18</v>
      </c>
    </row>
    <row r="388" spans="1:8" x14ac:dyDescent="0.2">
      <c r="A388" t="s">
        <v>543</v>
      </c>
      <c r="B388" t="s">
        <v>1446</v>
      </c>
      <c r="C388" t="s">
        <v>1092</v>
      </c>
      <c r="D388" t="s">
        <v>1223</v>
      </c>
      <c r="E388">
        <v>8197.4220000000005</v>
      </c>
      <c r="F388">
        <v>582</v>
      </c>
      <c r="G388" t="s">
        <v>1238</v>
      </c>
      <c r="H388" t="s">
        <v>18</v>
      </c>
    </row>
    <row r="389" spans="1:8" x14ac:dyDescent="0.2">
      <c r="A389" t="s">
        <v>543</v>
      </c>
      <c r="B389" t="s">
        <v>1447</v>
      </c>
      <c r="C389" t="s">
        <v>1092</v>
      </c>
      <c r="D389" t="s">
        <v>1096</v>
      </c>
      <c r="E389">
        <v>8974.0990000000002</v>
      </c>
      <c r="F389">
        <v>661</v>
      </c>
      <c r="G389" t="s">
        <v>1238</v>
      </c>
      <c r="H389" t="s">
        <v>18</v>
      </c>
    </row>
    <row r="390" spans="1:8" x14ac:dyDescent="0.2">
      <c r="A390" t="s">
        <v>543</v>
      </c>
      <c r="B390" t="s">
        <v>1448</v>
      </c>
      <c r="C390" t="s">
        <v>1092</v>
      </c>
      <c r="D390" t="s">
        <v>1058</v>
      </c>
      <c r="E390">
        <v>34389.521000000001</v>
      </c>
      <c r="F390">
        <v>2395</v>
      </c>
      <c r="G390" t="s">
        <v>1238</v>
      </c>
      <c r="H390" t="s">
        <v>18</v>
      </c>
    </row>
    <row r="391" spans="1:8" x14ac:dyDescent="0.2">
      <c r="A391" t="s">
        <v>543</v>
      </c>
      <c r="B391" t="s">
        <v>1449</v>
      </c>
      <c r="C391" t="s">
        <v>1092</v>
      </c>
      <c r="D391" t="s">
        <v>1064</v>
      </c>
      <c r="E391">
        <v>8344.1099999999988</v>
      </c>
      <c r="F391">
        <v>640</v>
      </c>
      <c r="G391" t="s">
        <v>1109</v>
      </c>
      <c r="H391" t="s">
        <v>18</v>
      </c>
    </row>
    <row r="392" spans="1:8" x14ac:dyDescent="0.2">
      <c r="A392" t="s">
        <v>543</v>
      </c>
      <c r="B392" t="s">
        <v>1450</v>
      </c>
      <c r="C392" t="s">
        <v>1092</v>
      </c>
      <c r="D392" t="s">
        <v>1096</v>
      </c>
      <c r="E392">
        <v>67958.361999999994</v>
      </c>
      <c r="F392">
        <v>5064</v>
      </c>
      <c r="G392" t="s">
        <v>1238</v>
      </c>
      <c r="H392" t="s">
        <v>18</v>
      </c>
    </row>
    <row r="393" spans="1:8" x14ac:dyDescent="0.2">
      <c r="A393" t="s">
        <v>543</v>
      </c>
      <c r="B393" t="s">
        <v>1451</v>
      </c>
      <c r="C393" t="s">
        <v>1092</v>
      </c>
      <c r="D393" t="s">
        <v>1126</v>
      </c>
      <c r="E393">
        <v>15670.901</v>
      </c>
      <c r="F393">
        <v>1184</v>
      </c>
      <c r="G393" t="s">
        <v>1238</v>
      </c>
      <c r="H393" t="s">
        <v>18</v>
      </c>
    </row>
    <row r="394" spans="1:8" x14ac:dyDescent="0.2">
      <c r="A394" t="s">
        <v>543</v>
      </c>
      <c r="B394" t="s">
        <v>1452</v>
      </c>
      <c r="C394" t="s">
        <v>1092</v>
      </c>
      <c r="D394" t="s">
        <v>1061</v>
      </c>
      <c r="E394">
        <v>2224.172</v>
      </c>
      <c r="F394">
        <v>174</v>
      </c>
      <c r="G394" t="s">
        <v>1238</v>
      </c>
      <c r="H394" t="s">
        <v>18</v>
      </c>
    </row>
    <row r="395" spans="1:8" x14ac:dyDescent="0.2">
      <c r="A395" t="s">
        <v>543</v>
      </c>
      <c r="B395" t="s">
        <v>1453</v>
      </c>
      <c r="C395" t="s">
        <v>1092</v>
      </c>
      <c r="D395" t="s">
        <v>1064</v>
      </c>
      <c r="E395">
        <v>5113.3900000000003</v>
      </c>
      <c r="F395">
        <v>371</v>
      </c>
      <c r="G395" t="s">
        <v>1238</v>
      </c>
      <c r="H395" t="s">
        <v>18</v>
      </c>
    </row>
    <row r="396" spans="1:8" x14ac:dyDescent="0.2">
      <c r="A396" t="s">
        <v>543</v>
      </c>
      <c r="B396" t="s">
        <v>1454</v>
      </c>
      <c r="C396" t="s">
        <v>1092</v>
      </c>
      <c r="D396" t="s">
        <v>1096</v>
      </c>
      <c r="E396">
        <v>3522.2240000000002</v>
      </c>
      <c r="F396">
        <v>277</v>
      </c>
      <c r="G396" t="s">
        <v>1238</v>
      </c>
      <c r="H396" t="s">
        <v>18</v>
      </c>
    </row>
    <row r="397" spans="1:8" x14ac:dyDescent="0.2">
      <c r="A397" t="s">
        <v>543</v>
      </c>
      <c r="B397" t="s">
        <v>1455</v>
      </c>
      <c r="C397" t="s">
        <v>1092</v>
      </c>
      <c r="D397" t="s">
        <v>1052</v>
      </c>
      <c r="E397">
        <v>6313.3559999999998</v>
      </c>
      <c r="F397">
        <v>473</v>
      </c>
      <c r="G397" t="s">
        <v>1238</v>
      </c>
      <c r="H397" t="s">
        <v>18</v>
      </c>
    </row>
    <row r="398" spans="1:8" x14ac:dyDescent="0.2">
      <c r="A398" t="s">
        <v>543</v>
      </c>
      <c r="B398" t="s">
        <v>1456</v>
      </c>
      <c r="C398" t="s">
        <v>1092</v>
      </c>
      <c r="D398" t="s">
        <v>1052</v>
      </c>
      <c r="E398">
        <v>820.69299999999998</v>
      </c>
      <c r="F398">
        <v>0</v>
      </c>
      <c r="G398" t="s">
        <v>1103</v>
      </c>
      <c r="H398" t="s">
        <v>18</v>
      </c>
    </row>
    <row r="399" spans="1:8" x14ac:dyDescent="0.2">
      <c r="A399" t="s">
        <v>543</v>
      </c>
      <c r="B399" t="s">
        <v>1457</v>
      </c>
      <c r="C399" t="s">
        <v>1092</v>
      </c>
      <c r="D399" t="s">
        <v>1058</v>
      </c>
      <c r="E399">
        <v>24620.884999999998</v>
      </c>
      <c r="F399">
        <v>1830</v>
      </c>
      <c r="G399" t="s">
        <v>1238</v>
      </c>
      <c r="H399" t="s">
        <v>18</v>
      </c>
    </row>
    <row r="400" spans="1:8" x14ac:dyDescent="0.2">
      <c r="A400" t="s">
        <v>543</v>
      </c>
      <c r="B400" t="s">
        <v>1458</v>
      </c>
      <c r="C400" t="s">
        <v>1092</v>
      </c>
      <c r="D400" t="s">
        <v>1058</v>
      </c>
      <c r="E400">
        <v>7752.9</v>
      </c>
      <c r="F400">
        <v>562</v>
      </c>
      <c r="G400" t="s">
        <v>1238</v>
      </c>
      <c r="H400" t="s">
        <v>18</v>
      </c>
    </row>
    <row r="401" spans="1:8" x14ac:dyDescent="0.2">
      <c r="A401" t="s">
        <v>543</v>
      </c>
      <c r="B401" t="s">
        <v>1459</v>
      </c>
      <c r="C401" t="s">
        <v>1092</v>
      </c>
      <c r="D401" t="s">
        <v>1061</v>
      </c>
      <c r="E401">
        <v>6760.5990000000002</v>
      </c>
      <c r="F401">
        <v>501</v>
      </c>
      <c r="G401" t="s">
        <v>1238</v>
      </c>
      <c r="H401" t="s">
        <v>18</v>
      </c>
    </row>
    <row r="402" spans="1:8" x14ac:dyDescent="0.2">
      <c r="A402" t="s">
        <v>543</v>
      </c>
      <c r="B402" t="s">
        <v>1460</v>
      </c>
      <c r="C402" t="s">
        <v>1092</v>
      </c>
      <c r="D402" t="s">
        <v>1064</v>
      </c>
      <c r="E402">
        <v>9216.4940000000006</v>
      </c>
      <c r="F402">
        <v>671</v>
      </c>
      <c r="G402" t="s">
        <v>1238</v>
      </c>
      <c r="H402" t="s">
        <v>18</v>
      </c>
    </row>
    <row r="403" spans="1:8" x14ac:dyDescent="0.2">
      <c r="A403" t="s">
        <v>543</v>
      </c>
      <c r="B403" t="s">
        <v>1461</v>
      </c>
      <c r="C403" t="s">
        <v>1092</v>
      </c>
      <c r="D403" t="s">
        <v>1061</v>
      </c>
      <c r="E403">
        <v>61185.371000000006</v>
      </c>
      <c r="F403">
        <v>4766</v>
      </c>
      <c r="G403" t="s">
        <v>1238</v>
      </c>
      <c r="H403" t="s">
        <v>18</v>
      </c>
    </row>
    <row r="404" spans="1:8" x14ac:dyDescent="0.2">
      <c r="A404" t="s">
        <v>543</v>
      </c>
      <c r="B404" t="s">
        <v>1462</v>
      </c>
      <c r="C404" t="s">
        <v>1092</v>
      </c>
      <c r="D404" t="s">
        <v>1126</v>
      </c>
      <c r="E404">
        <v>14820.386</v>
      </c>
      <c r="F404">
        <v>1115</v>
      </c>
      <c r="G404" t="s">
        <v>1238</v>
      </c>
      <c r="H404" t="s">
        <v>18</v>
      </c>
    </row>
    <row r="405" spans="1:8" x14ac:dyDescent="0.2">
      <c r="A405" t="s">
        <v>543</v>
      </c>
      <c r="B405" t="s">
        <v>1463</v>
      </c>
      <c r="C405" t="s">
        <v>1092</v>
      </c>
      <c r="D405" t="s">
        <v>1052</v>
      </c>
      <c r="E405">
        <v>15914.698999999999</v>
      </c>
      <c r="F405">
        <v>1167</v>
      </c>
      <c r="G405" t="s">
        <v>1238</v>
      </c>
      <c r="H405" t="s">
        <v>18</v>
      </c>
    </row>
    <row r="406" spans="1:8" x14ac:dyDescent="0.2">
      <c r="A406" t="s">
        <v>543</v>
      </c>
      <c r="B406" t="s">
        <v>1464</v>
      </c>
      <c r="C406" t="s">
        <v>1092</v>
      </c>
      <c r="D406" t="s">
        <v>1052</v>
      </c>
      <c r="E406">
        <v>503.38499999999999</v>
      </c>
      <c r="F406">
        <v>0</v>
      </c>
      <c r="G406" t="s">
        <v>1103</v>
      </c>
      <c r="H406" t="s">
        <v>18</v>
      </c>
    </row>
    <row r="407" spans="1:8" x14ac:dyDescent="0.2">
      <c r="A407" t="s">
        <v>543</v>
      </c>
      <c r="B407" t="s">
        <v>1465</v>
      </c>
      <c r="C407" t="s">
        <v>1092</v>
      </c>
      <c r="D407" t="s">
        <v>1096</v>
      </c>
      <c r="E407">
        <v>4994.0420000000004</v>
      </c>
      <c r="F407">
        <v>376</v>
      </c>
      <c r="G407" t="s">
        <v>1238</v>
      </c>
      <c r="H407" t="s">
        <v>18</v>
      </c>
    </row>
    <row r="408" spans="1:8" x14ac:dyDescent="0.2">
      <c r="A408" t="s">
        <v>543</v>
      </c>
      <c r="B408" t="s">
        <v>1466</v>
      </c>
      <c r="C408" t="s">
        <v>1092</v>
      </c>
      <c r="D408" t="s">
        <v>1126</v>
      </c>
      <c r="E408">
        <v>12865.641</v>
      </c>
      <c r="F408">
        <v>1011</v>
      </c>
      <c r="G408" t="s">
        <v>1238</v>
      </c>
      <c r="H408" t="s">
        <v>18</v>
      </c>
    </row>
    <row r="409" spans="1:8" x14ac:dyDescent="0.2">
      <c r="A409" t="s">
        <v>543</v>
      </c>
      <c r="B409" t="s">
        <v>1467</v>
      </c>
      <c r="C409" t="s">
        <v>1092</v>
      </c>
      <c r="D409" t="s">
        <v>1061</v>
      </c>
      <c r="E409">
        <v>25405.227999999999</v>
      </c>
      <c r="F409">
        <v>1999</v>
      </c>
      <c r="G409" t="s">
        <v>1238</v>
      </c>
      <c r="H409" t="s">
        <v>18</v>
      </c>
    </row>
    <row r="410" spans="1:8" x14ac:dyDescent="0.2">
      <c r="A410" t="s">
        <v>543</v>
      </c>
      <c r="B410" t="s">
        <v>1468</v>
      </c>
      <c r="C410" t="s">
        <v>1092</v>
      </c>
      <c r="D410" t="s">
        <v>1061</v>
      </c>
      <c r="E410">
        <v>25948.207000000002</v>
      </c>
      <c r="F410">
        <v>1918</v>
      </c>
      <c r="G410" t="s">
        <v>1238</v>
      </c>
      <c r="H410" t="s">
        <v>18</v>
      </c>
    </row>
    <row r="411" spans="1:8" x14ac:dyDescent="0.2">
      <c r="A411" t="s">
        <v>543</v>
      </c>
      <c r="B411" t="s">
        <v>1469</v>
      </c>
      <c r="C411" t="s">
        <v>1092</v>
      </c>
      <c r="D411" t="s">
        <v>1096</v>
      </c>
      <c r="E411">
        <v>67412.81</v>
      </c>
      <c r="F411">
        <v>5163</v>
      </c>
      <c r="G411" t="s">
        <v>1238</v>
      </c>
      <c r="H411" t="s">
        <v>18</v>
      </c>
    </row>
    <row r="412" spans="1:8" x14ac:dyDescent="0.2">
      <c r="A412" t="s">
        <v>543</v>
      </c>
      <c r="B412" t="s">
        <v>1470</v>
      </c>
      <c r="C412" t="s">
        <v>1092</v>
      </c>
      <c r="D412" t="s">
        <v>1058</v>
      </c>
      <c r="E412">
        <v>7408.5009999999993</v>
      </c>
      <c r="F412">
        <v>504</v>
      </c>
      <c r="G412" t="s">
        <v>1238</v>
      </c>
      <c r="H412" t="s">
        <v>18</v>
      </c>
    </row>
    <row r="413" spans="1:8" x14ac:dyDescent="0.2">
      <c r="A413" t="s">
        <v>543</v>
      </c>
      <c r="B413" t="s">
        <v>1471</v>
      </c>
      <c r="C413" t="s">
        <v>1092</v>
      </c>
      <c r="D413" t="s">
        <v>1096</v>
      </c>
      <c r="E413">
        <v>38039.159</v>
      </c>
      <c r="F413">
        <v>2789</v>
      </c>
      <c r="G413" t="s">
        <v>1238</v>
      </c>
      <c r="H413" t="s">
        <v>18</v>
      </c>
    </row>
    <row r="414" spans="1:8" x14ac:dyDescent="0.2">
      <c r="A414" t="s">
        <v>543</v>
      </c>
      <c r="B414" t="s">
        <v>1472</v>
      </c>
      <c r="C414" t="s">
        <v>1092</v>
      </c>
      <c r="D414" t="s">
        <v>1058</v>
      </c>
      <c r="E414">
        <v>16260.482</v>
      </c>
      <c r="F414">
        <v>1228</v>
      </c>
      <c r="G414" t="s">
        <v>1238</v>
      </c>
      <c r="H414" t="s">
        <v>18</v>
      </c>
    </row>
    <row r="415" spans="1:8" x14ac:dyDescent="0.2">
      <c r="A415" t="s">
        <v>543</v>
      </c>
      <c r="B415" t="s">
        <v>1099</v>
      </c>
      <c r="C415" t="s">
        <v>1100</v>
      </c>
      <c r="D415" t="s">
        <v>35</v>
      </c>
      <c r="E415">
        <v>544633.375</v>
      </c>
      <c r="F415">
        <v>40579</v>
      </c>
      <c r="G415" t="s">
        <v>35</v>
      </c>
      <c r="H415" t="s">
        <v>18</v>
      </c>
    </row>
    <row r="416" spans="1:8" x14ac:dyDescent="0.2">
      <c r="A416" t="s">
        <v>1875</v>
      </c>
      <c r="B416" t="s">
        <v>1876</v>
      </c>
      <c r="C416" t="s">
        <v>1092</v>
      </c>
      <c r="D416" t="s">
        <v>1058</v>
      </c>
      <c r="E416">
        <v>738589.19700000004</v>
      </c>
      <c r="F416">
        <v>190</v>
      </c>
      <c r="G416" t="s">
        <v>1103</v>
      </c>
      <c r="H416" t="s">
        <v>18</v>
      </c>
    </row>
    <row r="417" spans="1:8" x14ac:dyDescent="0.2">
      <c r="A417" t="s">
        <v>1875</v>
      </c>
      <c r="B417" t="s">
        <v>1877</v>
      </c>
      <c r="C417" t="s">
        <v>1092</v>
      </c>
      <c r="D417" t="s">
        <v>1096</v>
      </c>
      <c r="E417">
        <v>55834.109600000003</v>
      </c>
      <c r="F417">
        <v>42</v>
      </c>
      <c r="G417" t="s">
        <v>1103</v>
      </c>
      <c r="H417" t="s">
        <v>18</v>
      </c>
    </row>
    <row r="418" spans="1:8" x14ac:dyDescent="0.2">
      <c r="A418" t="s">
        <v>1875</v>
      </c>
      <c r="B418" t="s">
        <v>1099</v>
      </c>
      <c r="C418" t="s">
        <v>1100</v>
      </c>
      <c r="D418" t="s">
        <v>35</v>
      </c>
      <c r="E418">
        <v>794423.30660000001</v>
      </c>
      <c r="F418">
        <v>232</v>
      </c>
      <c r="G418" t="s">
        <v>35</v>
      </c>
      <c r="H418" t="s">
        <v>18</v>
      </c>
    </row>
    <row r="419" spans="1:8" x14ac:dyDescent="0.2">
      <c r="A419" t="s">
        <v>1473</v>
      </c>
      <c r="B419" t="s">
        <v>1474</v>
      </c>
      <c r="C419" t="s">
        <v>1092</v>
      </c>
      <c r="D419" t="s">
        <v>1058</v>
      </c>
      <c r="E419">
        <v>369008.95299999998</v>
      </c>
      <c r="F419">
        <v>30</v>
      </c>
      <c r="G419" t="s">
        <v>1103</v>
      </c>
      <c r="H419" t="s">
        <v>18</v>
      </c>
    </row>
    <row r="420" spans="1:8" x14ac:dyDescent="0.2">
      <c r="A420" t="s">
        <v>1473</v>
      </c>
      <c r="B420" t="s">
        <v>1099</v>
      </c>
      <c r="C420" t="s">
        <v>1100</v>
      </c>
      <c r="D420" t="s">
        <v>35</v>
      </c>
      <c r="E420">
        <v>369008.95299999998</v>
      </c>
      <c r="F420">
        <v>30</v>
      </c>
      <c r="G420" t="s">
        <v>35</v>
      </c>
      <c r="H420" t="s">
        <v>18</v>
      </c>
    </row>
    <row r="421" spans="1:8" x14ac:dyDescent="0.2">
      <c r="A421" t="s">
        <v>1475</v>
      </c>
      <c r="B421" t="s">
        <v>1476</v>
      </c>
      <c r="C421" t="s">
        <v>1092</v>
      </c>
      <c r="D421" t="s">
        <v>1058</v>
      </c>
      <c r="E421">
        <v>66025.118600000002</v>
      </c>
      <c r="F421">
        <v>0</v>
      </c>
      <c r="G421" t="s">
        <v>1103</v>
      </c>
      <c r="H421" t="s">
        <v>18</v>
      </c>
    </row>
    <row r="422" spans="1:8" x14ac:dyDescent="0.2">
      <c r="A422" t="s">
        <v>1475</v>
      </c>
      <c r="B422" t="s">
        <v>1477</v>
      </c>
      <c r="C422" t="s">
        <v>1092</v>
      </c>
      <c r="D422" t="s">
        <v>1058</v>
      </c>
      <c r="E422">
        <v>48869.912600000003</v>
      </c>
      <c r="F422">
        <v>0</v>
      </c>
      <c r="G422" t="s">
        <v>1103</v>
      </c>
      <c r="H422" t="s">
        <v>18</v>
      </c>
    </row>
    <row r="423" spans="1:8" x14ac:dyDescent="0.2">
      <c r="A423" t="s">
        <v>1475</v>
      </c>
      <c r="B423" t="s">
        <v>1478</v>
      </c>
      <c r="C423" t="s">
        <v>1092</v>
      </c>
      <c r="D423" t="s">
        <v>1058</v>
      </c>
      <c r="E423">
        <v>77867.010699999999</v>
      </c>
      <c r="F423">
        <v>0</v>
      </c>
      <c r="G423" t="s">
        <v>1103</v>
      </c>
      <c r="H423" t="s">
        <v>18</v>
      </c>
    </row>
    <row r="424" spans="1:8" x14ac:dyDescent="0.2">
      <c r="A424" t="s">
        <v>1475</v>
      </c>
      <c r="B424" t="s">
        <v>1099</v>
      </c>
      <c r="C424" t="s">
        <v>1100</v>
      </c>
      <c r="D424" t="s">
        <v>35</v>
      </c>
      <c r="E424">
        <v>192762.04190000001</v>
      </c>
      <c r="F424">
        <v>0</v>
      </c>
      <c r="G424" t="s">
        <v>35</v>
      </c>
      <c r="H424" t="s">
        <v>18</v>
      </c>
    </row>
    <row r="425" spans="1:8" x14ac:dyDescent="0.2">
      <c r="A425" t="s">
        <v>1479</v>
      </c>
      <c r="B425" t="s">
        <v>1480</v>
      </c>
      <c r="C425" t="s">
        <v>1092</v>
      </c>
      <c r="D425" t="s">
        <v>1058</v>
      </c>
      <c r="E425">
        <v>218871.144</v>
      </c>
      <c r="F425">
        <v>41</v>
      </c>
      <c r="G425" t="s">
        <v>1103</v>
      </c>
      <c r="H425" t="s">
        <v>18</v>
      </c>
    </row>
    <row r="426" spans="1:8" x14ac:dyDescent="0.2">
      <c r="A426" t="s">
        <v>1479</v>
      </c>
      <c r="B426" t="s">
        <v>1099</v>
      </c>
      <c r="C426" t="s">
        <v>1100</v>
      </c>
      <c r="D426" t="s">
        <v>35</v>
      </c>
      <c r="E426">
        <v>218871.144</v>
      </c>
      <c r="F426">
        <v>41</v>
      </c>
      <c r="G426" t="s">
        <v>35</v>
      </c>
      <c r="H426" t="s">
        <v>18</v>
      </c>
    </row>
    <row r="427" spans="1:8" x14ac:dyDescent="0.2">
      <c r="A427" t="s">
        <v>1483</v>
      </c>
      <c r="B427" t="s">
        <v>1484</v>
      </c>
      <c r="C427" t="s">
        <v>1092</v>
      </c>
      <c r="D427" t="s">
        <v>1096</v>
      </c>
      <c r="E427">
        <v>443328.925208</v>
      </c>
      <c r="F427">
        <v>66</v>
      </c>
      <c r="G427" t="s">
        <v>1093</v>
      </c>
      <c r="H427" t="s">
        <v>18</v>
      </c>
    </row>
    <row r="428" spans="1:8" x14ac:dyDescent="0.2">
      <c r="A428" t="s">
        <v>1483</v>
      </c>
      <c r="B428" t="s">
        <v>1099</v>
      </c>
      <c r="C428" t="s">
        <v>1100</v>
      </c>
      <c r="D428" t="s">
        <v>35</v>
      </c>
      <c r="E428">
        <v>443328.925208</v>
      </c>
      <c r="F428">
        <v>66</v>
      </c>
      <c r="G428" t="s">
        <v>35</v>
      </c>
      <c r="H428" t="s">
        <v>18</v>
      </c>
    </row>
    <row r="429" spans="1:8" x14ac:dyDescent="0.2">
      <c r="A429" t="s">
        <v>1481</v>
      </c>
      <c r="B429" t="s">
        <v>1482</v>
      </c>
      <c r="C429" t="s">
        <v>1092</v>
      </c>
      <c r="D429" t="s">
        <v>1096</v>
      </c>
      <c r="E429">
        <v>409226.70019200002</v>
      </c>
      <c r="F429">
        <v>62</v>
      </c>
      <c r="G429" t="s">
        <v>1093</v>
      </c>
      <c r="H429" t="s">
        <v>18</v>
      </c>
    </row>
    <row r="430" spans="1:8" x14ac:dyDescent="0.2">
      <c r="A430" t="s">
        <v>1481</v>
      </c>
      <c r="B430" t="s">
        <v>1099</v>
      </c>
      <c r="C430" t="s">
        <v>1100</v>
      </c>
      <c r="D430" t="s">
        <v>35</v>
      </c>
      <c r="E430">
        <v>409226.70019200002</v>
      </c>
      <c r="F430">
        <v>62</v>
      </c>
      <c r="G430" t="s">
        <v>35</v>
      </c>
      <c r="H430" t="s">
        <v>18</v>
      </c>
    </row>
    <row r="431" spans="1:8" x14ac:dyDescent="0.2">
      <c r="A431" t="s">
        <v>1485</v>
      </c>
      <c r="B431" t="s">
        <v>1486</v>
      </c>
      <c r="C431" t="s">
        <v>1092</v>
      </c>
      <c r="D431" t="s">
        <v>1052</v>
      </c>
      <c r="E431">
        <v>120038.48856</v>
      </c>
      <c r="F431">
        <v>26</v>
      </c>
      <c r="G431" t="s">
        <v>1103</v>
      </c>
      <c r="H431" t="s">
        <v>18</v>
      </c>
    </row>
    <row r="432" spans="1:8" x14ac:dyDescent="0.2">
      <c r="A432" t="s">
        <v>1485</v>
      </c>
      <c r="B432" t="s">
        <v>1099</v>
      </c>
      <c r="C432" t="s">
        <v>1100</v>
      </c>
      <c r="D432" t="s">
        <v>35</v>
      </c>
      <c r="E432">
        <v>120038.48856</v>
      </c>
      <c r="F432">
        <v>26</v>
      </c>
      <c r="G432" t="s">
        <v>35</v>
      </c>
      <c r="H432" t="s">
        <v>18</v>
      </c>
    </row>
    <row r="433" spans="1:8" x14ac:dyDescent="0.2">
      <c r="A433" t="s">
        <v>1487</v>
      </c>
      <c r="B433" t="s">
        <v>1488</v>
      </c>
      <c r="C433" t="s">
        <v>1092</v>
      </c>
      <c r="D433" t="s">
        <v>1061</v>
      </c>
      <c r="E433">
        <v>210817.43299999999</v>
      </c>
      <c r="F433">
        <v>0</v>
      </c>
      <c r="G433" t="s">
        <v>1103</v>
      </c>
      <c r="H433" t="s">
        <v>18</v>
      </c>
    </row>
    <row r="434" spans="1:8" x14ac:dyDescent="0.2">
      <c r="A434" t="s">
        <v>1487</v>
      </c>
      <c r="B434" t="s">
        <v>1099</v>
      </c>
      <c r="C434" t="s">
        <v>1100</v>
      </c>
      <c r="D434" t="s">
        <v>35</v>
      </c>
      <c r="E434">
        <v>210817.43299999999</v>
      </c>
      <c r="F434">
        <v>0</v>
      </c>
      <c r="G434" t="s">
        <v>35</v>
      </c>
      <c r="H434" t="s">
        <v>18</v>
      </c>
    </row>
    <row r="435" spans="1:8" x14ac:dyDescent="0.2">
      <c r="A435" t="s">
        <v>1489</v>
      </c>
      <c r="B435" t="s">
        <v>1490</v>
      </c>
      <c r="C435" t="s">
        <v>1092</v>
      </c>
      <c r="D435" t="s">
        <v>1126</v>
      </c>
      <c r="E435">
        <v>168430.6</v>
      </c>
      <c r="F435">
        <v>50</v>
      </c>
      <c r="G435" t="s">
        <v>1093</v>
      </c>
      <c r="H435" t="s">
        <v>18</v>
      </c>
    </row>
    <row r="436" spans="1:8" x14ac:dyDescent="0.2">
      <c r="A436" t="s">
        <v>1489</v>
      </c>
      <c r="B436" t="s">
        <v>1099</v>
      </c>
      <c r="C436" t="s">
        <v>1100</v>
      </c>
      <c r="D436" t="s">
        <v>35</v>
      </c>
      <c r="E436">
        <v>168430.6</v>
      </c>
      <c r="F436">
        <v>50</v>
      </c>
      <c r="G436" t="s">
        <v>35</v>
      </c>
      <c r="H436" t="s">
        <v>18</v>
      </c>
    </row>
    <row r="437" spans="1:8" x14ac:dyDescent="0.2">
      <c r="A437" t="s">
        <v>1878</v>
      </c>
      <c r="B437" t="s">
        <v>1879</v>
      </c>
      <c r="C437" t="s">
        <v>1092</v>
      </c>
      <c r="D437" t="s">
        <v>1058</v>
      </c>
      <c r="E437">
        <v>0</v>
      </c>
      <c r="F437">
        <v>234</v>
      </c>
      <c r="G437" t="s">
        <v>1191</v>
      </c>
      <c r="H437" t="s">
        <v>18</v>
      </c>
    </row>
    <row r="438" spans="1:8" x14ac:dyDescent="0.2">
      <c r="A438" t="s">
        <v>1878</v>
      </c>
      <c r="B438" t="s">
        <v>1099</v>
      </c>
      <c r="C438" t="s">
        <v>1100</v>
      </c>
      <c r="D438" t="s">
        <v>35</v>
      </c>
      <c r="E438">
        <v>0</v>
      </c>
      <c r="F438">
        <v>234</v>
      </c>
      <c r="G438" t="s">
        <v>35</v>
      </c>
      <c r="H438" t="s">
        <v>18</v>
      </c>
    </row>
    <row r="439" spans="1:8" x14ac:dyDescent="0.2">
      <c r="A439" t="s">
        <v>1491</v>
      </c>
      <c r="B439" t="s">
        <v>1492</v>
      </c>
      <c r="C439" t="s">
        <v>1092</v>
      </c>
      <c r="D439" t="s">
        <v>1096</v>
      </c>
      <c r="E439">
        <v>541296.13900000008</v>
      </c>
      <c r="F439">
        <v>89</v>
      </c>
      <c r="G439" t="s">
        <v>1093</v>
      </c>
      <c r="H439" t="s">
        <v>18</v>
      </c>
    </row>
    <row r="440" spans="1:8" x14ac:dyDescent="0.2">
      <c r="A440" t="s">
        <v>1491</v>
      </c>
      <c r="B440" t="s">
        <v>1099</v>
      </c>
      <c r="C440" t="s">
        <v>1100</v>
      </c>
      <c r="D440" t="s">
        <v>35</v>
      </c>
      <c r="E440">
        <v>541296.13900000008</v>
      </c>
      <c r="F440">
        <v>89</v>
      </c>
      <c r="G440" t="s">
        <v>35</v>
      </c>
      <c r="H440" t="s">
        <v>18</v>
      </c>
    </row>
    <row r="441" spans="1:8" x14ac:dyDescent="0.2">
      <c r="A441" t="s">
        <v>971</v>
      </c>
      <c r="B441" t="s">
        <v>1880</v>
      </c>
      <c r="C441" t="s">
        <v>1092</v>
      </c>
      <c r="D441" t="s">
        <v>1052</v>
      </c>
      <c r="E441">
        <v>0</v>
      </c>
      <c r="F441">
        <v>1141</v>
      </c>
      <c r="G441" t="s">
        <v>1191</v>
      </c>
      <c r="H441" t="s">
        <v>18</v>
      </c>
    </row>
    <row r="442" spans="1:8" x14ac:dyDescent="0.2">
      <c r="A442" t="s">
        <v>971</v>
      </c>
      <c r="B442" t="s">
        <v>1493</v>
      </c>
      <c r="C442" t="s">
        <v>1092</v>
      </c>
      <c r="D442" t="s">
        <v>1096</v>
      </c>
      <c r="E442">
        <v>418977.97454999998</v>
      </c>
      <c r="F442">
        <v>76</v>
      </c>
      <c r="G442" t="s">
        <v>1093</v>
      </c>
      <c r="H442" t="s">
        <v>18</v>
      </c>
    </row>
    <row r="443" spans="1:8" x14ac:dyDescent="0.2">
      <c r="A443" t="s">
        <v>971</v>
      </c>
      <c r="B443" t="s">
        <v>1881</v>
      </c>
      <c r="C443" t="s">
        <v>1092</v>
      </c>
      <c r="D443" t="s">
        <v>1215</v>
      </c>
      <c r="E443">
        <v>0</v>
      </c>
      <c r="F443">
        <v>517</v>
      </c>
      <c r="G443" t="s">
        <v>1191</v>
      </c>
      <c r="H443" t="s">
        <v>18</v>
      </c>
    </row>
    <row r="444" spans="1:8" x14ac:dyDescent="0.2">
      <c r="A444" t="s">
        <v>971</v>
      </c>
      <c r="B444" t="s">
        <v>1494</v>
      </c>
      <c r="C444" t="s">
        <v>1092</v>
      </c>
      <c r="D444" t="s">
        <v>1058</v>
      </c>
      <c r="E444">
        <v>305256.25293000002</v>
      </c>
      <c r="F444">
        <v>41</v>
      </c>
      <c r="G444" t="s">
        <v>1103</v>
      </c>
      <c r="H444" t="s">
        <v>18</v>
      </c>
    </row>
    <row r="445" spans="1:8" x14ac:dyDescent="0.2">
      <c r="A445" t="s">
        <v>971</v>
      </c>
      <c r="B445" t="s">
        <v>1882</v>
      </c>
      <c r="C445" t="s">
        <v>1092</v>
      </c>
      <c r="D445" t="s">
        <v>1126</v>
      </c>
      <c r="E445">
        <v>0</v>
      </c>
      <c r="F445">
        <v>2011</v>
      </c>
      <c r="G445" t="s">
        <v>1191</v>
      </c>
      <c r="H445" t="s">
        <v>18</v>
      </c>
    </row>
    <row r="446" spans="1:8" x14ac:dyDescent="0.2">
      <c r="A446" t="s">
        <v>971</v>
      </c>
      <c r="B446" t="s">
        <v>1496</v>
      </c>
      <c r="C446" t="s">
        <v>1092</v>
      </c>
      <c r="D446" t="s">
        <v>1058</v>
      </c>
      <c r="E446">
        <v>56848.304670000005</v>
      </c>
      <c r="F446">
        <v>8</v>
      </c>
      <c r="G446" t="s">
        <v>1103</v>
      </c>
      <c r="H446" t="s">
        <v>18</v>
      </c>
    </row>
    <row r="447" spans="1:8" x14ac:dyDescent="0.2">
      <c r="A447" t="s">
        <v>971</v>
      </c>
      <c r="B447" t="s">
        <v>1497</v>
      </c>
      <c r="C447" t="s">
        <v>1092</v>
      </c>
      <c r="D447" t="s">
        <v>1058</v>
      </c>
      <c r="E447">
        <v>63583.586369999997</v>
      </c>
      <c r="F447">
        <v>4</v>
      </c>
      <c r="G447" t="s">
        <v>1103</v>
      </c>
      <c r="H447" t="s">
        <v>18</v>
      </c>
    </row>
    <row r="448" spans="1:8" x14ac:dyDescent="0.2">
      <c r="A448" t="s">
        <v>971</v>
      </c>
      <c r="B448" t="s">
        <v>1498</v>
      </c>
      <c r="C448" t="s">
        <v>1092</v>
      </c>
      <c r="D448" t="s">
        <v>1052</v>
      </c>
      <c r="E448">
        <v>0</v>
      </c>
      <c r="F448">
        <v>198</v>
      </c>
      <c r="G448" t="s">
        <v>1191</v>
      </c>
      <c r="H448" t="s">
        <v>18</v>
      </c>
    </row>
    <row r="449" spans="1:8" x14ac:dyDescent="0.2">
      <c r="A449" t="s">
        <v>971</v>
      </c>
      <c r="B449" t="s">
        <v>1883</v>
      </c>
      <c r="C449" t="s">
        <v>1092</v>
      </c>
      <c r="D449" t="s">
        <v>1052</v>
      </c>
      <c r="E449">
        <v>366304.571</v>
      </c>
      <c r="F449">
        <v>28</v>
      </c>
      <c r="G449" t="s">
        <v>1093</v>
      </c>
      <c r="H449" t="s">
        <v>18</v>
      </c>
    </row>
    <row r="450" spans="1:8" x14ac:dyDescent="0.2">
      <c r="A450" t="s">
        <v>971</v>
      </c>
      <c r="B450" t="s">
        <v>1884</v>
      </c>
      <c r="C450" t="s">
        <v>1092</v>
      </c>
      <c r="D450" t="s">
        <v>1052</v>
      </c>
      <c r="E450">
        <v>353845.864</v>
      </c>
      <c r="F450">
        <v>28</v>
      </c>
      <c r="G450" t="s">
        <v>1093</v>
      </c>
      <c r="H450" t="s">
        <v>18</v>
      </c>
    </row>
    <row r="451" spans="1:8" x14ac:dyDescent="0.2">
      <c r="A451" t="s">
        <v>971</v>
      </c>
      <c r="B451" t="s">
        <v>1501</v>
      </c>
      <c r="C451" t="s">
        <v>1092</v>
      </c>
      <c r="D451" t="s">
        <v>1052</v>
      </c>
      <c r="E451">
        <v>378486.22700000001</v>
      </c>
      <c r="F451">
        <v>29</v>
      </c>
      <c r="G451" t="s">
        <v>1093</v>
      </c>
      <c r="H451" t="s">
        <v>18</v>
      </c>
    </row>
    <row r="452" spans="1:8" x14ac:dyDescent="0.2">
      <c r="A452" t="s">
        <v>971</v>
      </c>
      <c r="B452" t="s">
        <v>1502</v>
      </c>
      <c r="C452" t="s">
        <v>1092</v>
      </c>
      <c r="D452" t="s">
        <v>1061</v>
      </c>
      <c r="E452">
        <v>361209.42224000004</v>
      </c>
      <c r="F452">
        <v>36</v>
      </c>
      <c r="G452" t="s">
        <v>1093</v>
      </c>
      <c r="H452" t="s">
        <v>18</v>
      </c>
    </row>
    <row r="453" spans="1:8" x14ac:dyDescent="0.2">
      <c r="A453" t="s">
        <v>971</v>
      </c>
      <c r="B453" t="s">
        <v>1503</v>
      </c>
      <c r="C453" t="s">
        <v>1092</v>
      </c>
      <c r="D453" t="s">
        <v>1058</v>
      </c>
      <c r="E453">
        <v>194403.82626999999</v>
      </c>
      <c r="F453">
        <v>47</v>
      </c>
      <c r="G453" t="s">
        <v>1103</v>
      </c>
      <c r="H453" t="s">
        <v>18</v>
      </c>
    </row>
    <row r="454" spans="1:8" x14ac:dyDescent="0.2">
      <c r="A454" t="s">
        <v>971</v>
      </c>
      <c r="B454" t="s">
        <v>1504</v>
      </c>
      <c r="C454" t="s">
        <v>1092</v>
      </c>
      <c r="D454" t="s">
        <v>1058</v>
      </c>
      <c r="E454">
        <v>83548.447220000002</v>
      </c>
      <c r="F454">
        <v>27</v>
      </c>
      <c r="G454" t="s">
        <v>1103</v>
      </c>
      <c r="H454" t="s">
        <v>18</v>
      </c>
    </row>
    <row r="455" spans="1:8" x14ac:dyDescent="0.2">
      <c r="A455" t="s">
        <v>971</v>
      </c>
      <c r="B455" t="s">
        <v>1505</v>
      </c>
      <c r="C455" t="s">
        <v>1092</v>
      </c>
      <c r="D455" t="s">
        <v>1096</v>
      </c>
      <c r="E455">
        <v>0</v>
      </c>
      <c r="F455">
        <v>575</v>
      </c>
      <c r="G455" t="s">
        <v>1191</v>
      </c>
      <c r="H455" t="s">
        <v>18</v>
      </c>
    </row>
    <row r="456" spans="1:8" x14ac:dyDescent="0.2">
      <c r="A456" t="s">
        <v>971</v>
      </c>
      <c r="B456" t="s">
        <v>1885</v>
      </c>
      <c r="C456" t="s">
        <v>1092</v>
      </c>
      <c r="D456" t="s">
        <v>1061</v>
      </c>
      <c r="E456">
        <v>0</v>
      </c>
      <c r="F456">
        <v>161</v>
      </c>
      <c r="G456" t="s">
        <v>1191</v>
      </c>
      <c r="H456" t="s">
        <v>18</v>
      </c>
    </row>
    <row r="457" spans="1:8" x14ac:dyDescent="0.2">
      <c r="A457" t="s">
        <v>971</v>
      </c>
      <c r="B457" t="s">
        <v>1506</v>
      </c>
      <c r="C457" t="s">
        <v>1092</v>
      </c>
      <c r="D457" t="s">
        <v>1061</v>
      </c>
      <c r="E457">
        <v>867628.33447</v>
      </c>
      <c r="F457">
        <v>253</v>
      </c>
      <c r="G457" t="s">
        <v>1103</v>
      </c>
      <c r="H457" t="s">
        <v>18</v>
      </c>
    </row>
    <row r="458" spans="1:8" x14ac:dyDescent="0.2">
      <c r="A458" t="s">
        <v>971</v>
      </c>
      <c r="B458" t="s">
        <v>1099</v>
      </c>
      <c r="C458" t="s">
        <v>1100</v>
      </c>
      <c r="D458" t="s">
        <v>35</v>
      </c>
      <c r="E458">
        <v>3450092.81072</v>
      </c>
      <c r="F458">
        <v>5180</v>
      </c>
      <c r="G458" t="s">
        <v>35</v>
      </c>
      <c r="H458" t="s">
        <v>18</v>
      </c>
    </row>
    <row r="459" spans="1:8" x14ac:dyDescent="0.2">
      <c r="A459" t="s">
        <v>171</v>
      </c>
      <c r="B459" t="s">
        <v>1507</v>
      </c>
      <c r="C459" t="s">
        <v>1092</v>
      </c>
      <c r="D459" t="s">
        <v>1126</v>
      </c>
      <c r="E459">
        <v>2002218.948476</v>
      </c>
      <c r="F459">
        <v>797700</v>
      </c>
      <c r="G459" t="s">
        <v>1109</v>
      </c>
      <c r="H459" t="s">
        <v>18</v>
      </c>
    </row>
    <row r="460" spans="1:8" x14ac:dyDescent="0.2">
      <c r="A460" t="s">
        <v>171</v>
      </c>
      <c r="B460" t="s">
        <v>1099</v>
      </c>
      <c r="C460" t="s">
        <v>1100</v>
      </c>
      <c r="D460" t="s">
        <v>35</v>
      </c>
      <c r="E460">
        <v>2002218.948476</v>
      </c>
      <c r="F460">
        <v>797700</v>
      </c>
      <c r="G460" t="s">
        <v>35</v>
      </c>
      <c r="H460" t="s">
        <v>18</v>
      </c>
    </row>
    <row r="461" spans="1:8" x14ac:dyDescent="0.2">
      <c r="A461" t="s">
        <v>59</v>
      </c>
      <c r="B461" t="s">
        <v>1508</v>
      </c>
      <c r="C461" t="s">
        <v>1092</v>
      </c>
      <c r="D461" t="s">
        <v>1061</v>
      </c>
      <c r="E461">
        <v>6373570.3470000001</v>
      </c>
      <c r="F461">
        <v>6366079</v>
      </c>
      <c r="G461" t="s">
        <v>1111</v>
      </c>
      <c r="H461" t="s">
        <v>18</v>
      </c>
    </row>
    <row r="462" spans="1:8" x14ac:dyDescent="0.2">
      <c r="A462" t="s">
        <v>59</v>
      </c>
      <c r="B462" t="s">
        <v>1099</v>
      </c>
      <c r="C462" t="s">
        <v>1100</v>
      </c>
      <c r="D462" t="s">
        <v>35</v>
      </c>
      <c r="E462">
        <v>6373570.3470000001</v>
      </c>
      <c r="F462">
        <v>6366079</v>
      </c>
      <c r="G462" t="s">
        <v>35</v>
      </c>
      <c r="H462" t="s">
        <v>18</v>
      </c>
    </row>
    <row r="463" spans="1:8" x14ac:dyDescent="0.2">
      <c r="A463" t="s">
        <v>1511</v>
      </c>
      <c r="B463" t="s">
        <v>1512</v>
      </c>
      <c r="C463" t="s">
        <v>1092</v>
      </c>
      <c r="D463" t="s">
        <v>1058</v>
      </c>
      <c r="E463">
        <v>625783</v>
      </c>
      <c r="F463">
        <v>119</v>
      </c>
      <c r="G463" t="s">
        <v>1093</v>
      </c>
      <c r="H463" t="s">
        <v>18</v>
      </c>
    </row>
    <row r="464" spans="1:8" x14ac:dyDescent="0.2">
      <c r="A464" t="s">
        <v>1511</v>
      </c>
      <c r="B464" t="s">
        <v>1099</v>
      </c>
      <c r="C464" t="s">
        <v>1100</v>
      </c>
      <c r="D464" t="s">
        <v>35</v>
      </c>
      <c r="E464">
        <v>625783</v>
      </c>
      <c r="F464">
        <v>119</v>
      </c>
      <c r="G464" t="s">
        <v>35</v>
      </c>
      <c r="H464" t="s">
        <v>18</v>
      </c>
    </row>
    <row r="465" spans="1:8" x14ac:dyDescent="0.2">
      <c r="A465" t="s">
        <v>40</v>
      </c>
      <c r="B465" t="s">
        <v>1513</v>
      </c>
      <c r="C465" t="s">
        <v>1092</v>
      </c>
      <c r="D465" t="s">
        <v>1096</v>
      </c>
      <c r="E465">
        <v>331.12177600000001</v>
      </c>
      <c r="F465">
        <v>0</v>
      </c>
      <c r="G465" t="s">
        <v>1103</v>
      </c>
      <c r="H465" t="s">
        <v>18</v>
      </c>
    </row>
    <row r="466" spans="1:8" x14ac:dyDescent="0.2">
      <c r="A466" t="s">
        <v>40</v>
      </c>
      <c r="B466" t="s">
        <v>1514</v>
      </c>
      <c r="C466" t="s">
        <v>1092</v>
      </c>
      <c r="D466" t="s">
        <v>1096</v>
      </c>
      <c r="E466">
        <v>419.29693799999995</v>
      </c>
      <c r="F466">
        <v>0</v>
      </c>
      <c r="G466" t="s">
        <v>1103</v>
      </c>
      <c r="H466" t="s">
        <v>18</v>
      </c>
    </row>
    <row r="467" spans="1:8" x14ac:dyDescent="0.2">
      <c r="A467" t="s">
        <v>40</v>
      </c>
      <c r="B467" t="s">
        <v>1515</v>
      </c>
      <c r="C467" t="s">
        <v>1092</v>
      </c>
      <c r="D467" t="s">
        <v>1061</v>
      </c>
      <c r="E467">
        <v>1753435.317846</v>
      </c>
      <c r="F467">
        <v>760003</v>
      </c>
      <c r="G467" t="s">
        <v>1109</v>
      </c>
      <c r="H467" t="s">
        <v>18</v>
      </c>
    </row>
    <row r="468" spans="1:8" x14ac:dyDescent="0.2">
      <c r="A468" t="s">
        <v>40</v>
      </c>
      <c r="B468" t="s">
        <v>1516</v>
      </c>
      <c r="C468" t="s">
        <v>1092</v>
      </c>
      <c r="D468" t="s">
        <v>1058</v>
      </c>
      <c r="E468">
        <v>15439045.806133</v>
      </c>
      <c r="F468">
        <v>13500225</v>
      </c>
      <c r="G468" t="s">
        <v>1111</v>
      </c>
      <c r="H468" t="s">
        <v>18</v>
      </c>
    </row>
    <row r="469" spans="1:8" x14ac:dyDescent="0.2">
      <c r="A469" t="s">
        <v>40</v>
      </c>
      <c r="B469" t="s">
        <v>1517</v>
      </c>
      <c r="C469" t="s">
        <v>1092</v>
      </c>
      <c r="D469" t="s">
        <v>1096</v>
      </c>
      <c r="E469">
        <v>0</v>
      </c>
      <c r="F469">
        <v>0</v>
      </c>
      <c r="G469" t="s">
        <v>1109</v>
      </c>
      <c r="H469" t="s">
        <v>18</v>
      </c>
    </row>
    <row r="470" spans="1:8" x14ac:dyDescent="0.2">
      <c r="A470" t="s">
        <v>40</v>
      </c>
      <c r="B470" t="s">
        <v>1518</v>
      </c>
      <c r="C470" t="s">
        <v>1092</v>
      </c>
      <c r="D470" t="s">
        <v>1052</v>
      </c>
      <c r="E470">
        <v>73626.532719999988</v>
      </c>
      <c r="F470">
        <v>37382</v>
      </c>
      <c r="G470" t="s">
        <v>1109</v>
      </c>
      <c r="H470" t="s">
        <v>18</v>
      </c>
    </row>
    <row r="471" spans="1:8" x14ac:dyDescent="0.2">
      <c r="A471" t="s">
        <v>40</v>
      </c>
      <c r="B471" t="s">
        <v>1519</v>
      </c>
      <c r="C471" t="s">
        <v>1092</v>
      </c>
      <c r="D471" t="s">
        <v>1096</v>
      </c>
      <c r="E471">
        <v>583713.61622100009</v>
      </c>
      <c r="F471">
        <v>326608</v>
      </c>
      <c r="G471" t="s">
        <v>1109</v>
      </c>
      <c r="H471" t="s">
        <v>18</v>
      </c>
    </row>
    <row r="472" spans="1:8" x14ac:dyDescent="0.2">
      <c r="A472" t="s">
        <v>40</v>
      </c>
      <c r="B472" t="s">
        <v>1520</v>
      </c>
      <c r="C472" t="s">
        <v>1092</v>
      </c>
      <c r="D472" t="s">
        <v>1061</v>
      </c>
      <c r="E472">
        <v>29543.826607999999</v>
      </c>
      <c r="F472">
        <v>28919</v>
      </c>
      <c r="G472" t="s">
        <v>1886</v>
      </c>
      <c r="H472" t="s">
        <v>18</v>
      </c>
    </row>
    <row r="473" spans="1:8" x14ac:dyDescent="0.2">
      <c r="A473" t="s">
        <v>40</v>
      </c>
      <c r="B473" t="s">
        <v>1521</v>
      </c>
      <c r="C473" t="s">
        <v>1092</v>
      </c>
      <c r="D473" t="s">
        <v>1058</v>
      </c>
      <c r="E473">
        <v>0</v>
      </c>
      <c r="F473">
        <v>662</v>
      </c>
      <c r="G473" t="s">
        <v>1191</v>
      </c>
      <c r="H473" t="s">
        <v>18</v>
      </c>
    </row>
    <row r="474" spans="1:8" x14ac:dyDescent="0.2">
      <c r="A474" t="s">
        <v>40</v>
      </c>
      <c r="B474" t="s">
        <v>1887</v>
      </c>
      <c r="C474" t="s">
        <v>1092</v>
      </c>
      <c r="D474" t="s">
        <v>1096</v>
      </c>
      <c r="E474">
        <v>0</v>
      </c>
      <c r="F474">
        <v>265</v>
      </c>
      <c r="G474" t="s">
        <v>1191</v>
      </c>
      <c r="H474" t="s">
        <v>18</v>
      </c>
    </row>
    <row r="475" spans="1:8" x14ac:dyDescent="0.2">
      <c r="A475" t="s">
        <v>40</v>
      </c>
      <c r="B475" t="s">
        <v>1522</v>
      </c>
      <c r="C475" t="s">
        <v>1092</v>
      </c>
      <c r="D475" t="s">
        <v>1052</v>
      </c>
      <c r="E475">
        <v>205040.06873499998</v>
      </c>
      <c r="F475">
        <v>132376</v>
      </c>
      <c r="G475" t="s">
        <v>1109</v>
      </c>
      <c r="H475" t="s">
        <v>18</v>
      </c>
    </row>
    <row r="476" spans="1:8" x14ac:dyDescent="0.2">
      <c r="A476" t="s">
        <v>40</v>
      </c>
      <c r="B476" t="s">
        <v>1523</v>
      </c>
      <c r="C476" t="s">
        <v>1092</v>
      </c>
      <c r="D476" t="s">
        <v>1061</v>
      </c>
      <c r="E476">
        <v>20336.232737000002</v>
      </c>
      <c r="F476">
        <v>14233</v>
      </c>
      <c r="G476" t="s">
        <v>1109</v>
      </c>
      <c r="H476" t="s">
        <v>18</v>
      </c>
    </row>
    <row r="477" spans="1:8" x14ac:dyDescent="0.2">
      <c r="A477" t="s">
        <v>40</v>
      </c>
      <c r="B477" t="s">
        <v>1524</v>
      </c>
      <c r="C477" t="s">
        <v>1092</v>
      </c>
      <c r="D477" t="s">
        <v>1058</v>
      </c>
      <c r="E477">
        <v>170829.015931</v>
      </c>
      <c r="F477">
        <v>3</v>
      </c>
      <c r="G477" t="s">
        <v>1107</v>
      </c>
      <c r="H477" t="s">
        <v>18</v>
      </c>
    </row>
    <row r="478" spans="1:8" x14ac:dyDescent="0.2">
      <c r="A478" t="s">
        <v>40</v>
      </c>
      <c r="B478" t="s">
        <v>1525</v>
      </c>
      <c r="C478" t="s">
        <v>1092</v>
      </c>
      <c r="D478" t="s">
        <v>1058</v>
      </c>
      <c r="E478">
        <v>451952.69217900001</v>
      </c>
      <c r="F478">
        <v>271243</v>
      </c>
      <c r="G478" t="s">
        <v>1109</v>
      </c>
      <c r="H478" t="s">
        <v>18</v>
      </c>
    </row>
    <row r="479" spans="1:8" x14ac:dyDescent="0.2">
      <c r="A479" t="s">
        <v>40</v>
      </c>
      <c r="B479" t="s">
        <v>1099</v>
      </c>
      <c r="C479" t="s">
        <v>1100</v>
      </c>
      <c r="D479" t="s">
        <v>35</v>
      </c>
      <c r="E479">
        <v>18728273.527823992</v>
      </c>
      <c r="F479">
        <v>15071919</v>
      </c>
      <c r="G479" t="s">
        <v>35</v>
      </c>
      <c r="H479" t="s">
        <v>18</v>
      </c>
    </row>
    <row r="480" spans="1:8" x14ac:dyDescent="0.2">
      <c r="A480" t="s">
        <v>1526</v>
      </c>
      <c r="B480" t="s">
        <v>1527</v>
      </c>
      <c r="C480" t="s">
        <v>1092</v>
      </c>
      <c r="D480" t="s">
        <v>1064</v>
      </c>
      <c r="E480">
        <v>369999.84646999999</v>
      </c>
      <c r="F480">
        <v>51</v>
      </c>
      <c r="G480" t="s">
        <v>1093</v>
      </c>
      <c r="H480" t="s">
        <v>18</v>
      </c>
    </row>
    <row r="481" spans="1:8" x14ac:dyDescent="0.2">
      <c r="A481" t="s">
        <v>1526</v>
      </c>
      <c r="B481" t="s">
        <v>1099</v>
      </c>
      <c r="C481" t="s">
        <v>1100</v>
      </c>
      <c r="D481" t="s">
        <v>35</v>
      </c>
      <c r="E481">
        <v>369999.84646999999</v>
      </c>
      <c r="F481">
        <v>51</v>
      </c>
      <c r="G481" t="s">
        <v>35</v>
      </c>
      <c r="H481" t="s">
        <v>18</v>
      </c>
    </row>
    <row r="482" spans="1:8" x14ac:dyDescent="0.2">
      <c r="A482" t="s">
        <v>1528</v>
      </c>
      <c r="B482" t="s">
        <v>1529</v>
      </c>
      <c r="C482" t="s">
        <v>1092</v>
      </c>
      <c r="D482" t="s">
        <v>1052</v>
      </c>
      <c r="E482">
        <v>374856.49</v>
      </c>
      <c r="F482">
        <v>160</v>
      </c>
      <c r="G482" t="s">
        <v>1093</v>
      </c>
      <c r="H482" t="s">
        <v>18</v>
      </c>
    </row>
    <row r="483" spans="1:8" x14ac:dyDescent="0.2">
      <c r="A483" t="s">
        <v>1528</v>
      </c>
      <c r="B483" t="s">
        <v>1099</v>
      </c>
      <c r="C483" t="s">
        <v>1100</v>
      </c>
      <c r="D483" t="s">
        <v>35</v>
      </c>
      <c r="E483">
        <v>374856.49</v>
      </c>
      <c r="F483">
        <v>160</v>
      </c>
      <c r="G483" t="s">
        <v>35</v>
      </c>
      <c r="H483" t="s">
        <v>18</v>
      </c>
    </row>
    <row r="484" spans="1:8" x14ac:dyDescent="0.2">
      <c r="A484" t="s">
        <v>1530</v>
      </c>
      <c r="B484" t="s">
        <v>1217</v>
      </c>
      <c r="C484" t="s">
        <v>1092</v>
      </c>
      <c r="D484" t="s">
        <v>1096</v>
      </c>
      <c r="E484">
        <v>980359.89709999994</v>
      </c>
      <c r="F484">
        <v>240</v>
      </c>
      <c r="G484" t="s">
        <v>1093</v>
      </c>
      <c r="H484" t="s">
        <v>18</v>
      </c>
    </row>
    <row r="485" spans="1:8" x14ac:dyDescent="0.2">
      <c r="A485" t="s">
        <v>1530</v>
      </c>
      <c r="B485" t="s">
        <v>1531</v>
      </c>
      <c r="C485" t="s">
        <v>1092</v>
      </c>
      <c r="D485" t="s">
        <v>1058</v>
      </c>
      <c r="E485">
        <v>1147264.2527999999</v>
      </c>
      <c r="F485">
        <v>179</v>
      </c>
      <c r="G485" t="s">
        <v>1093</v>
      </c>
      <c r="H485" t="s">
        <v>18</v>
      </c>
    </row>
    <row r="486" spans="1:8" x14ac:dyDescent="0.2">
      <c r="A486" t="s">
        <v>1530</v>
      </c>
      <c r="B486" t="s">
        <v>1695</v>
      </c>
      <c r="C486" t="s">
        <v>1092</v>
      </c>
      <c r="D486" t="s">
        <v>1096</v>
      </c>
      <c r="E486">
        <v>122036.38155999999</v>
      </c>
      <c r="F486">
        <v>68</v>
      </c>
      <c r="G486" t="s">
        <v>1093</v>
      </c>
      <c r="H486" t="s">
        <v>18</v>
      </c>
    </row>
    <row r="487" spans="1:8" x14ac:dyDescent="0.2">
      <c r="A487" t="s">
        <v>1530</v>
      </c>
      <c r="B487" t="s">
        <v>1715</v>
      </c>
      <c r="C487" t="s">
        <v>1092</v>
      </c>
      <c r="D487" t="s">
        <v>1052</v>
      </c>
      <c r="E487">
        <v>290763.46337999997</v>
      </c>
      <c r="F487">
        <v>122</v>
      </c>
      <c r="G487" t="s">
        <v>1093</v>
      </c>
      <c r="H487" t="s">
        <v>18</v>
      </c>
    </row>
    <row r="488" spans="1:8" x14ac:dyDescent="0.2">
      <c r="A488" t="s">
        <v>1530</v>
      </c>
      <c r="B488" t="s">
        <v>1099</v>
      </c>
      <c r="C488" t="s">
        <v>1100</v>
      </c>
      <c r="D488" t="s">
        <v>35</v>
      </c>
      <c r="E488">
        <v>2540423.9948399998</v>
      </c>
      <c r="F488">
        <v>609</v>
      </c>
      <c r="G488" t="s">
        <v>35</v>
      </c>
      <c r="H488" t="s">
        <v>18</v>
      </c>
    </row>
    <row r="489" spans="1:8" x14ac:dyDescent="0.2">
      <c r="A489" t="s">
        <v>1532</v>
      </c>
      <c r="B489" t="s">
        <v>1533</v>
      </c>
      <c r="C489" t="s">
        <v>1092</v>
      </c>
      <c r="D489" t="s">
        <v>1058</v>
      </c>
      <c r="E489">
        <v>72789.08</v>
      </c>
      <c r="F489">
        <v>4</v>
      </c>
      <c r="G489" t="s">
        <v>1107</v>
      </c>
      <c r="H489" t="s">
        <v>18</v>
      </c>
    </row>
    <row r="490" spans="1:8" x14ac:dyDescent="0.2">
      <c r="A490" t="s">
        <v>1532</v>
      </c>
      <c r="B490" t="s">
        <v>1534</v>
      </c>
      <c r="C490" t="s">
        <v>1092</v>
      </c>
      <c r="D490" t="s">
        <v>1058</v>
      </c>
      <c r="E490">
        <v>173809.22</v>
      </c>
      <c r="F490">
        <v>31</v>
      </c>
      <c r="G490" t="s">
        <v>1107</v>
      </c>
      <c r="H490" t="s">
        <v>18</v>
      </c>
    </row>
    <row r="491" spans="1:8" x14ac:dyDescent="0.2">
      <c r="A491" t="s">
        <v>1532</v>
      </c>
      <c r="B491" t="s">
        <v>1535</v>
      </c>
      <c r="C491" t="s">
        <v>1092</v>
      </c>
      <c r="D491" t="s">
        <v>1058</v>
      </c>
      <c r="E491">
        <v>9956.7800000000007</v>
      </c>
      <c r="F491">
        <v>10</v>
      </c>
      <c r="G491" t="s">
        <v>1107</v>
      </c>
      <c r="H491" t="s">
        <v>18</v>
      </c>
    </row>
    <row r="492" spans="1:8" x14ac:dyDescent="0.2">
      <c r="A492" t="s">
        <v>1532</v>
      </c>
      <c r="B492" t="s">
        <v>1536</v>
      </c>
      <c r="C492" t="s">
        <v>1092</v>
      </c>
      <c r="D492" t="s">
        <v>1096</v>
      </c>
      <c r="E492">
        <v>262856.19</v>
      </c>
      <c r="F492">
        <v>61</v>
      </c>
      <c r="G492" t="s">
        <v>1093</v>
      </c>
      <c r="H492" t="s">
        <v>18</v>
      </c>
    </row>
    <row r="493" spans="1:8" x14ac:dyDescent="0.2">
      <c r="A493" t="s">
        <v>1532</v>
      </c>
      <c r="B493" t="s">
        <v>1537</v>
      </c>
      <c r="C493" t="s">
        <v>1092</v>
      </c>
      <c r="D493" t="s">
        <v>1052</v>
      </c>
      <c r="E493">
        <v>141750.16</v>
      </c>
      <c r="F493">
        <v>38</v>
      </c>
      <c r="G493" t="s">
        <v>1093</v>
      </c>
      <c r="H493" t="s">
        <v>18</v>
      </c>
    </row>
    <row r="494" spans="1:8" x14ac:dyDescent="0.2">
      <c r="A494" t="s">
        <v>1532</v>
      </c>
      <c r="B494" t="s">
        <v>1099</v>
      </c>
      <c r="C494" t="s">
        <v>1100</v>
      </c>
      <c r="D494" t="s">
        <v>35</v>
      </c>
      <c r="E494">
        <v>661161.43000000005</v>
      </c>
      <c r="F494">
        <v>144</v>
      </c>
      <c r="G494" t="s">
        <v>35</v>
      </c>
      <c r="H494" t="s">
        <v>18</v>
      </c>
    </row>
    <row r="495" spans="1:8" x14ac:dyDescent="0.2">
      <c r="A495" t="s">
        <v>44</v>
      </c>
      <c r="B495" t="s">
        <v>1142</v>
      </c>
      <c r="C495" t="s">
        <v>1092</v>
      </c>
      <c r="D495" t="s">
        <v>1096</v>
      </c>
      <c r="E495">
        <v>28073.774872000002</v>
      </c>
      <c r="F495">
        <v>15006</v>
      </c>
      <c r="G495" t="s">
        <v>1109</v>
      </c>
      <c r="H495" t="s">
        <v>18</v>
      </c>
    </row>
    <row r="496" spans="1:8" x14ac:dyDescent="0.2">
      <c r="A496" t="s">
        <v>44</v>
      </c>
      <c r="B496" t="s">
        <v>1143</v>
      </c>
      <c r="C496" t="s">
        <v>1092</v>
      </c>
      <c r="D496" t="s">
        <v>1061</v>
      </c>
      <c r="E496">
        <v>283925.26120499999</v>
      </c>
      <c r="F496">
        <v>160884</v>
      </c>
      <c r="G496" t="s">
        <v>1144</v>
      </c>
      <c r="H496" t="s">
        <v>18</v>
      </c>
    </row>
    <row r="497" spans="1:8" x14ac:dyDescent="0.2">
      <c r="A497" t="s">
        <v>44</v>
      </c>
      <c r="B497" t="s">
        <v>1145</v>
      </c>
      <c r="C497" t="s">
        <v>1092</v>
      </c>
      <c r="D497" t="s">
        <v>1096</v>
      </c>
      <c r="E497">
        <v>8582163.3731530011</v>
      </c>
      <c r="F497">
        <v>9854846</v>
      </c>
      <c r="G497" t="s">
        <v>1128</v>
      </c>
      <c r="H497" t="s">
        <v>18</v>
      </c>
    </row>
    <row r="498" spans="1:8" x14ac:dyDescent="0.2">
      <c r="A498" t="s">
        <v>44</v>
      </c>
      <c r="B498" t="s">
        <v>1146</v>
      </c>
      <c r="C498" t="s">
        <v>1092</v>
      </c>
      <c r="D498" t="s">
        <v>1126</v>
      </c>
      <c r="E498">
        <v>718110.76194500003</v>
      </c>
      <c r="F498">
        <v>423929</v>
      </c>
      <c r="G498" t="s">
        <v>1109</v>
      </c>
      <c r="H498" t="s">
        <v>18</v>
      </c>
    </row>
    <row r="499" spans="1:8" x14ac:dyDescent="0.2">
      <c r="A499" t="s">
        <v>44</v>
      </c>
      <c r="B499" t="s">
        <v>1147</v>
      </c>
      <c r="C499" t="s">
        <v>1092</v>
      </c>
      <c r="D499" t="s">
        <v>1126</v>
      </c>
      <c r="E499">
        <v>814822.22166000004</v>
      </c>
      <c r="F499">
        <v>190</v>
      </c>
      <c r="G499" t="s">
        <v>1093</v>
      </c>
      <c r="H499" t="s">
        <v>18</v>
      </c>
    </row>
    <row r="500" spans="1:8" x14ac:dyDescent="0.2">
      <c r="A500" t="s">
        <v>44</v>
      </c>
      <c r="B500" t="s">
        <v>1099</v>
      </c>
      <c r="C500" t="s">
        <v>1100</v>
      </c>
      <c r="D500" t="s">
        <v>35</v>
      </c>
      <c r="E500">
        <v>10427095.392835001</v>
      </c>
      <c r="F500">
        <v>10454855</v>
      </c>
      <c r="G500" t="s">
        <v>35</v>
      </c>
      <c r="H500" t="s">
        <v>18</v>
      </c>
    </row>
    <row r="501" spans="1:8" x14ac:dyDescent="0.2">
      <c r="A501" t="s">
        <v>1543</v>
      </c>
      <c r="B501" t="s">
        <v>1544</v>
      </c>
      <c r="C501" t="s">
        <v>1092</v>
      </c>
      <c r="D501" t="s">
        <v>1052</v>
      </c>
      <c r="E501">
        <v>44171</v>
      </c>
      <c r="F501">
        <v>21396</v>
      </c>
      <c r="G501" t="s">
        <v>1236</v>
      </c>
      <c r="H501" t="s">
        <v>18</v>
      </c>
    </row>
    <row r="502" spans="1:8" x14ac:dyDescent="0.2">
      <c r="A502" t="s">
        <v>1543</v>
      </c>
      <c r="B502" t="s">
        <v>1099</v>
      </c>
      <c r="C502" t="s">
        <v>1100</v>
      </c>
      <c r="D502" t="s">
        <v>35</v>
      </c>
      <c r="E502">
        <v>44171</v>
      </c>
      <c r="F502">
        <v>21396</v>
      </c>
      <c r="G502" t="s">
        <v>35</v>
      </c>
      <c r="H502" t="s">
        <v>18</v>
      </c>
    </row>
    <row r="503" spans="1:8" x14ac:dyDescent="0.2">
      <c r="A503" t="s">
        <v>1277</v>
      </c>
      <c r="B503" t="s">
        <v>1278</v>
      </c>
      <c r="C503" t="s">
        <v>1092</v>
      </c>
      <c r="D503" t="s">
        <v>1052</v>
      </c>
      <c r="E503">
        <v>176634.79125000001</v>
      </c>
      <c r="F503">
        <v>6</v>
      </c>
      <c r="G503" t="s">
        <v>1103</v>
      </c>
      <c r="H503" t="s">
        <v>18</v>
      </c>
    </row>
    <row r="504" spans="1:8" x14ac:dyDescent="0.2">
      <c r="A504" t="s">
        <v>1277</v>
      </c>
      <c r="B504" t="s">
        <v>1279</v>
      </c>
      <c r="C504" t="s">
        <v>1092</v>
      </c>
      <c r="D504" t="s">
        <v>1052</v>
      </c>
      <c r="E504">
        <v>190784.92418</v>
      </c>
      <c r="F504">
        <v>3</v>
      </c>
      <c r="G504" t="s">
        <v>1103</v>
      </c>
      <c r="H504" t="s">
        <v>18</v>
      </c>
    </row>
    <row r="505" spans="1:8" x14ac:dyDescent="0.2">
      <c r="A505" t="s">
        <v>1277</v>
      </c>
      <c r="B505" t="s">
        <v>1280</v>
      </c>
      <c r="C505" t="s">
        <v>1092</v>
      </c>
      <c r="D505" t="s">
        <v>1096</v>
      </c>
      <c r="E505">
        <v>6988.8643000000002</v>
      </c>
      <c r="F505">
        <v>17</v>
      </c>
      <c r="G505" t="s">
        <v>1103</v>
      </c>
      <c r="H505" t="s">
        <v>18</v>
      </c>
    </row>
    <row r="506" spans="1:8" x14ac:dyDescent="0.2">
      <c r="A506" t="s">
        <v>1277</v>
      </c>
      <c r="B506" t="s">
        <v>1888</v>
      </c>
      <c r="C506" t="s">
        <v>1092</v>
      </c>
      <c r="D506" t="s">
        <v>1126</v>
      </c>
      <c r="E506">
        <v>314334.02840000001</v>
      </c>
      <c r="F506">
        <v>8</v>
      </c>
      <c r="G506" t="s">
        <v>1093</v>
      </c>
      <c r="H506" t="s">
        <v>18</v>
      </c>
    </row>
    <row r="507" spans="1:8" x14ac:dyDescent="0.2">
      <c r="A507" t="s">
        <v>1277</v>
      </c>
      <c r="B507" t="s">
        <v>1889</v>
      </c>
      <c r="C507" t="s">
        <v>1092</v>
      </c>
      <c r="D507" t="s">
        <v>1096</v>
      </c>
      <c r="E507">
        <v>97847.912700000001</v>
      </c>
      <c r="F507">
        <v>12</v>
      </c>
      <c r="G507" t="s">
        <v>1103</v>
      </c>
      <c r="H507" t="s">
        <v>18</v>
      </c>
    </row>
    <row r="508" spans="1:8" x14ac:dyDescent="0.2">
      <c r="A508" t="s">
        <v>1277</v>
      </c>
      <c r="B508" t="s">
        <v>1099</v>
      </c>
      <c r="C508" t="s">
        <v>1100</v>
      </c>
      <c r="D508" t="s">
        <v>35</v>
      </c>
      <c r="E508">
        <v>786590.52083000005</v>
      </c>
      <c r="F508">
        <v>46</v>
      </c>
      <c r="G508" t="s">
        <v>35</v>
      </c>
      <c r="H508" t="s">
        <v>18</v>
      </c>
    </row>
    <row r="509" spans="1:8" x14ac:dyDescent="0.2">
      <c r="A509" t="s">
        <v>1890</v>
      </c>
      <c r="B509" t="s">
        <v>1214</v>
      </c>
      <c r="C509" t="s">
        <v>1092</v>
      </c>
      <c r="D509" t="s">
        <v>1215</v>
      </c>
      <c r="E509">
        <v>34405.290500000003</v>
      </c>
      <c r="F509">
        <v>0</v>
      </c>
      <c r="G509" t="s">
        <v>1103</v>
      </c>
      <c r="H509" t="s">
        <v>18</v>
      </c>
    </row>
    <row r="510" spans="1:8" x14ac:dyDescent="0.2">
      <c r="A510" t="s">
        <v>1890</v>
      </c>
      <c r="B510" t="s">
        <v>1099</v>
      </c>
      <c r="C510" t="s">
        <v>1100</v>
      </c>
      <c r="D510" t="s">
        <v>35</v>
      </c>
      <c r="E510">
        <v>34405.290500000003</v>
      </c>
      <c r="F510">
        <v>0</v>
      </c>
      <c r="G510" t="s">
        <v>35</v>
      </c>
      <c r="H510" t="s">
        <v>18</v>
      </c>
    </row>
    <row r="511" spans="1:8" x14ac:dyDescent="0.2">
      <c r="A511" t="s">
        <v>353</v>
      </c>
      <c r="B511" t="s">
        <v>1545</v>
      </c>
      <c r="C511" t="s">
        <v>1092</v>
      </c>
      <c r="D511" t="s">
        <v>1223</v>
      </c>
      <c r="E511">
        <v>1907.83</v>
      </c>
      <c r="F511">
        <v>1396</v>
      </c>
      <c r="G511" t="s">
        <v>1236</v>
      </c>
      <c r="H511" t="s">
        <v>18</v>
      </c>
    </row>
    <row r="512" spans="1:8" x14ac:dyDescent="0.2">
      <c r="A512" t="s">
        <v>353</v>
      </c>
      <c r="B512" t="s">
        <v>1546</v>
      </c>
      <c r="C512" t="s">
        <v>1092</v>
      </c>
      <c r="D512" t="s">
        <v>1223</v>
      </c>
      <c r="E512">
        <v>433.47999999999996</v>
      </c>
      <c r="F512">
        <v>400</v>
      </c>
      <c r="G512" t="s">
        <v>1236</v>
      </c>
      <c r="H512" t="s">
        <v>18</v>
      </c>
    </row>
    <row r="513" spans="1:8" x14ac:dyDescent="0.2">
      <c r="A513" t="s">
        <v>353</v>
      </c>
      <c r="B513" t="s">
        <v>1547</v>
      </c>
      <c r="C513" t="s">
        <v>1092</v>
      </c>
      <c r="D513" t="s">
        <v>1223</v>
      </c>
      <c r="E513">
        <v>5303.30818</v>
      </c>
      <c r="F513">
        <v>3298</v>
      </c>
      <c r="G513" t="s">
        <v>1236</v>
      </c>
      <c r="H513" t="s">
        <v>18</v>
      </c>
    </row>
    <row r="514" spans="1:8" x14ac:dyDescent="0.2">
      <c r="A514" t="s">
        <v>353</v>
      </c>
      <c r="B514" t="s">
        <v>1548</v>
      </c>
      <c r="C514" t="s">
        <v>1092</v>
      </c>
      <c r="D514" t="s">
        <v>1223</v>
      </c>
      <c r="E514">
        <v>992.76188000000002</v>
      </c>
      <c r="F514">
        <v>656</v>
      </c>
      <c r="G514" t="s">
        <v>1236</v>
      </c>
      <c r="H514" t="s">
        <v>18</v>
      </c>
    </row>
    <row r="515" spans="1:8" x14ac:dyDescent="0.2">
      <c r="A515" t="s">
        <v>353</v>
      </c>
      <c r="B515" t="s">
        <v>1549</v>
      </c>
      <c r="C515" t="s">
        <v>1092</v>
      </c>
      <c r="D515" t="s">
        <v>1223</v>
      </c>
      <c r="E515">
        <v>1244.4781800000001</v>
      </c>
      <c r="F515">
        <v>806</v>
      </c>
      <c r="G515" t="s">
        <v>1236</v>
      </c>
      <c r="H515" t="s">
        <v>18</v>
      </c>
    </row>
    <row r="516" spans="1:8" x14ac:dyDescent="0.2">
      <c r="A516" t="s">
        <v>353</v>
      </c>
      <c r="B516" t="s">
        <v>1550</v>
      </c>
      <c r="C516" t="s">
        <v>1092</v>
      </c>
      <c r="D516" t="s">
        <v>1223</v>
      </c>
      <c r="E516">
        <v>1068.04783</v>
      </c>
      <c r="F516">
        <v>656</v>
      </c>
      <c r="G516" t="s">
        <v>1236</v>
      </c>
      <c r="H516" t="s">
        <v>18</v>
      </c>
    </row>
    <row r="517" spans="1:8" x14ac:dyDescent="0.2">
      <c r="A517" t="s">
        <v>353</v>
      </c>
      <c r="B517" t="s">
        <v>1551</v>
      </c>
      <c r="C517" t="s">
        <v>1092</v>
      </c>
      <c r="D517" t="s">
        <v>1223</v>
      </c>
      <c r="E517">
        <v>1160.28197</v>
      </c>
      <c r="F517">
        <v>640</v>
      </c>
      <c r="G517" t="s">
        <v>1236</v>
      </c>
      <c r="H517" t="s">
        <v>18</v>
      </c>
    </row>
    <row r="518" spans="1:8" x14ac:dyDescent="0.2">
      <c r="A518" t="s">
        <v>353</v>
      </c>
      <c r="B518" t="s">
        <v>1552</v>
      </c>
      <c r="C518" t="s">
        <v>1092</v>
      </c>
      <c r="D518" t="s">
        <v>1223</v>
      </c>
      <c r="E518">
        <v>6986.57</v>
      </c>
      <c r="F518">
        <v>4795</v>
      </c>
      <c r="G518" t="s">
        <v>1236</v>
      </c>
      <c r="H518" t="s">
        <v>18</v>
      </c>
    </row>
    <row r="519" spans="1:8" x14ac:dyDescent="0.2">
      <c r="A519" t="s">
        <v>353</v>
      </c>
      <c r="B519" t="s">
        <v>1553</v>
      </c>
      <c r="C519" t="s">
        <v>1092</v>
      </c>
      <c r="D519" t="s">
        <v>1223</v>
      </c>
      <c r="E519">
        <v>462.78000000000003</v>
      </c>
      <c r="F519">
        <v>433</v>
      </c>
      <c r="G519" t="s">
        <v>1236</v>
      </c>
      <c r="H519" t="s">
        <v>18</v>
      </c>
    </row>
    <row r="520" spans="1:8" x14ac:dyDescent="0.2">
      <c r="A520" t="s">
        <v>353</v>
      </c>
      <c r="B520" t="s">
        <v>1554</v>
      </c>
      <c r="C520" t="s">
        <v>1092</v>
      </c>
      <c r="D520" t="s">
        <v>1223</v>
      </c>
      <c r="E520">
        <v>1516.9507800000001</v>
      </c>
      <c r="F520">
        <v>1079</v>
      </c>
      <c r="G520" t="s">
        <v>1236</v>
      </c>
      <c r="H520" t="s">
        <v>18</v>
      </c>
    </row>
    <row r="521" spans="1:8" x14ac:dyDescent="0.2">
      <c r="A521" t="s">
        <v>353</v>
      </c>
      <c r="B521" t="s">
        <v>1555</v>
      </c>
      <c r="C521" t="s">
        <v>1092</v>
      </c>
      <c r="D521" t="s">
        <v>1223</v>
      </c>
      <c r="E521">
        <v>1891.96</v>
      </c>
      <c r="F521">
        <v>1428</v>
      </c>
      <c r="G521" t="s">
        <v>1236</v>
      </c>
      <c r="H521" t="s">
        <v>18</v>
      </c>
    </row>
    <row r="522" spans="1:8" x14ac:dyDescent="0.2">
      <c r="A522" t="s">
        <v>353</v>
      </c>
      <c r="B522" t="s">
        <v>1556</v>
      </c>
      <c r="C522" t="s">
        <v>1092</v>
      </c>
      <c r="D522" t="s">
        <v>1223</v>
      </c>
      <c r="E522">
        <v>3460.3700000000003</v>
      </c>
      <c r="F522">
        <v>2338</v>
      </c>
      <c r="G522" t="s">
        <v>1109</v>
      </c>
      <c r="H522" t="s">
        <v>18</v>
      </c>
    </row>
    <row r="523" spans="1:8" x14ac:dyDescent="0.2">
      <c r="A523" t="s">
        <v>353</v>
      </c>
      <c r="B523" t="s">
        <v>1557</v>
      </c>
      <c r="C523" t="s">
        <v>1092</v>
      </c>
      <c r="D523" t="s">
        <v>1223</v>
      </c>
      <c r="E523">
        <v>716.23</v>
      </c>
      <c r="F523">
        <v>527</v>
      </c>
      <c r="G523" t="s">
        <v>1236</v>
      </c>
      <c r="H523" t="s">
        <v>18</v>
      </c>
    </row>
    <row r="524" spans="1:8" x14ac:dyDescent="0.2">
      <c r="A524" t="s">
        <v>353</v>
      </c>
      <c r="B524" t="s">
        <v>1558</v>
      </c>
      <c r="C524" t="s">
        <v>1092</v>
      </c>
      <c r="D524" t="s">
        <v>1223</v>
      </c>
      <c r="E524">
        <v>933.39</v>
      </c>
      <c r="F524">
        <v>761</v>
      </c>
      <c r="G524" t="s">
        <v>1236</v>
      </c>
      <c r="H524" t="s">
        <v>18</v>
      </c>
    </row>
    <row r="525" spans="1:8" x14ac:dyDescent="0.2">
      <c r="A525" t="s">
        <v>353</v>
      </c>
      <c r="B525" t="s">
        <v>1559</v>
      </c>
      <c r="C525" t="s">
        <v>1092</v>
      </c>
      <c r="D525" t="s">
        <v>1223</v>
      </c>
      <c r="E525">
        <v>337.26</v>
      </c>
      <c r="F525">
        <v>276</v>
      </c>
      <c r="G525" t="s">
        <v>1236</v>
      </c>
      <c r="H525" t="s">
        <v>18</v>
      </c>
    </row>
    <row r="526" spans="1:8" x14ac:dyDescent="0.2">
      <c r="A526" t="s">
        <v>353</v>
      </c>
      <c r="B526" t="s">
        <v>1560</v>
      </c>
      <c r="C526" t="s">
        <v>1092</v>
      </c>
      <c r="D526" t="s">
        <v>1223</v>
      </c>
      <c r="E526">
        <v>9195.5720000000001</v>
      </c>
      <c r="F526">
        <v>5885</v>
      </c>
      <c r="G526" t="s">
        <v>1236</v>
      </c>
      <c r="H526" t="s">
        <v>18</v>
      </c>
    </row>
    <row r="527" spans="1:8" x14ac:dyDescent="0.2">
      <c r="A527" t="s">
        <v>353</v>
      </c>
      <c r="B527" t="s">
        <v>1561</v>
      </c>
      <c r="C527" t="s">
        <v>1092</v>
      </c>
      <c r="D527" t="s">
        <v>1223</v>
      </c>
      <c r="E527">
        <v>3930.4660200000003</v>
      </c>
      <c r="F527">
        <v>2465</v>
      </c>
      <c r="G527" t="s">
        <v>1236</v>
      </c>
      <c r="H527" t="s">
        <v>18</v>
      </c>
    </row>
    <row r="528" spans="1:8" x14ac:dyDescent="0.2">
      <c r="A528" t="s">
        <v>353</v>
      </c>
      <c r="B528" t="s">
        <v>1562</v>
      </c>
      <c r="C528" t="s">
        <v>1092</v>
      </c>
      <c r="D528" t="s">
        <v>1223</v>
      </c>
      <c r="E528">
        <v>6086.4650000000001</v>
      </c>
      <c r="F528">
        <v>3897</v>
      </c>
      <c r="G528" t="s">
        <v>1236</v>
      </c>
      <c r="H528" t="s">
        <v>18</v>
      </c>
    </row>
    <row r="529" spans="1:8" x14ac:dyDescent="0.2">
      <c r="A529" t="s">
        <v>353</v>
      </c>
      <c r="B529" t="s">
        <v>1563</v>
      </c>
      <c r="C529" t="s">
        <v>1092</v>
      </c>
      <c r="D529" t="s">
        <v>1223</v>
      </c>
      <c r="E529">
        <v>701.39</v>
      </c>
      <c r="F529">
        <v>601</v>
      </c>
      <c r="G529" t="s">
        <v>1236</v>
      </c>
      <c r="H529" t="s">
        <v>18</v>
      </c>
    </row>
    <row r="530" spans="1:8" x14ac:dyDescent="0.2">
      <c r="A530" t="s">
        <v>353</v>
      </c>
      <c r="B530" t="s">
        <v>1564</v>
      </c>
      <c r="C530" t="s">
        <v>1092</v>
      </c>
      <c r="D530" t="s">
        <v>1223</v>
      </c>
      <c r="E530">
        <v>402.46</v>
      </c>
      <c r="F530">
        <v>316</v>
      </c>
      <c r="G530" t="s">
        <v>1236</v>
      </c>
      <c r="H530" t="s">
        <v>18</v>
      </c>
    </row>
    <row r="531" spans="1:8" x14ac:dyDescent="0.2">
      <c r="A531" t="s">
        <v>353</v>
      </c>
      <c r="B531" t="s">
        <v>1565</v>
      </c>
      <c r="C531" t="s">
        <v>1092</v>
      </c>
      <c r="D531" t="s">
        <v>1223</v>
      </c>
      <c r="E531">
        <v>632.34999999999991</v>
      </c>
      <c r="F531">
        <v>461</v>
      </c>
      <c r="G531" t="s">
        <v>1236</v>
      </c>
      <c r="H531" t="s">
        <v>18</v>
      </c>
    </row>
    <row r="532" spans="1:8" x14ac:dyDescent="0.2">
      <c r="A532" t="s">
        <v>353</v>
      </c>
      <c r="B532" t="s">
        <v>1566</v>
      </c>
      <c r="C532" t="s">
        <v>1092</v>
      </c>
      <c r="D532" t="s">
        <v>1223</v>
      </c>
      <c r="E532">
        <v>3096.42</v>
      </c>
      <c r="F532">
        <v>2138</v>
      </c>
      <c r="G532" t="s">
        <v>1236</v>
      </c>
      <c r="H532" t="s">
        <v>18</v>
      </c>
    </row>
    <row r="533" spans="1:8" x14ac:dyDescent="0.2">
      <c r="A533" t="s">
        <v>353</v>
      </c>
      <c r="B533" t="s">
        <v>1567</v>
      </c>
      <c r="C533" t="s">
        <v>1092</v>
      </c>
      <c r="D533" t="s">
        <v>1223</v>
      </c>
      <c r="E533">
        <v>1654.7180000000001</v>
      </c>
      <c r="F533">
        <v>1030</v>
      </c>
      <c r="G533" t="s">
        <v>1236</v>
      </c>
      <c r="H533" t="s">
        <v>18</v>
      </c>
    </row>
    <row r="534" spans="1:8" x14ac:dyDescent="0.2">
      <c r="A534" t="s">
        <v>353</v>
      </c>
      <c r="B534" t="s">
        <v>1568</v>
      </c>
      <c r="C534" t="s">
        <v>1092</v>
      </c>
      <c r="D534" t="s">
        <v>1223</v>
      </c>
      <c r="E534">
        <v>3784.4180000000001</v>
      </c>
      <c r="F534">
        <v>1997</v>
      </c>
      <c r="G534" t="s">
        <v>1236</v>
      </c>
      <c r="H534" t="s">
        <v>18</v>
      </c>
    </row>
    <row r="535" spans="1:8" x14ac:dyDescent="0.2">
      <c r="A535" t="s">
        <v>353</v>
      </c>
      <c r="B535" t="s">
        <v>1569</v>
      </c>
      <c r="C535" t="s">
        <v>1092</v>
      </c>
      <c r="D535" t="s">
        <v>1223</v>
      </c>
      <c r="E535">
        <v>1182</v>
      </c>
      <c r="F535">
        <v>823</v>
      </c>
      <c r="G535" t="s">
        <v>1236</v>
      </c>
      <c r="H535" t="s">
        <v>18</v>
      </c>
    </row>
    <row r="536" spans="1:8" x14ac:dyDescent="0.2">
      <c r="A536" t="s">
        <v>353</v>
      </c>
      <c r="B536" t="s">
        <v>1570</v>
      </c>
      <c r="C536" t="s">
        <v>1092</v>
      </c>
      <c r="D536" t="s">
        <v>1223</v>
      </c>
      <c r="E536">
        <v>11163.200940000001</v>
      </c>
      <c r="F536">
        <v>6786</v>
      </c>
      <c r="G536" t="s">
        <v>1236</v>
      </c>
      <c r="H536" t="s">
        <v>18</v>
      </c>
    </row>
    <row r="537" spans="1:8" x14ac:dyDescent="0.2">
      <c r="A537" t="s">
        <v>353</v>
      </c>
      <c r="B537" t="s">
        <v>1571</v>
      </c>
      <c r="C537" t="s">
        <v>1092</v>
      </c>
      <c r="D537" t="s">
        <v>1223</v>
      </c>
      <c r="E537">
        <v>2850</v>
      </c>
      <c r="F537">
        <v>2187</v>
      </c>
      <c r="G537" t="s">
        <v>1236</v>
      </c>
      <c r="H537" t="s">
        <v>18</v>
      </c>
    </row>
    <row r="538" spans="1:8" x14ac:dyDescent="0.2">
      <c r="A538" t="s">
        <v>353</v>
      </c>
      <c r="B538" t="s">
        <v>1572</v>
      </c>
      <c r="C538" t="s">
        <v>1092</v>
      </c>
      <c r="D538" t="s">
        <v>1223</v>
      </c>
      <c r="E538">
        <v>4299.56999</v>
      </c>
      <c r="F538">
        <v>2720</v>
      </c>
      <c r="G538" t="s">
        <v>1236</v>
      </c>
      <c r="H538" t="s">
        <v>18</v>
      </c>
    </row>
    <row r="539" spans="1:8" x14ac:dyDescent="0.2">
      <c r="A539" t="s">
        <v>353</v>
      </c>
      <c r="B539" t="s">
        <v>1573</v>
      </c>
      <c r="C539" t="s">
        <v>1092</v>
      </c>
      <c r="D539" t="s">
        <v>1223</v>
      </c>
      <c r="E539">
        <v>903.41800000000001</v>
      </c>
      <c r="F539">
        <v>607</v>
      </c>
      <c r="G539" t="s">
        <v>1236</v>
      </c>
      <c r="H539" t="s">
        <v>18</v>
      </c>
    </row>
    <row r="540" spans="1:8" x14ac:dyDescent="0.2">
      <c r="A540" t="s">
        <v>353</v>
      </c>
      <c r="B540" t="s">
        <v>1574</v>
      </c>
      <c r="C540" t="s">
        <v>1092</v>
      </c>
      <c r="D540" t="s">
        <v>1223</v>
      </c>
      <c r="E540">
        <v>1542.33223</v>
      </c>
      <c r="F540">
        <v>1013</v>
      </c>
      <c r="G540" t="s">
        <v>1236</v>
      </c>
      <c r="H540" t="s">
        <v>18</v>
      </c>
    </row>
    <row r="541" spans="1:8" x14ac:dyDescent="0.2">
      <c r="A541" t="s">
        <v>353</v>
      </c>
      <c r="B541" t="s">
        <v>1575</v>
      </c>
      <c r="C541" t="s">
        <v>1092</v>
      </c>
      <c r="D541" t="s">
        <v>1223</v>
      </c>
      <c r="E541">
        <v>2546.8452100000004</v>
      </c>
      <c r="F541">
        <v>1526</v>
      </c>
      <c r="G541" t="s">
        <v>1236</v>
      </c>
      <c r="H541" t="s">
        <v>18</v>
      </c>
    </row>
    <row r="542" spans="1:8" x14ac:dyDescent="0.2">
      <c r="A542" t="s">
        <v>353</v>
      </c>
      <c r="B542" t="s">
        <v>1576</v>
      </c>
      <c r="C542" t="s">
        <v>1092</v>
      </c>
      <c r="D542" t="s">
        <v>1223</v>
      </c>
      <c r="E542">
        <v>3538.8620000000001</v>
      </c>
      <c r="F542">
        <v>1425</v>
      </c>
      <c r="G542" t="s">
        <v>1103</v>
      </c>
      <c r="H542" t="s">
        <v>18</v>
      </c>
    </row>
    <row r="543" spans="1:8" x14ac:dyDescent="0.2">
      <c r="A543" t="s">
        <v>353</v>
      </c>
      <c r="B543" t="s">
        <v>1577</v>
      </c>
      <c r="C543" t="s">
        <v>1092</v>
      </c>
      <c r="D543" t="s">
        <v>1223</v>
      </c>
      <c r="E543">
        <v>6997.5392899999997</v>
      </c>
      <c r="F543">
        <v>4466</v>
      </c>
      <c r="G543" t="s">
        <v>1236</v>
      </c>
      <c r="H543" t="s">
        <v>18</v>
      </c>
    </row>
    <row r="544" spans="1:8" x14ac:dyDescent="0.2">
      <c r="A544" t="s">
        <v>353</v>
      </c>
      <c r="B544" t="s">
        <v>1578</v>
      </c>
      <c r="C544" t="s">
        <v>1092</v>
      </c>
      <c r="D544" t="s">
        <v>1223</v>
      </c>
      <c r="E544">
        <v>6188.9790000000003</v>
      </c>
      <c r="F544">
        <v>4052</v>
      </c>
      <c r="G544" t="s">
        <v>1236</v>
      </c>
      <c r="H544" t="s">
        <v>18</v>
      </c>
    </row>
    <row r="545" spans="1:8" x14ac:dyDescent="0.2">
      <c r="A545" t="s">
        <v>353</v>
      </c>
      <c r="B545" t="s">
        <v>1579</v>
      </c>
      <c r="C545" t="s">
        <v>1092</v>
      </c>
      <c r="D545" t="s">
        <v>1223</v>
      </c>
      <c r="E545">
        <v>2999</v>
      </c>
      <c r="F545">
        <v>2132</v>
      </c>
      <c r="G545" t="s">
        <v>1236</v>
      </c>
      <c r="H545" t="s">
        <v>18</v>
      </c>
    </row>
    <row r="546" spans="1:8" x14ac:dyDescent="0.2">
      <c r="A546" t="s">
        <v>353</v>
      </c>
      <c r="B546" t="s">
        <v>1580</v>
      </c>
      <c r="C546" t="s">
        <v>1092</v>
      </c>
      <c r="D546" t="s">
        <v>1223</v>
      </c>
      <c r="E546">
        <v>1088.0998</v>
      </c>
      <c r="F546">
        <v>615</v>
      </c>
      <c r="G546" t="s">
        <v>1236</v>
      </c>
      <c r="H546" t="s">
        <v>18</v>
      </c>
    </row>
    <row r="547" spans="1:8" x14ac:dyDescent="0.2">
      <c r="A547" t="s">
        <v>353</v>
      </c>
      <c r="B547" t="s">
        <v>1581</v>
      </c>
      <c r="C547" t="s">
        <v>1092</v>
      </c>
      <c r="D547" t="s">
        <v>1223</v>
      </c>
      <c r="E547">
        <v>938.18</v>
      </c>
      <c r="F547">
        <v>678</v>
      </c>
      <c r="G547" t="s">
        <v>1236</v>
      </c>
      <c r="H547" t="s">
        <v>18</v>
      </c>
    </row>
    <row r="548" spans="1:8" x14ac:dyDescent="0.2">
      <c r="A548" t="s">
        <v>353</v>
      </c>
      <c r="B548" t="s">
        <v>1582</v>
      </c>
      <c r="C548" t="s">
        <v>1092</v>
      </c>
      <c r="D548" t="s">
        <v>1223</v>
      </c>
      <c r="E548">
        <v>1786.74</v>
      </c>
      <c r="F548">
        <v>1295</v>
      </c>
      <c r="G548" t="s">
        <v>1236</v>
      </c>
      <c r="H548" t="s">
        <v>18</v>
      </c>
    </row>
    <row r="549" spans="1:8" x14ac:dyDescent="0.2">
      <c r="A549" t="s">
        <v>353</v>
      </c>
      <c r="B549" t="s">
        <v>1583</v>
      </c>
      <c r="C549" t="s">
        <v>1092</v>
      </c>
      <c r="D549" t="s">
        <v>1223</v>
      </c>
      <c r="E549">
        <v>2129.15</v>
      </c>
      <c r="F549">
        <v>1509</v>
      </c>
      <c r="G549" t="s">
        <v>1236</v>
      </c>
      <c r="H549" t="s">
        <v>18</v>
      </c>
    </row>
    <row r="550" spans="1:8" x14ac:dyDescent="0.2">
      <c r="A550" t="s">
        <v>353</v>
      </c>
      <c r="B550" t="s">
        <v>1584</v>
      </c>
      <c r="C550" t="s">
        <v>1092</v>
      </c>
      <c r="D550" t="s">
        <v>1223</v>
      </c>
      <c r="E550">
        <v>1298.96</v>
      </c>
      <c r="F550">
        <v>924</v>
      </c>
      <c r="G550" t="s">
        <v>1236</v>
      </c>
      <c r="H550" t="s">
        <v>18</v>
      </c>
    </row>
    <row r="551" spans="1:8" x14ac:dyDescent="0.2">
      <c r="A551" t="s">
        <v>353</v>
      </c>
      <c r="B551" t="s">
        <v>1585</v>
      </c>
      <c r="C551" t="s">
        <v>1092</v>
      </c>
      <c r="D551" t="s">
        <v>1223</v>
      </c>
      <c r="E551">
        <v>649.44999999999993</v>
      </c>
      <c r="F551">
        <v>529</v>
      </c>
      <c r="G551" t="s">
        <v>1236</v>
      </c>
      <c r="H551" t="s">
        <v>18</v>
      </c>
    </row>
    <row r="552" spans="1:8" x14ac:dyDescent="0.2">
      <c r="A552" t="s">
        <v>353</v>
      </c>
      <c r="B552" t="s">
        <v>1586</v>
      </c>
      <c r="C552" t="s">
        <v>1092</v>
      </c>
      <c r="D552" t="s">
        <v>1223</v>
      </c>
      <c r="E552">
        <v>2289.52</v>
      </c>
      <c r="F552">
        <v>1782</v>
      </c>
      <c r="G552" t="s">
        <v>1236</v>
      </c>
      <c r="H552" t="s">
        <v>18</v>
      </c>
    </row>
    <row r="553" spans="1:8" x14ac:dyDescent="0.2">
      <c r="A553" t="s">
        <v>353</v>
      </c>
      <c r="B553" t="s">
        <v>1587</v>
      </c>
      <c r="C553" t="s">
        <v>1092</v>
      </c>
      <c r="D553" t="s">
        <v>1223</v>
      </c>
      <c r="E553">
        <v>5021.0079900000001</v>
      </c>
      <c r="F553">
        <v>3201</v>
      </c>
      <c r="G553" t="s">
        <v>1236</v>
      </c>
      <c r="H553" t="s">
        <v>18</v>
      </c>
    </row>
    <row r="554" spans="1:8" x14ac:dyDescent="0.2">
      <c r="A554" t="s">
        <v>353</v>
      </c>
      <c r="B554" t="s">
        <v>1588</v>
      </c>
      <c r="C554" t="s">
        <v>1092</v>
      </c>
      <c r="D554" t="s">
        <v>1223</v>
      </c>
      <c r="E554">
        <v>1325.87</v>
      </c>
      <c r="F554">
        <v>957</v>
      </c>
      <c r="G554" t="s">
        <v>1236</v>
      </c>
      <c r="H554" t="s">
        <v>18</v>
      </c>
    </row>
    <row r="555" spans="1:8" x14ac:dyDescent="0.2">
      <c r="A555" t="s">
        <v>353</v>
      </c>
      <c r="B555" t="s">
        <v>1589</v>
      </c>
      <c r="C555" t="s">
        <v>1092</v>
      </c>
      <c r="D555" t="s">
        <v>1223</v>
      </c>
      <c r="E555">
        <v>367.45</v>
      </c>
      <c r="F555">
        <v>299</v>
      </c>
      <c r="G555" t="s">
        <v>1236</v>
      </c>
      <c r="H555" t="s">
        <v>18</v>
      </c>
    </row>
    <row r="556" spans="1:8" x14ac:dyDescent="0.2">
      <c r="A556" t="s">
        <v>353</v>
      </c>
      <c r="B556" t="s">
        <v>1590</v>
      </c>
      <c r="C556" t="s">
        <v>1092</v>
      </c>
      <c r="D556" t="s">
        <v>1223</v>
      </c>
      <c r="E556">
        <v>2791.41</v>
      </c>
      <c r="F556">
        <v>2024</v>
      </c>
      <c r="G556" t="s">
        <v>1236</v>
      </c>
      <c r="H556" t="s">
        <v>18</v>
      </c>
    </row>
    <row r="557" spans="1:8" x14ac:dyDescent="0.2">
      <c r="A557" t="s">
        <v>353</v>
      </c>
      <c r="B557" t="s">
        <v>1591</v>
      </c>
      <c r="C557" t="s">
        <v>1092</v>
      </c>
      <c r="D557" t="s">
        <v>1223</v>
      </c>
      <c r="E557">
        <v>3081.3571900000002</v>
      </c>
      <c r="F557">
        <v>2089</v>
      </c>
      <c r="G557" t="s">
        <v>1236</v>
      </c>
      <c r="H557" t="s">
        <v>18</v>
      </c>
    </row>
    <row r="558" spans="1:8" x14ac:dyDescent="0.2">
      <c r="A558" t="s">
        <v>353</v>
      </c>
      <c r="B558" t="s">
        <v>1592</v>
      </c>
      <c r="C558" t="s">
        <v>1092</v>
      </c>
      <c r="D558" t="s">
        <v>1223</v>
      </c>
      <c r="E558">
        <v>991.38380000000006</v>
      </c>
      <c r="F558">
        <v>283</v>
      </c>
      <c r="G558" t="s">
        <v>1236</v>
      </c>
      <c r="H558" t="s">
        <v>18</v>
      </c>
    </row>
    <row r="559" spans="1:8" x14ac:dyDescent="0.2">
      <c r="A559" t="s">
        <v>353</v>
      </c>
      <c r="B559" t="s">
        <v>1593</v>
      </c>
      <c r="C559" t="s">
        <v>1092</v>
      </c>
      <c r="D559" t="s">
        <v>1223</v>
      </c>
      <c r="E559">
        <v>3169</v>
      </c>
      <c r="F559">
        <v>2281</v>
      </c>
      <c r="G559" t="s">
        <v>1236</v>
      </c>
      <c r="H559" t="s">
        <v>18</v>
      </c>
    </row>
    <row r="560" spans="1:8" x14ac:dyDescent="0.2">
      <c r="A560" t="s">
        <v>353</v>
      </c>
      <c r="B560" t="s">
        <v>1594</v>
      </c>
      <c r="C560" t="s">
        <v>1092</v>
      </c>
      <c r="D560" t="s">
        <v>1223</v>
      </c>
      <c r="E560">
        <v>9596.7469999999994</v>
      </c>
      <c r="F560">
        <v>6629</v>
      </c>
      <c r="G560" t="s">
        <v>1109</v>
      </c>
      <c r="H560" t="s">
        <v>18</v>
      </c>
    </row>
    <row r="561" spans="1:8" x14ac:dyDescent="0.2">
      <c r="A561" t="s">
        <v>353</v>
      </c>
      <c r="B561" t="s">
        <v>1595</v>
      </c>
      <c r="C561" t="s">
        <v>1092</v>
      </c>
      <c r="D561" t="s">
        <v>1223</v>
      </c>
      <c r="E561">
        <v>2089.99323</v>
      </c>
      <c r="F561">
        <v>1301</v>
      </c>
      <c r="G561" t="s">
        <v>1236</v>
      </c>
      <c r="H561" t="s">
        <v>18</v>
      </c>
    </row>
    <row r="562" spans="1:8" x14ac:dyDescent="0.2">
      <c r="A562" t="s">
        <v>353</v>
      </c>
      <c r="B562" t="s">
        <v>1596</v>
      </c>
      <c r="C562" t="s">
        <v>1092</v>
      </c>
      <c r="D562" t="s">
        <v>1223</v>
      </c>
      <c r="E562">
        <v>2167.4007899999997</v>
      </c>
      <c r="F562">
        <v>1367</v>
      </c>
      <c r="G562" t="s">
        <v>1236</v>
      </c>
      <c r="H562" t="s">
        <v>18</v>
      </c>
    </row>
    <row r="563" spans="1:8" x14ac:dyDescent="0.2">
      <c r="A563" t="s">
        <v>353</v>
      </c>
      <c r="B563" t="s">
        <v>1597</v>
      </c>
      <c r="C563" t="s">
        <v>1092</v>
      </c>
      <c r="D563" t="s">
        <v>1223</v>
      </c>
      <c r="E563">
        <v>416.57</v>
      </c>
      <c r="F563">
        <v>322</v>
      </c>
      <c r="G563" t="s">
        <v>1236</v>
      </c>
      <c r="H563" t="s">
        <v>18</v>
      </c>
    </row>
    <row r="564" spans="1:8" x14ac:dyDescent="0.2">
      <c r="A564" t="s">
        <v>353</v>
      </c>
      <c r="B564" t="s">
        <v>1598</v>
      </c>
      <c r="C564" t="s">
        <v>1092</v>
      </c>
      <c r="D564" t="s">
        <v>1223</v>
      </c>
      <c r="E564">
        <v>1158.4000000000001</v>
      </c>
      <c r="F564">
        <v>832</v>
      </c>
      <c r="G564" t="s">
        <v>1236</v>
      </c>
      <c r="H564" t="s">
        <v>18</v>
      </c>
    </row>
    <row r="565" spans="1:8" x14ac:dyDescent="0.2">
      <c r="A565" t="s">
        <v>353</v>
      </c>
      <c r="B565" t="s">
        <v>1599</v>
      </c>
      <c r="C565" t="s">
        <v>1092</v>
      </c>
      <c r="D565" t="s">
        <v>1223</v>
      </c>
      <c r="E565">
        <v>1711.34</v>
      </c>
      <c r="F565">
        <v>1177</v>
      </c>
      <c r="G565" t="s">
        <v>1236</v>
      </c>
      <c r="H565" t="s">
        <v>18</v>
      </c>
    </row>
    <row r="566" spans="1:8" x14ac:dyDescent="0.2">
      <c r="A566" t="s">
        <v>353</v>
      </c>
      <c r="B566" t="s">
        <v>1600</v>
      </c>
      <c r="C566" t="s">
        <v>1092</v>
      </c>
      <c r="D566" t="s">
        <v>1223</v>
      </c>
      <c r="E566">
        <v>5534.21</v>
      </c>
      <c r="F566">
        <v>3369</v>
      </c>
      <c r="G566" t="s">
        <v>1236</v>
      </c>
      <c r="H566" t="s">
        <v>18</v>
      </c>
    </row>
    <row r="567" spans="1:8" x14ac:dyDescent="0.2">
      <c r="A567" t="s">
        <v>353</v>
      </c>
      <c r="B567" t="s">
        <v>1099</v>
      </c>
      <c r="C567" t="s">
        <v>1100</v>
      </c>
      <c r="D567" t="s">
        <v>35</v>
      </c>
      <c r="E567">
        <v>151713.94429999986</v>
      </c>
      <c r="F567">
        <v>99479</v>
      </c>
      <c r="G567" t="s">
        <v>35</v>
      </c>
      <c r="H567" t="s">
        <v>18</v>
      </c>
    </row>
    <row r="568" spans="1:8" x14ac:dyDescent="0.2">
      <c r="A568" t="s">
        <v>139</v>
      </c>
      <c r="B568" t="s">
        <v>1601</v>
      </c>
      <c r="C568" t="s">
        <v>1092</v>
      </c>
      <c r="D568" t="s">
        <v>1223</v>
      </c>
      <c r="E568">
        <v>703882.73800000001</v>
      </c>
      <c r="F568">
        <v>450592</v>
      </c>
      <c r="G568" t="s">
        <v>1109</v>
      </c>
      <c r="H568" t="s">
        <v>18</v>
      </c>
    </row>
    <row r="569" spans="1:8" x14ac:dyDescent="0.2">
      <c r="A569" t="s">
        <v>139</v>
      </c>
      <c r="B569" t="s">
        <v>1602</v>
      </c>
      <c r="C569" t="s">
        <v>1092</v>
      </c>
      <c r="D569" t="s">
        <v>1223</v>
      </c>
      <c r="E569">
        <v>56143.928</v>
      </c>
      <c r="F569">
        <v>38269</v>
      </c>
      <c r="G569" t="s">
        <v>1109</v>
      </c>
      <c r="H569" t="s">
        <v>18</v>
      </c>
    </row>
    <row r="570" spans="1:8" x14ac:dyDescent="0.2">
      <c r="A570" t="s">
        <v>139</v>
      </c>
      <c r="B570" t="s">
        <v>1603</v>
      </c>
      <c r="C570" t="s">
        <v>1092</v>
      </c>
      <c r="D570" t="s">
        <v>1223</v>
      </c>
      <c r="E570">
        <v>1995.8019999999999</v>
      </c>
      <c r="F570">
        <v>1428</v>
      </c>
      <c r="G570" t="s">
        <v>1103</v>
      </c>
      <c r="H570" t="s">
        <v>18</v>
      </c>
    </row>
    <row r="571" spans="1:8" x14ac:dyDescent="0.2">
      <c r="A571" t="s">
        <v>139</v>
      </c>
      <c r="B571" t="s">
        <v>1604</v>
      </c>
      <c r="C571" t="s">
        <v>1092</v>
      </c>
      <c r="D571" t="s">
        <v>1223</v>
      </c>
      <c r="E571">
        <v>190559.60199999998</v>
      </c>
      <c r="F571">
        <v>95855</v>
      </c>
      <c r="G571" t="s">
        <v>1109</v>
      </c>
      <c r="H571" t="s">
        <v>18</v>
      </c>
    </row>
    <row r="572" spans="1:8" x14ac:dyDescent="0.2">
      <c r="A572" t="s">
        <v>139</v>
      </c>
      <c r="B572" t="s">
        <v>1605</v>
      </c>
      <c r="C572" t="s">
        <v>1092</v>
      </c>
      <c r="D572" t="s">
        <v>1223</v>
      </c>
      <c r="E572">
        <v>8918.1369999999988</v>
      </c>
      <c r="F572">
        <v>7554</v>
      </c>
      <c r="G572" t="s">
        <v>1109</v>
      </c>
      <c r="H572" t="s">
        <v>18</v>
      </c>
    </row>
    <row r="573" spans="1:8" x14ac:dyDescent="0.2">
      <c r="A573" t="s">
        <v>139</v>
      </c>
      <c r="B573" t="s">
        <v>1606</v>
      </c>
      <c r="C573" t="s">
        <v>1092</v>
      </c>
      <c r="D573" t="s">
        <v>1223</v>
      </c>
      <c r="E573">
        <v>35518.943999999996</v>
      </c>
      <c r="F573">
        <v>25488</v>
      </c>
      <c r="G573" t="s">
        <v>1109</v>
      </c>
      <c r="H573" t="s">
        <v>18</v>
      </c>
    </row>
    <row r="574" spans="1:8" x14ac:dyDescent="0.2">
      <c r="A574" t="s">
        <v>139</v>
      </c>
      <c r="B574" t="s">
        <v>1607</v>
      </c>
      <c r="C574" t="s">
        <v>1092</v>
      </c>
      <c r="D574" t="s">
        <v>1223</v>
      </c>
      <c r="E574">
        <v>457231.75</v>
      </c>
      <c r="F574">
        <v>289916</v>
      </c>
      <c r="G574" t="s">
        <v>1109</v>
      </c>
      <c r="H574" t="s">
        <v>18</v>
      </c>
    </row>
    <row r="575" spans="1:8" x14ac:dyDescent="0.2">
      <c r="A575" t="s">
        <v>139</v>
      </c>
      <c r="B575" t="s">
        <v>1608</v>
      </c>
      <c r="C575" t="s">
        <v>1092</v>
      </c>
      <c r="D575" t="s">
        <v>1223</v>
      </c>
      <c r="E575">
        <v>20106.488000000001</v>
      </c>
      <c r="F575">
        <v>15164</v>
      </c>
      <c r="G575" t="s">
        <v>1109</v>
      </c>
      <c r="H575" t="s">
        <v>18</v>
      </c>
    </row>
    <row r="576" spans="1:8" x14ac:dyDescent="0.2">
      <c r="A576" t="s">
        <v>139</v>
      </c>
      <c r="B576" t="s">
        <v>1099</v>
      </c>
      <c r="C576" t="s">
        <v>1100</v>
      </c>
      <c r="D576" t="s">
        <v>35</v>
      </c>
      <c r="E576">
        <v>1474357.389</v>
      </c>
      <c r="F576">
        <v>924266</v>
      </c>
      <c r="G576" t="s">
        <v>35</v>
      </c>
      <c r="H576" t="s">
        <v>18</v>
      </c>
    </row>
    <row r="577" spans="1:8" x14ac:dyDescent="0.2">
      <c r="A577" t="s">
        <v>161</v>
      </c>
      <c r="B577" t="s">
        <v>1609</v>
      </c>
      <c r="C577" t="s">
        <v>1092</v>
      </c>
      <c r="D577" t="s">
        <v>1096</v>
      </c>
      <c r="E577">
        <v>22014.409926</v>
      </c>
      <c r="F577">
        <v>26435</v>
      </c>
      <c r="G577" t="s">
        <v>1610</v>
      </c>
      <c r="H577" t="s">
        <v>18</v>
      </c>
    </row>
    <row r="578" spans="1:8" x14ac:dyDescent="0.2">
      <c r="A578" t="s">
        <v>161</v>
      </c>
      <c r="B578" t="s">
        <v>1099</v>
      </c>
      <c r="C578" t="s">
        <v>1100</v>
      </c>
      <c r="D578" t="s">
        <v>35</v>
      </c>
      <c r="E578">
        <v>22014.409926</v>
      </c>
      <c r="F578">
        <v>26435</v>
      </c>
      <c r="G578" t="s">
        <v>35</v>
      </c>
      <c r="H578" t="s">
        <v>18</v>
      </c>
    </row>
    <row r="579" spans="1:8" x14ac:dyDescent="0.2">
      <c r="A579" t="s">
        <v>1611</v>
      </c>
      <c r="B579" t="s">
        <v>1612</v>
      </c>
      <c r="C579" t="s">
        <v>1092</v>
      </c>
      <c r="D579" t="s">
        <v>1215</v>
      </c>
      <c r="E579">
        <v>16751.311000000002</v>
      </c>
      <c r="F579">
        <v>0</v>
      </c>
      <c r="G579" t="s">
        <v>1093</v>
      </c>
      <c r="H579" t="s">
        <v>18</v>
      </c>
    </row>
    <row r="580" spans="1:8" x14ac:dyDescent="0.2">
      <c r="A580" t="s">
        <v>1611</v>
      </c>
      <c r="B580" t="s">
        <v>1613</v>
      </c>
      <c r="C580" t="s">
        <v>1092</v>
      </c>
      <c r="D580" t="s">
        <v>1215</v>
      </c>
      <c r="E580">
        <v>38212</v>
      </c>
      <c r="F580">
        <v>0</v>
      </c>
      <c r="G580" t="s">
        <v>1093</v>
      </c>
      <c r="H580" t="s">
        <v>18</v>
      </c>
    </row>
    <row r="581" spans="1:8" x14ac:dyDescent="0.2">
      <c r="A581" t="s">
        <v>1611</v>
      </c>
      <c r="B581" t="s">
        <v>1614</v>
      </c>
      <c r="C581" t="s">
        <v>1092</v>
      </c>
      <c r="D581" t="s">
        <v>1215</v>
      </c>
      <c r="E581">
        <v>44736.762999999999</v>
      </c>
      <c r="F581">
        <v>0</v>
      </c>
      <c r="G581" t="s">
        <v>1093</v>
      </c>
      <c r="H581" t="s">
        <v>18</v>
      </c>
    </row>
    <row r="582" spans="1:8" x14ac:dyDescent="0.2">
      <c r="A582" t="s">
        <v>1611</v>
      </c>
      <c r="B582" t="s">
        <v>1615</v>
      </c>
      <c r="C582" t="s">
        <v>1092</v>
      </c>
      <c r="D582" t="s">
        <v>1215</v>
      </c>
      <c r="E582">
        <v>26506.588</v>
      </c>
      <c r="F582">
        <v>0</v>
      </c>
      <c r="G582" t="s">
        <v>1093</v>
      </c>
      <c r="H582" t="s">
        <v>18</v>
      </c>
    </row>
    <row r="583" spans="1:8" x14ac:dyDescent="0.2">
      <c r="A583" t="s">
        <v>1611</v>
      </c>
      <c r="B583" t="s">
        <v>1616</v>
      </c>
      <c r="C583" t="s">
        <v>1092</v>
      </c>
      <c r="D583" t="s">
        <v>1215</v>
      </c>
      <c r="E583">
        <v>60234.35</v>
      </c>
      <c r="F583">
        <v>0</v>
      </c>
      <c r="G583" t="s">
        <v>1093</v>
      </c>
      <c r="H583" t="s">
        <v>18</v>
      </c>
    </row>
    <row r="584" spans="1:8" x14ac:dyDescent="0.2">
      <c r="A584" t="s">
        <v>1611</v>
      </c>
      <c r="B584" t="s">
        <v>1099</v>
      </c>
      <c r="C584" t="s">
        <v>1100</v>
      </c>
      <c r="D584" t="s">
        <v>35</v>
      </c>
      <c r="E584">
        <v>186441.01199999999</v>
      </c>
      <c r="F584">
        <v>0</v>
      </c>
      <c r="G584" t="s">
        <v>35</v>
      </c>
      <c r="H584" t="s">
        <v>18</v>
      </c>
    </row>
    <row r="585" spans="1:8" x14ac:dyDescent="0.2">
      <c r="A585" t="s">
        <v>137</v>
      </c>
      <c r="B585" t="s">
        <v>1617</v>
      </c>
      <c r="C585" t="s">
        <v>1092</v>
      </c>
      <c r="D585" t="s">
        <v>1061</v>
      </c>
      <c r="E585">
        <v>86394.518000000011</v>
      </c>
      <c r="F585">
        <v>54975</v>
      </c>
      <c r="G585" t="s">
        <v>1109</v>
      </c>
      <c r="H585" t="s">
        <v>18</v>
      </c>
    </row>
    <row r="586" spans="1:8" x14ac:dyDescent="0.2">
      <c r="A586" t="s">
        <v>137</v>
      </c>
      <c r="B586" t="s">
        <v>1099</v>
      </c>
      <c r="C586" t="s">
        <v>1100</v>
      </c>
      <c r="D586" t="s">
        <v>35</v>
      </c>
      <c r="E586">
        <v>86394.518000000011</v>
      </c>
      <c r="F586">
        <v>54975</v>
      </c>
      <c r="G586" t="s">
        <v>35</v>
      </c>
      <c r="H586" t="s">
        <v>18</v>
      </c>
    </row>
    <row r="587" spans="1:8" x14ac:dyDescent="0.2">
      <c r="A587" t="s">
        <v>439</v>
      </c>
      <c r="B587" t="s">
        <v>1618</v>
      </c>
      <c r="C587" t="s">
        <v>1092</v>
      </c>
      <c r="D587" t="s">
        <v>1096</v>
      </c>
      <c r="E587">
        <v>11538.08</v>
      </c>
      <c r="F587">
        <v>0</v>
      </c>
      <c r="G587" t="s">
        <v>1107</v>
      </c>
      <c r="H587" t="s">
        <v>18</v>
      </c>
    </row>
    <row r="588" spans="1:8" x14ac:dyDescent="0.2">
      <c r="A588" t="s">
        <v>439</v>
      </c>
      <c r="B588" t="s">
        <v>1620</v>
      </c>
      <c r="C588" t="s">
        <v>1092</v>
      </c>
      <c r="D588" t="s">
        <v>1126</v>
      </c>
      <c r="E588">
        <v>0</v>
      </c>
      <c r="F588">
        <v>0</v>
      </c>
      <c r="G588" t="s">
        <v>1191</v>
      </c>
      <c r="H588" t="s">
        <v>18</v>
      </c>
    </row>
    <row r="589" spans="1:8" x14ac:dyDescent="0.2">
      <c r="A589" t="s">
        <v>439</v>
      </c>
      <c r="B589" t="s">
        <v>1621</v>
      </c>
      <c r="C589" t="s">
        <v>1092</v>
      </c>
      <c r="D589" t="s">
        <v>1126</v>
      </c>
      <c r="E589">
        <v>3222.181</v>
      </c>
      <c r="F589">
        <v>2256</v>
      </c>
      <c r="G589" t="s">
        <v>1236</v>
      </c>
      <c r="H589" t="s">
        <v>18</v>
      </c>
    </row>
    <row r="590" spans="1:8" x14ac:dyDescent="0.2">
      <c r="A590" t="s">
        <v>439</v>
      </c>
      <c r="B590" t="s">
        <v>1622</v>
      </c>
      <c r="C590" t="s">
        <v>1092</v>
      </c>
      <c r="D590" t="s">
        <v>1126</v>
      </c>
      <c r="E590">
        <v>80529.502999999997</v>
      </c>
      <c r="F590">
        <v>24364</v>
      </c>
      <c r="G590" t="s">
        <v>1109</v>
      </c>
      <c r="H590" t="s">
        <v>18</v>
      </c>
    </row>
    <row r="591" spans="1:8" x14ac:dyDescent="0.2">
      <c r="A591" t="s">
        <v>439</v>
      </c>
      <c r="B591" t="s">
        <v>1891</v>
      </c>
      <c r="C591" t="s">
        <v>1092</v>
      </c>
      <c r="D591" t="s">
        <v>1126</v>
      </c>
      <c r="E591">
        <v>25832.487999999998</v>
      </c>
      <c r="F591">
        <v>17771</v>
      </c>
      <c r="G591" t="s">
        <v>1109</v>
      </c>
      <c r="H591" t="s">
        <v>18</v>
      </c>
    </row>
    <row r="592" spans="1:8" x14ac:dyDescent="0.2">
      <c r="A592" t="s">
        <v>439</v>
      </c>
      <c r="B592" t="s">
        <v>1623</v>
      </c>
      <c r="C592" t="s">
        <v>1092</v>
      </c>
      <c r="D592" t="s">
        <v>1126</v>
      </c>
      <c r="E592">
        <v>594.51800000000003</v>
      </c>
      <c r="F592">
        <v>0</v>
      </c>
      <c r="G592" t="s">
        <v>1103</v>
      </c>
      <c r="H592" t="s">
        <v>18</v>
      </c>
    </row>
    <row r="593" spans="1:8" x14ac:dyDescent="0.2">
      <c r="A593" t="s">
        <v>439</v>
      </c>
      <c r="B593" t="s">
        <v>1624</v>
      </c>
      <c r="C593" t="s">
        <v>1092</v>
      </c>
      <c r="D593" t="s">
        <v>1126</v>
      </c>
      <c r="E593">
        <v>5389.7190000000001</v>
      </c>
      <c r="F593">
        <v>3791</v>
      </c>
      <c r="G593" t="s">
        <v>1236</v>
      </c>
      <c r="H593" t="s">
        <v>18</v>
      </c>
    </row>
    <row r="594" spans="1:8" x14ac:dyDescent="0.2">
      <c r="A594" t="s">
        <v>439</v>
      </c>
      <c r="B594" t="s">
        <v>1625</v>
      </c>
      <c r="C594" t="s">
        <v>1092</v>
      </c>
      <c r="D594" t="s">
        <v>1126</v>
      </c>
      <c r="E594">
        <v>4405.7150000000001</v>
      </c>
      <c r="F594">
        <v>2517</v>
      </c>
      <c r="G594" t="s">
        <v>1109</v>
      </c>
      <c r="H594" t="s">
        <v>18</v>
      </c>
    </row>
    <row r="595" spans="1:8" x14ac:dyDescent="0.2">
      <c r="A595" t="s">
        <v>439</v>
      </c>
      <c r="B595" t="s">
        <v>1626</v>
      </c>
      <c r="C595" t="s">
        <v>1092</v>
      </c>
      <c r="D595" t="s">
        <v>1126</v>
      </c>
      <c r="E595">
        <v>4131.8369999999995</v>
      </c>
      <c r="F595">
        <v>2751</v>
      </c>
      <c r="G595" t="s">
        <v>1236</v>
      </c>
      <c r="H595" t="s">
        <v>18</v>
      </c>
    </row>
    <row r="596" spans="1:8" x14ac:dyDescent="0.2">
      <c r="A596" t="s">
        <v>439</v>
      </c>
      <c r="B596" t="s">
        <v>1627</v>
      </c>
      <c r="C596" t="s">
        <v>1092</v>
      </c>
      <c r="D596" t="s">
        <v>1096</v>
      </c>
      <c r="E596">
        <v>11419</v>
      </c>
      <c r="F596">
        <v>5599</v>
      </c>
      <c r="G596" t="s">
        <v>1109</v>
      </c>
      <c r="H596" t="s">
        <v>18</v>
      </c>
    </row>
    <row r="597" spans="1:8" x14ac:dyDescent="0.2">
      <c r="A597" t="s">
        <v>439</v>
      </c>
      <c r="B597" t="s">
        <v>1628</v>
      </c>
      <c r="C597" t="s">
        <v>1092</v>
      </c>
      <c r="D597" t="s">
        <v>1126</v>
      </c>
      <c r="E597">
        <v>555.09799999999996</v>
      </c>
      <c r="F597">
        <v>479</v>
      </c>
      <c r="G597" t="s">
        <v>1236</v>
      </c>
      <c r="H597" t="s">
        <v>18</v>
      </c>
    </row>
    <row r="598" spans="1:8" x14ac:dyDescent="0.2">
      <c r="A598" t="s">
        <v>439</v>
      </c>
      <c r="B598" t="s">
        <v>1629</v>
      </c>
      <c r="C598" t="s">
        <v>1092</v>
      </c>
      <c r="D598" t="s">
        <v>1126</v>
      </c>
      <c r="E598">
        <v>2122.355</v>
      </c>
      <c r="F598">
        <v>1513</v>
      </c>
      <c r="G598" t="s">
        <v>1236</v>
      </c>
      <c r="H598" t="s">
        <v>18</v>
      </c>
    </row>
    <row r="599" spans="1:8" x14ac:dyDescent="0.2">
      <c r="A599" t="s">
        <v>439</v>
      </c>
      <c r="B599" t="s">
        <v>1630</v>
      </c>
      <c r="C599" t="s">
        <v>1092</v>
      </c>
      <c r="D599" t="s">
        <v>1126</v>
      </c>
      <c r="E599">
        <v>707.29100000000005</v>
      </c>
      <c r="F599">
        <v>667</v>
      </c>
      <c r="G599" t="s">
        <v>1236</v>
      </c>
      <c r="H599" t="s">
        <v>18</v>
      </c>
    </row>
    <row r="600" spans="1:8" x14ac:dyDescent="0.2">
      <c r="A600" t="s">
        <v>439</v>
      </c>
      <c r="B600" t="s">
        <v>1099</v>
      </c>
      <c r="C600" t="s">
        <v>1100</v>
      </c>
      <c r="D600" t="s">
        <v>35</v>
      </c>
      <c r="E600">
        <v>150447.78499999997</v>
      </c>
      <c r="F600">
        <v>61708</v>
      </c>
      <c r="G600" t="s">
        <v>35</v>
      </c>
      <c r="H600" t="s">
        <v>18</v>
      </c>
    </row>
    <row r="601" spans="1:8" x14ac:dyDescent="0.2">
      <c r="A601" t="s">
        <v>951</v>
      </c>
      <c r="B601" t="s">
        <v>1892</v>
      </c>
      <c r="C601" t="s">
        <v>1092</v>
      </c>
      <c r="D601" t="s">
        <v>1061</v>
      </c>
      <c r="E601">
        <v>30030.895000000004</v>
      </c>
      <c r="F601">
        <v>16227</v>
      </c>
      <c r="G601" t="s">
        <v>1144</v>
      </c>
      <c r="H601" t="s">
        <v>18</v>
      </c>
    </row>
    <row r="602" spans="1:8" x14ac:dyDescent="0.2">
      <c r="A602" t="s">
        <v>951</v>
      </c>
      <c r="B602" t="s">
        <v>1099</v>
      </c>
      <c r="C602" t="s">
        <v>1100</v>
      </c>
      <c r="D602" t="s">
        <v>35</v>
      </c>
      <c r="E602">
        <v>30030.895000000004</v>
      </c>
      <c r="F602">
        <v>16227</v>
      </c>
      <c r="G602" t="s">
        <v>35</v>
      </c>
      <c r="H602" t="s">
        <v>18</v>
      </c>
    </row>
    <row r="603" spans="1:8" x14ac:dyDescent="0.2">
      <c r="A603" t="s">
        <v>1631</v>
      </c>
      <c r="B603" t="s">
        <v>1632</v>
      </c>
      <c r="C603" t="s">
        <v>1092</v>
      </c>
      <c r="D603" t="s">
        <v>1052</v>
      </c>
      <c r="E603">
        <v>11661.8</v>
      </c>
      <c r="F603">
        <v>0</v>
      </c>
      <c r="G603" t="s">
        <v>1103</v>
      </c>
      <c r="H603" t="s">
        <v>18</v>
      </c>
    </row>
    <row r="604" spans="1:8" x14ac:dyDescent="0.2">
      <c r="A604" t="s">
        <v>1631</v>
      </c>
      <c r="B604" t="s">
        <v>1893</v>
      </c>
      <c r="C604" t="s">
        <v>1092</v>
      </c>
      <c r="D604" t="s">
        <v>1052</v>
      </c>
      <c r="E604">
        <v>8683.8639999999996</v>
      </c>
      <c r="F604">
        <v>0</v>
      </c>
      <c r="G604" t="s">
        <v>1103</v>
      </c>
      <c r="H604" t="s">
        <v>18</v>
      </c>
    </row>
    <row r="605" spans="1:8" x14ac:dyDescent="0.2">
      <c r="A605" t="s">
        <v>1631</v>
      </c>
      <c r="B605" t="s">
        <v>1633</v>
      </c>
      <c r="C605" t="s">
        <v>1092</v>
      </c>
      <c r="D605" t="s">
        <v>1052</v>
      </c>
      <c r="E605">
        <v>1714.4680000000001</v>
      </c>
      <c r="F605">
        <v>0</v>
      </c>
      <c r="G605" t="s">
        <v>1103</v>
      </c>
      <c r="H605" t="s">
        <v>18</v>
      </c>
    </row>
    <row r="606" spans="1:8" x14ac:dyDescent="0.2">
      <c r="A606" t="s">
        <v>1631</v>
      </c>
      <c r="B606" t="s">
        <v>1634</v>
      </c>
      <c r="C606" t="s">
        <v>1092</v>
      </c>
      <c r="D606" t="s">
        <v>1096</v>
      </c>
      <c r="E606">
        <v>27228.666000000001</v>
      </c>
      <c r="F606">
        <v>0</v>
      </c>
      <c r="G606" t="s">
        <v>1093</v>
      </c>
      <c r="H606" t="s">
        <v>18</v>
      </c>
    </row>
    <row r="607" spans="1:8" x14ac:dyDescent="0.2">
      <c r="A607" t="s">
        <v>1631</v>
      </c>
      <c r="B607" t="s">
        <v>1635</v>
      </c>
      <c r="C607" t="s">
        <v>1092</v>
      </c>
      <c r="D607" t="s">
        <v>1096</v>
      </c>
      <c r="E607">
        <v>30459.767</v>
      </c>
      <c r="F607">
        <v>0</v>
      </c>
      <c r="G607" t="s">
        <v>1093</v>
      </c>
      <c r="H607" t="s">
        <v>18</v>
      </c>
    </row>
    <row r="608" spans="1:8" x14ac:dyDescent="0.2">
      <c r="A608" t="s">
        <v>1631</v>
      </c>
      <c r="B608" t="s">
        <v>1099</v>
      </c>
      <c r="C608" t="s">
        <v>1100</v>
      </c>
      <c r="D608" t="s">
        <v>35</v>
      </c>
      <c r="E608">
        <v>79748.564999999988</v>
      </c>
      <c r="F608">
        <v>0</v>
      </c>
      <c r="G608" t="s">
        <v>35</v>
      </c>
      <c r="H608" t="s">
        <v>18</v>
      </c>
    </row>
    <row r="609" spans="1:8" x14ac:dyDescent="0.2">
      <c r="A609" t="s">
        <v>181</v>
      </c>
      <c r="B609" t="s">
        <v>1636</v>
      </c>
      <c r="C609" t="s">
        <v>1092</v>
      </c>
      <c r="D609" t="s">
        <v>1058</v>
      </c>
      <c r="E609">
        <v>538737.00783999998</v>
      </c>
      <c r="F609">
        <v>34</v>
      </c>
      <c r="G609" t="s">
        <v>1103</v>
      </c>
      <c r="H609" t="s">
        <v>18</v>
      </c>
    </row>
    <row r="610" spans="1:8" x14ac:dyDescent="0.2">
      <c r="A610" t="s">
        <v>181</v>
      </c>
      <c r="B610" t="s">
        <v>1637</v>
      </c>
      <c r="C610" t="s">
        <v>1092</v>
      </c>
      <c r="D610" t="s">
        <v>1126</v>
      </c>
      <c r="E610">
        <v>111900</v>
      </c>
      <c r="F610">
        <v>67001</v>
      </c>
      <c r="G610" t="s">
        <v>1109</v>
      </c>
      <c r="H610" t="s">
        <v>18</v>
      </c>
    </row>
    <row r="611" spans="1:8" x14ac:dyDescent="0.2">
      <c r="A611" t="s">
        <v>181</v>
      </c>
      <c r="B611" t="s">
        <v>1638</v>
      </c>
      <c r="C611" t="s">
        <v>1092</v>
      </c>
      <c r="D611" t="s">
        <v>1061</v>
      </c>
      <c r="E611">
        <v>453345.17963999999</v>
      </c>
      <c r="F611">
        <v>46</v>
      </c>
      <c r="G611" t="s">
        <v>1093</v>
      </c>
      <c r="H611" t="s">
        <v>18</v>
      </c>
    </row>
    <row r="612" spans="1:8" x14ac:dyDescent="0.2">
      <c r="A612" t="s">
        <v>181</v>
      </c>
      <c r="B612" t="s">
        <v>1639</v>
      </c>
      <c r="C612" t="s">
        <v>1092</v>
      </c>
      <c r="D612" t="s">
        <v>1061</v>
      </c>
      <c r="E612">
        <v>81177.799999999988</v>
      </c>
      <c r="F612">
        <v>15</v>
      </c>
      <c r="G612" t="s">
        <v>1103</v>
      </c>
      <c r="H612" t="s">
        <v>18</v>
      </c>
    </row>
    <row r="613" spans="1:8" x14ac:dyDescent="0.2">
      <c r="A613" t="s">
        <v>181</v>
      </c>
      <c r="B613" t="s">
        <v>1640</v>
      </c>
      <c r="C613" t="s">
        <v>1092</v>
      </c>
      <c r="D613" t="s">
        <v>1052</v>
      </c>
      <c r="E613">
        <v>84039.247969999997</v>
      </c>
      <c r="F613">
        <v>34</v>
      </c>
      <c r="G613" t="s">
        <v>1093</v>
      </c>
      <c r="H613" t="s">
        <v>18</v>
      </c>
    </row>
    <row r="614" spans="1:8" x14ac:dyDescent="0.2">
      <c r="A614" t="s">
        <v>181</v>
      </c>
      <c r="B614" t="s">
        <v>1641</v>
      </c>
      <c r="C614" t="s">
        <v>1092</v>
      </c>
      <c r="D614" t="s">
        <v>1096</v>
      </c>
      <c r="E614">
        <v>42002.362359999999</v>
      </c>
      <c r="F614">
        <v>25</v>
      </c>
      <c r="G614" t="s">
        <v>1093</v>
      </c>
      <c r="H614" t="s">
        <v>18</v>
      </c>
    </row>
    <row r="615" spans="1:8" x14ac:dyDescent="0.2">
      <c r="A615" t="s">
        <v>181</v>
      </c>
      <c r="B615" t="s">
        <v>1642</v>
      </c>
      <c r="C615" t="s">
        <v>1092</v>
      </c>
      <c r="D615" t="s">
        <v>1061</v>
      </c>
      <c r="E615">
        <v>214077</v>
      </c>
      <c r="F615">
        <v>116748</v>
      </c>
      <c r="G615" t="s">
        <v>1144</v>
      </c>
      <c r="H615" t="s">
        <v>18</v>
      </c>
    </row>
    <row r="616" spans="1:8" x14ac:dyDescent="0.2">
      <c r="A616" t="s">
        <v>181</v>
      </c>
      <c r="B616" t="s">
        <v>1643</v>
      </c>
      <c r="C616" t="s">
        <v>1092</v>
      </c>
      <c r="D616" t="s">
        <v>1061</v>
      </c>
      <c r="E616">
        <v>21003.755999999998</v>
      </c>
      <c r="F616">
        <v>16</v>
      </c>
      <c r="G616" t="s">
        <v>1093</v>
      </c>
      <c r="H616" t="s">
        <v>18</v>
      </c>
    </row>
    <row r="617" spans="1:8" x14ac:dyDescent="0.2">
      <c r="A617" t="s">
        <v>181</v>
      </c>
      <c r="B617" t="s">
        <v>1099</v>
      </c>
      <c r="C617" t="s">
        <v>1100</v>
      </c>
      <c r="D617" t="s">
        <v>35</v>
      </c>
      <c r="E617">
        <v>1546282.35381</v>
      </c>
      <c r="F617">
        <v>183919</v>
      </c>
      <c r="G617" t="s">
        <v>35</v>
      </c>
      <c r="H617" t="s">
        <v>18</v>
      </c>
    </row>
    <row r="618" spans="1:8" x14ac:dyDescent="0.2">
      <c r="A618" t="s">
        <v>557</v>
      </c>
      <c r="B618" t="s">
        <v>1894</v>
      </c>
      <c r="C618" t="s">
        <v>1092</v>
      </c>
      <c r="D618" t="s">
        <v>1126</v>
      </c>
      <c r="E618">
        <v>875.56766000000005</v>
      </c>
      <c r="F618">
        <v>674</v>
      </c>
      <c r="G618" t="s">
        <v>1236</v>
      </c>
      <c r="H618" t="s">
        <v>18</v>
      </c>
    </row>
    <row r="619" spans="1:8" x14ac:dyDescent="0.2">
      <c r="A619" t="s">
        <v>557</v>
      </c>
      <c r="B619" t="s">
        <v>1895</v>
      </c>
      <c r="C619" t="s">
        <v>1092</v>
      </c>
      <c r="D619" t="s">
        <v>1126</v>
      </c>
      <c r="E619">
        <v>741.33617099999992</v>
      </c>
      <c r="F619">
        <v>581</v>
      </c>
      <c r="G619" t="s">
        <v>1236</v>
      </c>
      <c r="H619" t="s">
        <v>18</v>
      </c>
    </row>
    <row r="620" spans="1:8" x14ac:dyDescent="0.2">
      <c r="A620" t="s">
        <v>557</v>
      </c>
      <c r="B620" t="s">
        <v>1896</v>
      </c>
      <c r="C620" t="s">
        <v>1092</v>
      </c>
      <c r="D620" t="s">
        <v>1126</v>
      </c>
      <c r="E620">
        <v>1369.792234</v>
      </c>
      <c r="F620">
        <v>1061</v>
      </c>
      <c r="G620" t="s">
        <v>1236</v>
      </c>
      <c r="H620" t="s">
        <v>18</v>
      </c>
    </row>
    <row r="621" spans="1:8" x14ac:dyDescent="0.2">
      <c r="A621" t="s">
        <v>557</v>
      </c>
      <c r="B621" t="s">
        <v>1644</v>
      </c>
      <c r="C621" t="s">
        <v>1092</v>
      </c>
      <c r="D621" t="s">
        <v>1126</v>
      </c>
      <c r="E621">
        <v>797.94763699999999</v>
      </c>
      <c r="F621">
        <v>924</v>
      </c>
      <c r="G621" t="s">
        <v>1236</v>
      </c>
      <c r="H621" t="s">
        <v>18</v>
      </c>
    </row>
    <row r="622" spans="1:8" x14ac:dyDescent="0.2">
      <c r="A622" t="s">
        <v>557</v>
      </c>
      <c r="B622" t="s">
        <v>1645</v>
      </c>
      <c r="C622" t="s">
        <v>1092</v>
      </c>
      <c r="D622" t="s">
        <v>1126</v>
      </c>
      <c r="E622">
        <v>905.33400000000006</v>
      </c>
      <c r="F622">
        <v>666</v>
      </c>
      <c r="G622" t="s">
        <v>1236</v>
      </c>
      <c r="H622" t="s">
        <v>18</v>
      </c>
    </row>
    <row r="623" spans="1:8" x14ac:dyDescent="0.2">
      <c r="A623" t="s">
        <v>557</v>
      </c>
      <c r="B623" t="s">
        <v>1646</v>
      </c>
      <c r="C623" t="s">
        <v>1092</v>
      </c>
      <c r="D623" t="s">
        <v>1126</v>
      </c>
      <c r="E623">
        <v>41720.601999999999</v>
      </c>
      <c r="F623">
        <v>24637</v>
      </c>
      <c r="G623" t="s">
        <v>1109</v>
      </c>
      <c r="H623" t="s">
        <v>18</v>
      </c>
    </row>
    <row r="624" spans="1:8" x14ac:dyDescent="0.2">
      <c r="A624" t="s">
        <v>557</v>
      </c>
      <c r="B624" t="s">
        <v>1647</v>
      </c>
      <c r="C624" t="s">
        <v>1092</v>
      </c>
      <c r="D624" t="s">
        <v>1126</v>
      </c>
      <c r="E624">
        <v>437.02699999999999</v>
      </c>
      <c r="F624">
        <v>333</v>
      </c>
      <c r="G624" t="s">
        <v>1236</v>
      </c>
      <c r="H624" t="s">
        <v>18</v>
      </c>
    </row>
    <row r="625" spans="1:8" x14ac:dyDescent="0.2">
      <c r="A625" t="s">
        <v>557</v>
      </c>
      <c r="B625" t="s">
        <v>1897</v>
      </c>
      <c r="C625" t="s">
        <v>1092</v>
      </c>
      <c r="D625" t="s">
        <v>1126</v>
      </c>
      <c r="E625">
        <v>6194.8106349999989</v>
      </c>
      <c r="F625">
        <v>2839</v>
      </c>
      <c r="G625" t="s">
        <v>1236</v>
      </c>
      <c r="H625" t="s">
        <v>18</v>
      </c>
    </row>
    <row r="626" spans="1:8" x14ac:dyDescent="0.2">
      <c r="A626" t="s">
        <v>557</v>
      </c>
      <c r="B626" t="s">
        <v>1898</v>
      </c>
      <c r="C626" t="s">
        <v>1092</v>
      </c>
      <c r="D626" t="s">
        <v>1126</v>
      </c>
      <c r="E626">
        <v>918.43594700000006</v>
      </c>
      <c r="F626">
        <v>712</v>
      </c>
      <c r="G626" t="s">
        <v>1236</v>
      </c>
      <c r="H626" t="s">
        <v>18</v>
      </c>
    </row>
    <row r="627" spans="1:8" x14ac:dyDescent="0.2">
      <c r="A627" t="s">
        <v>557</v>
      </c>
      <c r="B627" t="s">
        <v>1649</v>
      </c>
      <c r="C627" t="s">
        <v>1092</v>
      </c>
      <c r="D627" t="s">
        <v>1126</v>
      </c>
      <c r="E627">
        <v>759.36799999999994</v>
      </c>
      <c r="F627">
        <v>583</v>
      </c>
      <c r="G627" t="s">
        <v>1236</v>
      </c>
      <c r="H627" t="s">
        <v>18</v>
      </c>
    </row>
    <row r="628" spans="1:8" x14ac:dyDescent="0.2">
      <c r="A628" t="s">
        <v>557</v>
      </c>
      <c r="B628" t="s">
        <v>1650</v>
      </c>
      <c r="C628" t="s">
        <v>1092</v>
      </c>
      <c r="D628" t="s">
        <v>1126</v>
      </c>
      <c r="E628">
        <v>789.35299999999995</v>
      </c>
      <c r="F628">
        <v>618</v>
      </c>
      <c r="G628" t="s">
        <v>1236</v>
      </c>
      <c r="H628" t="s">
        <v>18</v>
      </c>
    </row>
    <row r="629" spans="1:8" x14ac:dyDescent="0.2">
      <c r="A629" t="s">
        <v>557</v>
      </c>
      <c r="B629" t="s">
        <v>1651</v>
      </c>
      <c r="C629" t="s">
        <v>1092</v>
      </c>
      <c r="D629" t="s">
        <v>1126</v>
      </c>
      <c r="E629">
        <v>328.20299999999997</v>
      </c>
      <c r="F629">
        <v>405</v>
      </c>
      <c r="G629" t="s">
        <v>1236</v>
      </c>
      <c r="H629" t="s">
        <v>18</v>
      </c>
    </row>
    <row r="630" spans="1:8" x14ac:dyDescent="0.2">
      <c r="A630" t="s">
        <v>557</v>
      </c>
      <c r="B630" t="s">
        <v>1652</v>
      </c>
      <c r="C630" t="s">
        <v>1092</v>
      </c>
      <c r="D630" t="s">
        <v>1126</v>
      </c>
      <c r="E630">
        <v>2172.88</v>
      </c>
      <c r="F630">
        <v>1268</v>
      </c>
      <c r="G630" t="s">
        <v>1236</v>
      </c>
      <c r="H630" t="s">
        <v>18</v>
      </c>
    </row>
    <row r="631" spans="1:8" x14ac:dyDescent="0.2">
      <c r="A631" t="s">
        <v>557</v>
      </c>
      <c r="B631" t="s">
        <v>1653</v>
      </c>
      <c r="C631" t="s">
        <v>1092</v>
      </c>
      <c r="D631" t="s">
        <v>1126</v>
      </c>
      <c r="E631">
        <v>2487.721</v>
      </c>
      <c r="F631">
        <v>1078</v>
      </c>
      <c r="G631" t="s">
        <v>1236</v>
      </c>
      <c r="H631" t="s">
        <v>18</v>
      </c>
    </row>
    <row r="632" spans="1:8" x14ac:dyDescent="0.2">
      <c r="A632" t="s">
        <v>557</v>
      </c>
      <c r="B632" t="s">
        <v>1899</v>
      </c>
      <c r="C632" t="s">
        <v>1092</v>
      </c>
      <c r="D632" t="s">
        <v>1126</v>
      </c>
      <c r="E632">
        <v>463.33500000000004</v>
      </c>
      <c r="F632">
        <v>346</v>
      </c>
      <c r="G632" t="s">
        <v>1236</v>
      </c>
      <c r="H632" t="s">
        <v>18</v>
      </c>
    </row>
    <row r="633" spans="1:8" x14ac:dyDescent="0.2">
      <c r="A633" t="s">
        <v>557</v>
      </c>
      <c r="B633" t="s">
        <v>1654</v>
      </c>
      <c r="C633" t="s">
        <v>1092</v>
      </c>
      <c r="D633" t="s">
        <v>1126</v>
      </c>
      <c r="E633">
        <v>4.1536860000000004</v>
      </c>
      <c r="F633">
        <v>149</v>
      </c>
      <c r="G633" t="s">
        <v>1109</v>
      </c>
      <c r="H633" t="s">
        <v>18</v>
      </c>
    </row>
    <row r="634" spans="1:8" x14ac:dyDescent="0.2">
      <c r="A634" t="s">
        <v>557</v>
      </c>
      <c r="B634" t="s">
        <v>1655</v>
      </c>
      <c r="C634" t="s">
        <v>1092</v>
      </c>
      <c r="D634" t="s">
        <v>1126</v>
      </c>
      <c r="E634">
        <v>968.42700000000002</v>
      </c>
      <c r="F634">
        <v>637</v>
      </c>
      <c r="G634" t="s">
        <v>1236</v>
      </c>
      <c r="H634" t="s">
        <v>18</v>
      </c>
    </row>
    <row r="635" spans="1:8" x14ac:dyDescent="0.2">
      <c r="A635" t="s">
        <v>557</v>
      </c>
      <c r="B635" t="s">
        <v>1656</v>
      </c>
      <c r="C635" t="s">
        <v>1092</v>
      </c>
      <c r="D635" t="s">
        <v>1126</v>
      </c>
      <c r="E635">
        <v>526.375</v>
      </c>
      <c r="F635">
        <v>392</v>
      </c>
      <c r="G635" t="s">
        <v>1236</v>
      </c>
      <c r="H635" t="s">
        <v>18</v>
      </c>
    </row>
    <row r="636" spans="1:8" x14ac:dyDescent="0.2">
      <c r="A636" t="s">
        <v>557</v>
      </c>
      <c r="B636" t="s">
        <v>1900</v>
      </c>
      <c r="C636" t="s">
        <v>1092</v>
      </c>
      <c r="D636" t="s">
        <v>1126</v>
      </c>
      <c r="E636">
        <v>313.78100000000001</v>
      </c>
      <c r="F636">
        <v>379</v>
      </c>
      <c r="G636" t="s">
        <v>1236</v>
      </c>
      <c r="H636" t="s">
        <v>18</v>
      </c>
    </row>
    <row r="637" spans="1:8" x14ac:dyDescent="0.2">
      <c r="A637" t="s">
        <v>557</v>
      </c>
      <c r="B637" t="s">
        <v>1658</v>
      </c>
      <c r="C637" t="s">
        <v>1092</v>
      </c>
      <c r="D637" t="s">
        <v>1126</v>
      </c>
      <c r="E637">
        <v>552.75099999999998</v>
      </c>
      <c r="F637">
        <v>411</v>
      </c>
      <c r="G637" t="s">
        <v>1236</v>
      </c>
      <c r="H637" t="s">
        <v>18</v>
      </c>
    </row>
    <row r="638" spans="1:8" x14ac:dyDescent="0.2">
      <c r="A638" t="s">
        <v>557</v>
      </c>
      <c r="B638" t="s">
        <v>1659</v>
      </c>
      <c r="C638" t="s">
        <v>1092</v>
      </c>
      <c r="D638" t="s">
        <v>1126</v>
      </c>
      <c r="E638">
        <v>5105.0834839999998</v>
      </c>
      <c r="F638">
        <v>3775</v>
      </c>
      <c r="G638" t="s">
        <v>1236</v>
      </c>
      <c r="H638" t="s">
        <v>18</v>
      </c>
    </row>
    <row r="639" spans="1:8" x14ac:dyDescent="0.2">
      <c r="A639" t="s">
        <v>557</v>
      </c>
      <c r="B639" t="s">
        <v>1901</v>
      </c>
      <c r="C639" t="s">
        <v>1092</v>
      </c>
      <c r="D639" t="s">
        <v>1126</v>
      </c>
      <c r="E639">
        <v>2247.7239999999997</v>
      </c>
      <c r="F639">
        <v>1188</v>
      </c>
      <c r="G639" t="s">
        <v>1236</v>
      </c>
      <c r="H639" t="s">
        <v>18</v>
      </c>
    </row>
    <row r="640" spans="1:8" x14ac:dyDescent="0.2">
      <c r="A640" t="s">
        <v>557</v>
      </c>
      <c r="B640" t="s">
        <v>1661</v>
      </c>
      <c r="C640" t="s">
        <v>1092</v>
      </c>
      <c r="D640" t="s">
        <v>1126</v>
      </c>
      <c r="E640">
        <v>696.64</v>
      </c>
      <c r="F640">
        <v>554</v>
      </c>
      <c r="G640" t="s">
        <v>1236</v>
      </c>
      <c r="H640" t="s">
        <v>18</v>
      </c>
    </row>
    <row r="641" spans="1:8" x14ac:dyDescent="0.2">
      <c r="A641" t="s">
        <v>557</v>
      </c>
      <c r="B641" t="s">
        <v>1662</v>
      </c>
      <c r="C641" t="s">
        <v>1092</v>
      </c>
      <c r="D641" t="s">
        <v>1126</v>
      </c>
      <c r="E641">
        <v>1041.192</v>
      </c>
      <c r="F641">
        <v>869</v>
      </c>
      <c r="G641" t="s">
        <v>1236</v>
      </c>
      <c r="H641" t="s">
        <v>18</v>
      </c>
    </row>
    <row r="642" spans="1:8" x14ac:dyDescent="0.2">
      <c r="A642" t="s">
        <v>557</v>
      </c>
      <c r="B642" t="s">
        <v>1663</v>
      </c>
      <c r="C642" t="s">
        <v>1092</v>
      </c>
      <c r="D642" t="s">
        <v>1126</v>
      </c>
      <c r="E642">
        <v>278.95499999999998</v>
      </c>
      <c r="F642">
        <v>270</v>
      </c>
      <c r="G642" t="s">
        <v>1236</v>
      </c>
      <c r="H642" t="s">
        <v>18</v>
      </c>
    </row>
    <row r="643" spans="1:8" x14ac:dyDescent="0.2">
      <c r="A643" t="s">
        <v>557</v>
      </c>
      <c r="B643" t="s">
        <v>1664</v>
      </c>
      <c r="C643" t="s">
        <v>1092</v>
      </c>
      <c r="D643" t="s">
        <v>1126</v>
      </c>
      <c r="E643">
        <v>851.70799999999997</v>
      </c>
      <c r="F643">
        <v>598</v>
      </c>
      <c r="G643" t="s">
        <v>1236</v>
      </c>
      <c r="H643" t="s">
        <v>18</v>
      </c>
    </row>
    <row r="644" spans="1:8" x14ac:dyDescent="0.2">
      <c r="A644" t="s">
        <v>557</v>
      </c>
      <c r="B644" t="s">
        <v>1665</v>
      </c>
      <c r="C644" t="s">
        <v>1092</v>
      </c>
      <c r="D644" t="s">
        <v>1126</v>
      </c>
      <c r="E644">
        <v>708.298</v>
      </c>
      <c r="F644">
        <v>556</v>
      </c>
      <c r="G644" t="s">
        <v>1236</v>
      </c>
      <c r="H644" t="s">
        <v>18</v>
      </c>
    </row>
    <row r="645" spans="1:8" x14ac:dyDescent="0.2">
      <c r="A645" t="s">
        <v>557</v>
      </c>
      <c r="B645" t="s">
        <v>1666</v>
      </c>
      <c r="C645" t="s">
        <v>1092</v>
      </c>
      <c r="D645" t="s">
        <v>1126</v>
      </c>
      <c r="E645">
        <v>3097.0907199999997</v>
      </c>
      <c r="F645">
        <v>2283</v>
      </c>
      <c r="G645" t="s">
        <v>1236</v>
      </c>
      <c r="H645" t="s">
        <v>18</v>
      </c>
    </row>
    <row r="646" spans="1:8" x14ac:dyDescent="0.2">
      <c r="A646" t="s">
        <v>557</v>
      </c>
      <c r="B646" t="s">
        <v>1902</v>
      </c>
      <c r="C646" t="s">
        <v>1092</v>
      </c>
      <c r="D646" t="s">
        <v>1126</v>
      </c>
      <c r="E646">
        <v>1141.242</v>
      </c>
      <c r="F646">
        <v>669</v>
      </c>
      <c r="G646" t="s">
        <v>1236</v>
      </c>
      <c r="H646" t="s">
        <v>18</v>
      </c>
    </row>
    <row r="647" spans="1:8" x14ac:dyDescent="0.2">
      <c r="A647" t="s">
        <v>557</v>
      </c>
      <c r="B647" t="s">
        <v>1903</v>
      </c>
      <c r="C647" t="s">
        <v>1092</v>
      </c>
      <c r="D647" t="s">
        <v>1126</v>
      </c>
      <c r="E647">
        <v>22863.445</v>
      </c>
      <c r="F647">
        <v>11259</v>
      </c>
      <c r="G647" t="s">
        <v>1109</v>
      </c>
      <c r="H647" t="s">
        <v>18</v>
      </c>
    </row>
    <row r="648" spans="1:8" x14ac:dyDescent="0.2">
      <c r="A648" t="s">
        <v>557</v>
      </c>
      <c r="B648" t="s">
        <v>1669</v>
      </c>
      <c r="C648" t="s">
        <v>1092</v>
      </c>
      <c r="D648" t="s">
        <v>1126</v>
      </c>
      <c r="E648">
        <v>440.11</v>
      </c>
      <c r="F648">
        <v>422</v>
      </c>
      <c r="G648" t="s">
        <v>1236</v>
      </c>
      <c r="H648" t="s">
        <v>18</v>
      </c>
    </row>
    <row r="649" spans="1:8" x14ac:dyDescent="0.2">
      <c r="A649" t="s">
        <v>557</v>
      </c>
      <c r="B649" t="s">
        <v>1670</v>
      </c>
      <c r="C649" t="s">
        <v>1092</v>
      </c>
      <c r="D649" t="s">
        <v>1126</v>
      </c>
      <c r="E649">
        <v>662.72699999999998</v>
      </c>
      <c r="F649">
        <v>604</v>
      </c>
      <c r="G649" t="s">
        <v>1236</v>
      </c>
      <c r="H649" t="s">
        <v>18</v>
      </c>
    </row>
    <row r="650" spans="1:8" x14ac:dyDescent="0.2">
      <c r="A650" t="s">
        <v>557</v>
      </c>
      <c r="B650" t="s">
        <v>1671</v>
      </c>
      <c r="C650" t="s">
        <v>1092</v>
      </c>
      <c r="D650" t="s">
        <v>1126</v>
      </c>
      <c r="E650">
        <v>519.97500500000001</v>
      </c>
      <c r="F650">
        <v>759</v>
      </c>
      <c r="G650" t="s">
        <v>1236</v>
      </c>
      <c r="H650" t="s">
        <v>18</v>
      </c>
    </row>
    <row r="651" spans="1:8" x14ac:dyDescent="0.2">
      <c r="A651" t="s">
        <v>557</v>
      </c>
      <c r="B651" t="s">
        <v>1672</v>
      </c>
      <c r="C651" t="s">
        <v>1092</v>
      </c>
      <c r="D651" t="s">
        <v>1126</v>
      </c>
      <c r="E651">
        <v>920.82100000000003</v>
      </c>
      <c r="F651">
        <v>604</v>
      </c>
      <c r="G651" t="s">
        <v>1236</v>
      </c>
      <c r="H651" t="s">
        <v>18</v>
      </c>
    </row>
    <row r="652" spans="1:8" x14ac:dyDescent="0.2">
      <c r="A652" t="s">
        <v>557</v>
      </c>
      <c r="B652" t="s">
        <v>1904</v>
      </c>
      <c r="C652" t="s">
        <v>1092</v>
      </c>
      <c r="D652" t="s">
        <v>1126</v>
      </c>
      <c r="E652">
        <v>227.64999999999998</v>
      </c>
      <c r="F652">
        <v>341</v>
      </c>
      <c r="G652" t="s">
        <v>1236</v>
      </c>
      <c r="H652" t="s">
        <v>18</v>
      </c>
    </row>
    <row r="653" spans="1:8" x14ac:dyDescent="0.2">
      <c r="A653" t="s">
        <v>557</v>
      </c>
      <c r="B653" t="s">
        <v>1673</v>
      </c>
      <c r="C653" t="s">
        <v>1092</v>
      </c>
      <c r="D653" t="s">
        <v>1126</v>
      </c>
      <c r="E653">
        <v>954.83899999999994</v>
      </c>
      <c r="F653">
        <v>624</v>
      </c>
      <c r="G653" t="s">
        <v>1236</v>
      </c>
      <c r="H653" t="s">
        <v>18</v>
      </c>
    </row>
    <row r="654" spans="1:8" x14ac:dyDescent="0.2">
      <c r="A654" t="s">
        <v>557</v>
      </c>
      <c r="B654" t="s">
        <v>1674</v>
      </c>
      <c r="C654" t="s">
        <v>1092</v>
      </c>
      <c r="D654" t="s">
        <v>1126</v>
      </c>
      <c r="E654">
        <v>499.85599999999999</v>
      </c>
      <c r="F654">
        <v>372</v>
      </c>
      <c r="G654" t="s">
        <v>1236</v>
      </c>
      <c r="H654" t="s">
        <v>18</v>
      </c>
    </row>
    <row r="655" spans="1:8" x14ac:dyDescent="0.2">
      <c r="A655" t="s">
        <v>557</v>
      </c>
      <c r="B655" t="s">
        <v>1675</v>
      </c>
      <c r="C655" t="s">
        <v>1092</v>
      </c>
      <c r="D655" t="s">
        <v>1126</v>
      </c>
      <c r="E655">
        <v>866.87300000000005</v>
      </c>
      <c r="F655">
        <v>661</v>
      </c>
      <c r="G655" t="s">
        <v>1236</v>
      </c>
      <c r="H655" t="s">
        <v>18</v>
      </c>
    </row>
    <row r="656" spans="1:8" x14ac:dyDescent="0.2">
      <c r="A656" t="s">
        <v>557</v>
      </c>
      <c r="B656" t="s">
        <v>1676</v>
      </c>
      <c r="C656" t="s">
        <v>1092</v>
      </c>
      <c r="D656" t="s">
        <v>1126</v>
      </c>
      <c r="E656">
        <v>867.327</v>
      </c>
      <c r="F656">
        <v>805</v>
      </c>
      <c r="G656" t="s">
        <v>1236</v>
      </c>
      <c r="H656" t="s">
        <v>18</v>
      </c>
    </row>
    <row r="657" spans="1:8" x14ac:dyDescent="0.2">
      <c r="A657" t="s">
        <v>557</v>
      </c>
      <c r="B657" t="s">
        <v>1677</v>
      </c>
      <c r="C657" t="s">
        <v>1092</v>
      </c>
      <c r="D657" t="s">
        <v>1126</v>
      </c>
      <c r="E657">
        <v>1759.905</v>
      </c>
      <c r="F657">
        <v>1301</v>
      </c>
      <c r="G657" t="s">
        <v>1236</v>
      </c>
      <c r="H657" t="s">
        <v>18</v>
      </c>
    </row>
    <row r="658" spans="1:8" x14ac:dyDescent="0.2">
      <c r="A658" t="s">
        <v>557</v>
      </c>
      <c r="B658" t="s">
        <v>1678</v>
      </c>
      <c r="C658" t="s">
        <v>1092</v>
      </c>
      <c r="D658" t="s">
        <v>1126</v>
      </c>
      <c r="E658">
        <v>3768.1089999999999</v>
      </c>
      <c r="F658">
        <v>2728</v>
      </c>
      <c r="G658" t="s">
        <v>1236</v>
      </c>
      <c r="H658" t="s">
        <v>18</v>
      </c>
    </row>
    <row r="659" spans="1:8" x14ac:dyDescent="0.2">
      <c r="A659" t="s">
        <v>557</v>
      </c>
      <c r="B659" t="s">
        <v>1905</v>
      </c>
      <c r="C659" t="s">
        <v>1092</v>
      </c>
      <c r="D659" t="s">
        <v>1126</v>
      </c>
      <c r="E659">
        <v>859.33017699999994</v>
      </c>
      <c r="F659">
        <v>684</v>
      </c>
      <c r="G659" t="s">
        <v>1236</v>
      </c>
      <c r="H659" t="s">
        <v>18</v>
      </c>
    </row>
    <row r="660" spans="1:8" x14ac:dyDescent="0.2">
      <c r="A660" t="s">
        <v>557</v>
      </c>
      <c r="B660" t="s">
        <v>1679</v>
      </c>
      <c r="C660" t="s">
        <v>1092</v>
      </c>
      <c r="D660" t="s">
        <v>1126</v>
      </c>
      <c r="E660">
        <v>539.38699999999994</v>
      </c>
      <c r="F660">
        <v>465</v>
      </c>
      <c r="G660" t="s">
        <v>1236</v>
      </c>
      <c r="H660" t="s">
        <v>18</v>
      </c>
    </row>
    <row r="661" spans="1:8" x14ac:dyDescent="0.2">
      <c r="A661" t="s">
        <v>557</v>
      </c>
      <c r="B661" t="s">
        <v>1680</v>
      </c>
      <c r="C661" t="s">
        <v>1092</v>
      </c>
      <c r="D661" t="s">
        <v>1126</v>
      </c>
      <c r="E661">
        <v>848.46499999999992</v>
      </c>
      <c r="F661">
        <v>616</v>
      </c>
      <c r="G661" t="s">
        <v>1236</v>
      </c>
      <c r="H661" t="s">
        <v>18</v>
      </c>
    </row>
    <row r="662" spans="1:8" x14ac:dyDescent="0.2">
      <c r="A662" t="s">
        <v>557</v>
      </c>
      <c r="B662" t="s">
        <v>1681</v>
      </c>
      <c r="C662" t="s">
        <v>1092</v>
      </c>
      <c r="D662" t="s">
        <v>1126</v>
      </c>
      <c r="E662">
        <v>3006.8760000000002</v>
      </c>
      <c r="F662">
        <v>2182</v>
      </c>
      <c r="G662" t="s">
        <v>1236</v>
      </c>
      <c r="H662" t="s">
        <v>18</v>
      </c>
    </row>
    <row r="663" spans="1:8" x14ac:dyDescent="0.2">
      <c r="A663" t="s">
        <v>557</v>
      </c>
      <c r="B663" t="s">
        <v>1682</v>
      </c>
      <c r="C663" t="s">
        <v>1092</v>
      </c>
      <c r="D663" t="s">
        <v>1126</v>
      </c>
      <c r="E663">
        <v>617.20100000000002</v>
      </c>
      <c r="F663">
        <v>470</v>
      </c>
      <c r="G663" t="s">
        <v>1236</v>
      </c>
      <c r="H663" t="s">
        <v>18</v>
      </c>
    </row>
    <row r="664" spans="1:8" x14ac:dyDescent="0.2">
      <c r="A664" t="s">
        <v>557</v>
      </c>
      <c r="B664" t="s">
        <v>1683</v>
      </c>
      <c r="C664" t="s">
        <v>1092</v>
      </c>
      <c r="D664" t="s">
        <v>1126</v>
      </c>
      <c r="E664">
        <v>221.12400000000002</v>
      </c>
      <c r="F664">
        <v>262</v>
      </c>
      <c r="G664" t="s">
        <v>1236</v>
      </c>
      <c r="H664" t="s">
        <v>18</v>
      </c>
    </row>
    <row r="665" spans="1:8" x14ac:dyDescent="0.2">
      <c r="A665" t="s">
        <v>557</v>
      </c>
      <c r="B665" t="s">
        <v>1684</v>
      </c>
      <c r="C665" t="s">
        <v>1092</v>
      </c>
      <c r="D665" t="s">
        <v>1126</v>
      </c>
      <c r="E665">
        <v>11.25</v>
      </c>
      <c r="F665">
        <v>19</v>
      </c>
      <c r="G665" t="s">
        <v>1236</v>
      </c>
      <c r="H665" t="s">
        <v>18</v>
      </c>
    </row>
    <row r="666" spans="1:8" x14ac:dyDescent="0.2">
      <c r="A666" t="s">
        <v>557</v>
      </c>
      <c r="B666" t="s">
        <v>1685</v>
      </c>
      <c r="C666" t="s">
        <v>1092</v>
      </c>
      <c r="D666" t="s">
        <v>1126</v>
      </c>
      <c r="E666">
        <v>704.12199999999996</v>
      </c>
      <c r="F666">
        <v>616</v>
      </c>
      <c r="G666" t="s">
        <v>1236</v>
      </c>
      <c r="H666" t="s">
        <v>18</v>
      </c>
    </row>
    <row r="667" spans="1:8" x14ac:dyDescent="0.2">
      <c r="A667" t="s">
        <v>557</v>
      </c>
      <c r="B667" t="s">
        <v>1686</v>
      </c>
      <c r="C667" t="s">
        <v>1092</v>
      </c>
      <c r="D667" t="s">
        <v>1126</v>
      </c>
      <c r="E667">
        <v>1118.2730000000001</v>
      </c>
      <c r="F667">
        <v>869</v>
      </c>
      <c r="G667" t="s">
        <v>1236</v>
      </c>
      <c r="H667" t="s">
        <v>18</v>
      </c>
    </row>
    <row r="668" spans="1:8" x14ac:dyDescent="0.2">
      <c r="A668" t="s">
        <v>557</v>
      </c>
      <c r="B668" t="s">
        <v>1687</v>
      </c>
      <c r="C668" t="s">
        <v>1092</v>
      </c>
      <c r="D668" t="s">
        <v>1126</v>
      </c>
      <c r="E668">
        <v>889.05700000000002</v>
      </c>
      <c r="F668">
        <v>726</v>
      </c>
      <c r="G668" t="s">
        <v>1236</v>
      </c>
      <c r="H668" t="s">
        <v>18</v>
      </c>
    </row>
    <row r="669" spans="1:8" x14ac:dyDescent="0.2">
      <c r="A669" t="s">
        <v>557</v>
      </c>
      <c r="B669" t="s">
        <v>1906</v>
      </c>
      <c r="C669" t="s">
        <v>1092</v>
      </c>
      <c r="D669" t="s">
        <v>1126</v>
      </c>
      <c r="E669">
        <v>2139.8360000000002</v>
      </c>
      <c r="F669">
        <v>1287</v>
      </c>
      <c r="G669" t="s">
        <v>1236</v>
      </c>
      <c r="H669" t="s">
        <v>18</v>
      </c>
    </row>
    <row r="670" spans="1:8" x14ac:dyDescent="0.2">
      <c r="A670" t="s">
        <v>557</v>
      </c>
      <c r="B670" t="s">
        <v>1099</v>
      </c>
      <c r="C670" t="s">
        <v>1100</v>
      </c>
      <c r="D670" t="s">
        <v>35</v>
      </c>
      <c r="E670">
        <v>123801.69235600003</v>
      </c>
      <c r="F670">
        <v>78131</v>
      </c>
      <c r="G670" t="s">
        <v>35</v>
      </c>
      <c r="H670" t="s">
        <v>18</v>
      </c>
    </row>
    <row r="671" spans="1:8" x14ac:dyDescent="0.2">
      <c r="A671" t="s">
        <v>51</v>
      </c>
      <c r="B671" t="s">
        <v>1539</v>
      </c>
      <c r="C671" t="s">
        <v>1092</v>
      </c>
      <c r="D671" t="s">
        <v>1126</v>
      </c>
      <c r="E671">
        <v>284541.56</v>
      </c>
      <c r="F671">
        <v>171726</v>
      </c>
      <c r="G671" t="s">
        <v>1109</v>
      </c>
      <c r="H671" t="s">
        <v>18</v>
      </c>
    </row>
    <row r="672" spans="1:8" x14ac:dyDescent="0.2">
      <c r="A672" t="s">
        <v>51</v>
      </c>
      <c r="B672" t="s">
        <v>1540</v>
      </c>
      <c r="C672" t="s">
        <v>1092</v>
      </c>
      <c r="D672" t="s">
        <v>1126</v>
      </c>
      <c r="E672">
        <v>602118.22499999998</v>
      </c>
      <c r="F672">
        <v>314132</v>
      </c>
      <c r="G672" t="s">
        <v>1109</v>
      </c>
      <c r="H672" t="s">
        <v>18</v>
      </c>
    </row>
    <row r="673" spans="1:8" x14ac:dyDescent="0.2">
      <c r="A673" t="s">
        <v>51</v>
      </c>
      <c r="B673" t="s">
        <v>1541</v>
      </c>
      <c r="C673" t="s">
        <v>1092</v>
      </c>
      <c r="D673" t="s">
        <v>1126</v>
      </c>
      <c r="E673">
        <v>334007.174</v>
      </c>
      <c r="F673">
        <v>176231</v>
      </c>
      <c r="G673" t="s">
        <v>1109</v>
      </c>
      <c r="H673" t="s">
        <v>18</v>
      </c>
    </row>
    <row r="674" spans="1:8" x14ac:dyDescent="0.2">
      <c r="A674" t="s">
        <v>51</v>
      </c>
      <c r="B674" t="s">
        <v>1542</v>
      </c>
      <c r="C674" t="s">
        <v>1092</v>
      </c>
      <c r="D674" t="s">
        <v>1126</v>
      </c>
      <c r="E674">
        <v>517979.79599999997</v>
      </c>
      <c r="F674">
        <v>306564</v>
      </c>
      <c r="G674" t="s">
        <v>1109</v>
      </c>
      <c r="H674" t="s">
        <v>18</v>
      </c>
    </row>
    <row r="675" spans="1:8" x14ac:dyDescent="0.2">
      <c r="A675" t="s">
        <v>51</v>
      </c>
      <c r="B675" t="s">
        <v>1099</v>
      </c>
      <c r="C675" t="s">
        <v>1100</v>
      </c>
      <c r="D675" t="s">
        <v>35</v>
      </c>
      <c r="E675">
        <v>1738646.7549999999</v>
      </c>
      <c r="F675">
        <v>968653</v>
      </c>
      <c r="G675" t="s">
        <v>35</v>
      </c>
      <c r="H675" t="s">
        <v>18</v>
      </c>
    </row>
    <row r="676" spans="1:8" x14ac:dyDescent="0.2">
      <c r="A676" t="s">
        <v>1690</v>
      </c>
      <c r="B676" t="s">
        <v>1691</v>
      </c>
      <c r="C676" t="s">
        <v>1092</v>
      </c>
      <c r="D676" t="s">
        <v>1061</v>
      </c>
      <c r="E676">
        <v>187879.88180000003</v>
      </c>
      <c r="F676">
        <v>27</v>
      </c>
      <c r="G676" t="s">
        <v>1103</v>
      </c>
      <c r="H676" t="s">
        <v>18</v>
      </c>
    </row>
    <row r="677" spans="1:8" x14ac:dyDescent="0.2">
      <c r="A677" t="s">
        <v>1690</v>
      </c>
      <c r="B677" t="s">
        <v>1099</v>
      </c>
      <c r="C677" t="s">
        <v>1100</v>
      </c>
      <c r="D677" t="s">
        <v>35</v>
      </c>
      <c r="E677">
        <v>187879.88180000003</v>
      </c>
      <c r="F677">
        <v>27</v>
      </c>
      <c r="G677" t="s">
        <v>35</v>
      </c>
      <c r="H677" t="s">
        <v>18</v>
      </c>
    </row>
    <row r="678" spans="1:8" x14ac:dyDescent="0.2">
      <c r="A678" t="s">
        <v>1692</v>
      </c>
      <c r="B678" t="s">
        <v>1693</v>
      </c>
      <c r="C678" t="s">
        <v>1092</v>
      </c>
      <c r="D678" t="s">
        <v>1058</v>
      </c>
      <c r="E678">
        <v>417571.3</v>
      </c>
      <c r="F678">
        <v>113</v>
      </c>
      <c r="G678" t="s">
        <v>1103</v>
      </c>
      <c r="H678" t="s">
        <v>18</v>
      </c>
    </row>
    <row r="679" spans="1:8" x14ac:dyDescent="0.2">
      <c r="A679" t="s">
        <v>1692</v>
      </c>
      <c r="B679" t="s">
        <v>1099</v>
      </c>
      <c r="C679" t="s">
        <v>1100</v>
      </c>
      <c r="D679" t="s">
        <v>35</v>
      </c>
      <c r="E679">
        <v>417571.3</v>
      </c>
      <c r="F679">
        <v>113</v>
      </c>
      <c r="G679" t="s">
        <v>35</v>
      </c>
      <c r="H679" t="s">
        <v>18</v>
      </c>
    </row>
    <row r="680" spans="1:8" x14ac:dyDescent="0.2">
      <c r="A680" t="s">
        <v>57</v>
      </c>
      <c r="B680" t="s">
        <v>1696</v>
      </c>
      <c r="C680" t="s">
        <v>1092</v>
      </c>
      <c r="D680" t="s">
        <v>1058</v>
      </c>
      <c r="E680">
        <v>145277.80839600001</v>
      </c>
      <c r="F680">
        <v>82832</v>
      </c>
      <c r="G680" t="s">
        <v>1144</v>
      </c>
      <c r="H680" t="s">
        <v>18</v>
      </c>
    </row>
    <row r="681" spans="1:8" x14ac:dyDescent="0.2">
      <c r="A681" t="s">
        <v>57</v>
      </c>
      <c r="B681" t="s">
        <v>1099</v>
      </c>
      <c r="C681" t="s">
        <v>1100</v>
      </c>
      <c r="D681" t="s">
        <v>35</v>
      </c>
      <c r="E681">
        <v>145277.80839600001</v>
      </c>
      <c r="F681">
        <v>82832</v>
      </c>
      <c r="G681" t="s">
        <v>35</v>
      </c>
      <c r="H681" t="s">
        <v>18</v>
      </c>
    </row>
    <row r="682" spans="1:8" x14ac:dyDescent="0.2">
      <c r="A682" t="s">
        <v>1697</v>
      </c>
      <c r="B682" t="s">
        <v>1698</v>
      </c>
      <c r="C682" t="s">
        <v>1092</v>
      </c>
      <c r="D682" t="s">
        <v>1058</v>
      </c>
      <c r="E682">
        <v>160059.07446</v>
      </c>
      <c r="F682">
        <v>21</v>
      </c>
      <c r="G682" t="s">
        <v>1103</v>
      </c>
      <c r="H682" t="s">
        <v>18</v>
      </c>
    </row>
    <row r="683" spans="1:8" x14ac:dyDescent="0.2">
      <c r="A683" t="s">
        <v>1697</v>
      </c>
      <c r="B683" t="s">
        <v>1099</v>
      </c>
      <c r="C683" t="s">
        <v>1100</v>
      </c>
      <c r="D683" t="s">
        <v>35</v>
      </c>
      <c r="E683">
        <v>160059.07446</v>
      </c>
      <c r="F683">
        <v>21</v>
      </c>
      <c r="G683" t="s">
        <v>35</v>
      </c>
      <c r="H683" t="s">
        <v>18</v>
      </c>
    </row>
    <row r="684" spans="1:8" x14ac:dyDescent="0.2">
      <c r="A684" t="s">
        <v>53</v>
      </c>
      <c r="B684" t="s">
        <v>1706</v>
      </c>
      <c r="C684" t="s">
        <v>1092</v>
      </c>
      <c r="D684" t="s">
        <v>1058</v>
      </c>
      <c r="E684">
        <v>6209330.0159999998</v>
      </c>
      <c r="F684">
        <v>6095875</v>
      </c>
      <c r="G684" t="s">
        <v>1111</v>
      </c>
      <c r="H684" t="s">
        <v>18</v>
      </c>
    </row>
    <row r="685" spans="1:8" x14ac:dyDescent="0.2">
      <c r="A685" t="s">
        <v>53</v>
      </c>
      <c r="B685" t="s">
        <v>1099</v>
      </c>
      <c r="C685" t="s">
        <v>1100</v>
      </c>
      <c r="D685" t="s">
        <v>35</v>
      </c>
      <c r="E685">
        <v>6209330.0159999998</v>
      </c>
      <c r="F685">
        <v>6095875</v>
      </c>
      <c r="G685" t="s">
        <v>35</v>
      </c>
      <c r="H685" t="s">
        <v>18</v>
      </c>
    </row>
    <row r="686" spans="1:8" x14ac:dyDescent="0.2">
      <c r="A686" t="s">
        <v>87</v>
      </c>
      <c r="B686" t="s">
        <v>1907</v>
      </c>
      <c r="C686" t="s">
        <v>1092</v>
      </c>
      <c r="D686" t="s">
        <v>1096</v>
      </c>
      <c r="E686">
        <v>0</v>
      </c>
      <c r="F686">
        <v>59</v>
      </c>
      <c r="G686" t="s">
        <v>1191</v>
      </c>
      <c r="H686" t="s">
        <v>18</v>
      </c>
    </row>
    <row r="687" spans="1:8" x14ac:dyDescent="0.2">
      <c r="A687" t="s">
        <v>87</v>
      </c>
      <c r="B687" t="s">
        <v>1707</v>
      </c>
      <c r="C687" t="s">
        <v>1092</v>
      </c>
      <c r="D687" t="s">
        <v>1061</v>
      </c>
      <c r="E687">
        <v>241984.38198999999</v>
      </c>
      <c r="F687">
        <v>142</v>
      </c>
      <c r="G687" t="s">
        <v>1103</v>
      </c>
      <c r="H687" t="s">
        <v>18</v>
      </c>
    </row>
    <row r="688" spans="1:8" x14ac:dyDescent="0.2">
      <c r="A688" t="s">
        <v>87</v>
      </c>
      <c r="B688" t="s">
        <v>1708</v>
      </c>
      <c r="C688" t="s">
        <v>1092</v>
      </c>
      <c r="D688" t="s">
        <v>1126</v>
      </c>
      <c r="E688">
        <v>154650.75</v>
      </c>
      <c r="F688">
        <v>98086</v>
      </c>
      <c r="G688" t="s">
        <v>1109</v>
      </c>
      <c r="H688" t="s">
        <v>18</v>
      </c>
    </row>
    <row r="689" spans="1:8" x14ac:dyDescent="0.2">
      <c r="A689" t="s">
        <v>87</v>
      </c>
      <c r="B689" t="s">
        <v>1709</v>
      </c>
      <c r="C689" t="s">
        <v>1092</v>
      </c>
      <c r="D689" t="s">
        <v>1061</v>
      </c>
      <c r="E689">
        <v>74484.800000000003</v>
      </c>
      <c r="F689">
        <v>51225</v>
      </c>
      <c r="G689" t="s">
        <v>1109</v>
      </c>
      <c r="H689" t="s">
        <v>18</v>
      </c>
    </row>
    <row r="690" spans="1:8" x14ac:dyDescent="0.2">
      <c r="A690" t="s">
        <v>87</v>
      </c>
      <c r="B690" t="s">
        <v>1099</v>
      </c>
      <c r="C690" t="s">
        <v>1100</v>
      </c>
      <c r="D690" t="s">
        <v>35</v>
      </c>
      <c r="E690">
        <v>471119.93199000001</v>
      </c>
      <c r="F690">
        <v>149512</v>
      </c>
      <c r="G690" t="s">
        <v>35</v>
      </c>
      <c r="H690" t="s">
        <v>18</v>
      </c>
    </row>
    <row r="691" spans="1:8" x14ac:dyDescent="0.2">
      <c r="A691" t="s">
        <v>1710</v>
      </c>
      <c r="B691" t="s">
        <v>1908</v>
      </c>
      <c r="C691" t="s">
        <v>1092</v>
      </c>
      <c r="D691" t="s">
        <v>1064</v>
      </c>
      <c r="E691">
        <v>557875.0736</v>
      </c>
      <c r="F691">
        <v>216</v>
      </c>
      <c r="G691" t="s">
        <v>1093</v>
      </c>
      <c r="H691" t="s">
        <v>18</v>
      </c>
    </row>
    <row r="692" spans="1:8" x14ac:dyDescent="0.2">
      <c r="A692" t="s">
        <v>1710</v>
      </c>
      <c r="B692" t="s">
        <v>1909</v>
      </c>
      <c r="C692" t="s">
        <v>1092</v>
      </c>
      <c r="D692" t="s">
        <v>1064</v>
      </c>
      <c r="E692">
        <v>222108.2298</v>
      </c>
      <c r="F692">
        <v>86</v>
      </c>
      <c r="G692" t="s">
        <v>1093</v>
      </c>
      <c r="H692" t="s">
        <v>18</v>
      </c>
    </row>
    <row r="693" spans="1:8" x14ac:dyDescent="0.2">
      <c r="A693" t="s">
        <v>1710</v>
      </c>
      <c r="B693" t="s">
        <v>1713</v>
      </c>
      <c r="C693" t="s">
        <v>1092</v>
      </c>
      <c r="D693" t="s">
        <v>1064</v>
      </c>
      <c r="E693">
        <v>244740.90311000001</v>
      </c>
      <c r="F693">
        <v>78</v>
      </c>
      <c r="G693" t="s">
        <v>1093</v>
      </c>
      <c r="H693" t="s">
        <v>18</v>
      </c>
    </row>
    <row r="694" spans="1:8" x14ac:dyDescent="0.2">
      <c r="A694" t="s">
        <v>1710</v>
      </c>
      <c r="B694" t="s">
        <v>1099</v>
      </c>
      <c r="C694" t="s">
        <v>1100</v>
      </c>
      <c r="D694" t="s">
        <v>35</v>
      </c>
      <c r="E694">
        <v>1024724.20651</v>
      </c>
      <c r="F694">
        <v>380</v>
      </c>
      <c r="G694" t="s">
        <v>35</v>
      </c>
      <c r="H694" t="s">
        <v>18</v>
      </c>
    </row>
    <row r="695" spans="1:8" x14ac:dyDescent="0.2">
      <c r="A695" t="s">
        <v>249</v>
      </c>
      <c r="B695" t="s">
        <v>1716</v>
      </c>
      <c r="C695" t="s">
        <v>1092</v>
      </c>
      <c r="D695" t="s">
        <v>1052</v>
      </c>
      <c r="E695">
        <v>1745.1574000000001</v>
      </c>
      <c r="F695">
        <v>1219</v>
      </c>
      <c r="G695" t="s">
        <v>1236</v>
      </c>
      <c r="H695" t="s">
        <v>18</v>
      </c>
    </row>
    <row r="696" spans="1:8" x14ac:dyDescent="0.2">
      <c r="A696" t="s">
        <v>249</v>
      </c>
      <c r="B696" t="s">
        <v>1717</v>
      </c>
      <c r="C696" t="s">
        <v>1092</v>
      </c>
      <c r="D696" t="s">
        <v>1058</v>
      </c>
      <c r="E696">
        <v>152143.97213000001</v>
      </c>
      <c r="F696">
        <v>94461</v>
      </c>
      <c r="G696" t="s">
        <v>1109</v>
      </c>
      <c r="H696" t="s">
        <v>18</v>
      </c>
    </row>
    <row r="697" spans="1:8" x14ac:dyDescent="0.2">
      <c r="A697" t="s">
        <v>249</v>
      </c>
      <c r="B697" t="s">
        <v>1718</v>
      </c>
      <c r="C697" t="s">
        <v>1092</v>
      </c>
      <c r="D697" t="s">
        <v>1058</v>
      </c>
      <c r="E697">
        <v>589.83443999999997</v>
      </c>
      <c r="F697">
        <v>465</v>
      </c>
      <c r="G697" t="s">
        <v>1109</v>
      </c>
      <c r="H697" t="s">
        <v>18</v>
      </c>
    </row>
    <row r="698" spans="1:8" x14ac:dyDescent="0.2">
      <c r="A698" t="s">
        <v>249</v>
      </c>
      <c r="B698" t="s">
        <v>1719</v>
      </c>
      <c r="C698" t="s">
        <v>1092</v>
      </c>
      <c r="D698" t="s">
        <v>1096</v>
      </c>
      <c r="E698">
        <v>105427.28503</v>
      </c>
      <c r="F698">
        <v>65381</v>
      </c>
      <c r="G698" t="s">
        <v>1109</v>
      </c>
      <c r="H698" t="s">
        <v>18</v>
      </c>
    </row>
    <row r="699" spans="1:8" x14ac:dyDescent="0.2">
      <c r="A699" t="s">
        <v>249</v>
      </c>
      <c r="B699" t="s">
        <v>1720</v>
      </c>
      <c r="C699" t="s">
        <v>1092</v>
      </c>
      <c r="D699" t="s">
        <v>1052</v>
      </c>
      <c r="E699">
        <v>3835.5617999999999</v>
      </c>
      <c r="F699">
        <v>2571</v>
      </c>
      <c r="G699" t="s">
        <v>1236</v>
      </c>
      <c r="H699" t="s">
        <v>18</v>
      </c>
    </row>
    <row r="700" spans="1:8" x14ac:dyDescent="0.2">
      <c r="A700" t="s">
        <v>249</v>
      </c>
      <c r="B700" t="s">
        <v>1721</v>
      </c>
      <c r="C700" t="s">
        <v>1092</v>
      </c>
      <c r="D700" t="s">
        <v>1058</v>
      </c>
      <c r="E700">
        <v>4235446.6981229996</v>
      </c>
      <c r="F700">
        <v>1790</v>
      </c>
      <c r="G700" t="s">
        <v>1107</v>
      </c>
      <c r="H700" t="s">
        <v>18</v>
      </c>
    </row>
    <row r="701" spans="1:8" x14ac:dyDescent="0.2">
      <c r="A701" t="s">
        <v>249</v>
      </c>
      <c r="B701" t="s">
        <v>1722</v>
      </c>
      <c r="C701" t="s">
        <v>1092</v>
      </c>
      <c r="D701" t="s">
        <v>1096</v>
      </c>
      <c r="E701">
        <v>38636.848136000001</v>
      </c>
      <c r="F701">
        <v>29349</v>
      </c>
      <c r="G701" t="s">
        <v>1109</v>
      </c>
      <c r="H701" t="s">
        <v>18</v>
      </c>
    </row>
    <row r="702" spans="1:8" x14ac:dyDescent="0.2">
      <c r="A702" t="s">
        <v>249</v>
      </c>
      <c r="B702" t="s">
        <v>1099</v>
      </c>
      <c r="C702" t="s">
        <v>1100</v>
      </c>
      <c r="D702" t="s">
        <v>35</v>
      </c>
      <c r="E702">
        <v>4537825.3570589991</v>
      </c>
      <c r="F702">
        <v>195236</v>
      </c>
      <c r="G702" t="s">
        <v>35</v>
      </c>
      <c r="H702" t="s">
        <v>18</v>
      </c>
    </row>
    <row r="703" spans="1:8" x14ac:dyDescent="0.2">
      <c r="A703" t="s">
        <v>1723</v>
      </c>
      <c r="B703" t="s">
        <v>1724</v>
      </c>
      <c r="C703" t="s">
        <v>1092</v>
      </c>
      <c r="D703" t="s">
        <v>1096</v>
      </c>
      <c r="E703">
        <v>132816.946</v>
      </c>
      <c r="F703">
        <v>64</v>
      </c>
      <c r="G703" t="s">
        <v>1093</v>
      </c>
      <c r="H703" t="s">
        <v>18</v>
      </c>
    </row>
    <row r="704" spans="1:8" x14ac:dyDescent="0.2">
      <c r="A704" t="s">
        <v>1723</v>
      </c>
      <c r="B704" t="s">
        <v>1910</v>
      </c>
      <c r="C704" t="s">
        <v>1092</v>
      </c>
      <c r="D704" t="s">
        <v>1052</v>
      </c>
      <c r="E704">
        <v>0</v>
      </c>
      <c r="F704">
        <v>127</v>
      </c>
      <c r="G704" t="s">
        <v>1191</v>
      </c>
      <c r="H704" t="s">
        <v>18</v>
      </c>
    </row>
    <row r="705" spans="1:8" x14ac:dyDescent="0.2">
      <c r="A705" t="s">
        <v>1723</v>
      </c>
      <c r="B705" t="s">
        <v>1725</v>
      </c>
      <c r="C705" t="s">
        <v>1092</v>
      </c>
      <c r="D705" t="s">
        <v>1052</v>
      </c>
      <c r="E705">
        <v>182298.09399999998</v>
      </c>
      <c r="F705">
        <v>52</v>
      </c>
      <c r="G705" t="s">
        <v>1093</v>
      </c>
      <c r="H705" t="s">
        <v>18</v>
      </c>
    </row>
    <row r="706" spans="1:8" x14ac:dyDescent="0.2">
      <c r="A706" t="s">
        <v>1723</v>
      </c>
      <c r="B706" t="s">
        <v>1726</v>
      </c>
      <c r="C706" t="s">
        <v>1092</v>
      </c>
      <c r="D706" t="s">
        <v>1096</v>
      </c>
      <c r="E706">
        <v>41783.269</v>
      </c>
      <c r="F706">
        <v>35</v>
      </c>
      <c r="G706" t="s">
        <v>1093</v>
      </c>
      <c r="H706" t="s">
        <v>18</v>
      </c>
    </row>
    <row r="707" spans="1:8" x14ac:dyDescent="0.2">
      <c r="A707" t="s">
        <v>1723</v>
      </c>
      <c r="B707" t="s">
        <v>1727</v>
      </c>
      <c r="C707" t="s">
        <v>1092</v>
      </c>
      <c r="D707" t="s">
        <v>1096</v>
      </c>
      <c r="E707">
        <v>263357.43099999998</v>
      </c>
      <c r="F707">
        <v>82</v>
      </c>
      <c r="G707" t="s">
        <v>1093</v>
      </c>
      <c r="H707" t="s">
        <v>18</v>
      </c>
    </row>
    <row r="708" spans="1:8" x14ac:dyDescent="0.2">
      <c r="A708" t="s">
        <v>1723</v>
      </c>
      <c r="B708" t="s">
        <v>1728</v>
      </c>
      <c r="C708" t="s">
        <v>1092</v>
      </c>
      <c r="D708" t="s">
        <v>1096</v>
      </c>
      <c r="E708">
        <v>0</v>
      </c>
      <c r="F708">
        <v>0</v>
      </c>
      <c r="G708" t="s">
        <v>1191</v>
      </c>
      <c r="H708" t="s">
        <v>18</v>
      </c>
    </row>
    <row r="709" spans="1:8" x14ac:dyDescent="0.2">
      <c r="A709" t="s">
        <v>1723</v>
      </c>
      <c r="B709" t="s">
        <v>1729</v>
      </c>
      <c r="C709" t="s">
        <v>1092</v>
      </c>
      <c r="D709" t="s">
        <v>1096</v>
      </c>
      <c r="E709">
        <v>14065.578</v>
      </c>
      <c r="F709">
        <v>5</v>
      </c>
      <c r="G709" t="s">
        <v>1107</v>
      </c>
      <c r="H709" t="s">
        <v>18</v>
      </c>
    </row>
    <row r="710" spans="1:8" x14ac:dyDescent="0.2">
      <c r="A710" t="s">
        <v>1723</v>
      </c>
      <c r="B710" t="s">
        <v>1730</v>
      </c>
      <c r="C710" t="s">
        <v>1092</v>
      </c>
      <c r="D710" t="s">
        <v>1096</v>
      </c>
      <c r="E710">
        <v>3892.0590000000002</v>
      </c>
      <c r="F710">
        <v>6</v>
      </c>
      <c r="G710" t="s">
        <v>1107</v>
      </c>
      <c r="H710" t="s">
        <v>18</v>
      </c>
    </row>
    <row r="711" spans="1:8" x14ac:dyDescent="0.2">
      <c r="A711" t="s">
        <v>1723</v>
      </c>
      <c r="B711" t="s">
        <v>1731</v>
      </c>
      <c r="C711" t="s">
        <v>1092</v>
      </c>
      <c r="D711" t="s">
        <v>1061</v>
      </c>
      <c r="E711">
        <v>211906.93599999999</v>
      </c>
      <c r="F711">
        <v>133</v>
      </c>
      <c r="G711" t="s">
        <v>1103</v>
      </c>
      <c r="H711" t="s">
        <v>18</v>
      </c>
    </row>
    <row r="712" spans="1:8" x14ac:dyDescent="0.2">
      <c r="A712" t="s">
        <v>1723</v>
      </c>
      <c r="B712" t="s">
        <v>1732</v>
      </c>
      <c r="C712" t="s">
        <v>1092</v>
      </c>
      <c r="D712" t="s">
        <v>1126</v>
      </c>
      <c r="E712">
        <v>72530.37</v>
      </c>
      <c r="F712">
        <v>40</v>
      </c>
      <c r="G712" t="s">
        <v>1107</v>
      </c>
      <c r="H712" t="s">
        <v>18</v>
      </c>
    </row>
    <row r="713" spans="1:8" x14ac:dyDescent="0.2">
      <c r="A713" t="s">
        <v>1723</v>
      </c>
      <c r="B713" t="s">
        <v>1733</v>
      </c>
      <c r="C713" t="s">
        <v>1092</v>
      </c>
      <c r="D713" t="s">
        <v>1096</v>
      </c>
      <c r="E713">
        <v>434980.91100000002</v>
      </c>
      <c r="F713">
        <v>158</v>
      </c>
      <c r="G713" t="s">
        <v>1093</v>
      </c>
      <c r="H713" t="s">
        <v>18</v>
      </c>
    </row>
    <row r="714" spans="1:8" x14ac:dyDescent="0.2">
      <c r="A714" t="s">
        <v>1723</v>
      </c>
      <c r="B714" t="s">
        <v>1734</v>
      </c>
      <c r="C714" t="s">
        <v>1092</v>
      </c>
      <c r="D714" t="s">
        <v>1058</v>
      </c>
      <c r="E714">
        <v>282851.59600000002</v>
      </c>
      <c r="F714">
        <v>102</v>
      </c>
      <c r="G714" t="s">
        <v>1093</v>
      </c>
      <c r="H714" t="s">
        <v>18</v>
      </c>
    </row>
    <row r="715" spans="1:8" x14ac:dyDescent="0.2">
      <c r="A715" t="s">
        <v>1723</v>
      </c>
      <c r="B715" t="s">
        <v>1735</v>
      </c>
      <c r="C715" t="s">
        <v>1092</v>
      </c>
      <c r="D715" t="s">
        <v>1058</v>
      </c>
      <c r="E715">
        <v>6373.0510000000004</v>
      </c>
      <c r="F715">
        <v>5</v>
      </c>
      <c r="G715" t="s">
        <v>1107</v>
      </c>
      <c r="H715" t="s">
        <v>18</v>
      </c>
    </row>
    <row r="716" spans="1:8" x14ac:dyDescent="0.2">
      <c r="A716" t="s">
        <v>1723</v>
      </c>
      <c r="B716" t="s">
        <v>1736</v>
      </c>
      <c r="C716" t="s">
        <v>1092</v>
      </c>
      <c r="D716" t="s">
        <v>1096</v>
      </c>
      <c r="E716">
        <v>2296.8270000000002</v>
      </c>
      <c r="F716">
        <v>5</v>
      </c>
      <c r="G716" t="s">
        <v>1107</v>
      </c>
      <c r="H716" t="s">
        <v>18</v>
      </c>
    </row>
    <row r="717" spans="1:8" x14ac:dyDescent="0.2">
      <c r="A717" t="s">
        <v>1723</v>
      </c>
      <c r="B717" t="s">
        <v>1737</v>
      </c>
      <c r="C717" t="s">
        <v>1092</v>
      </c>
      <c r="D717" t="s">
        <v>1096</v>
      </c>
      <c r="E717">
        <v>72237.14899999999</v>
      </c>
      <c r="F717">
        <v>33</v>
      </c>
      <c r="G717" t="s">
        <v>1093</v>
      </c>
      <c r="H717" t="s">
        <v>18</v>
      </c>
    </row>
    <row r="718" spans="1:8" x14ac:dyDescent="0.2">
      <c r="A718" t="s">
        <v>1723</v>
      </c>
      <c r="B718" t="s">
        <v>1738</v>
      </c>
      <c r="C718" t="s">
        <v>1092</v>
      </c>
      <c r="D718" t="s">
        <v>1096</v>
      </c>
      <c r="E718">
        <v>87227.667000000001</v>
      </c>
      <c r="F718">
        <v>39</v>
      </c>
      <c r="G718" t="s">
        <v>1093</v>
      </c>
      <c r="H718" t="s">
        <v>18</v>
      </c>
    </row>
    <row r="719" spans="1:8" x14ac:dyDescent="0.2">
      <c r="A719" t="s">
        <v>1723</v>
      </c>
      <c r="B719" t="s">
        <v>1099</v>
      </c>
      <c r="C719" t="s">
        <v>1100</v>
      </c>
      <c r="D719" t="s">
        <v>35</v>
      </c>
      <c r="E719">
        <v>1808617.8839999996</v>
      </c>
      <c r="F719">
        <v>886</v>
      </c>
      <c r="G719" t="s">
        <v>35</v>
      </c>
      <c r="H719" t="s">
        <v>18</v>
      </c>
    </row>
    <row r="720" spans="1:8" x14ac:dyDescent="0.2">
      <c r="A720" t="s">
        <v>1739</v>
      </c>
      <c r="B720" t="s">
        <v>1911</v>
      </c>
      <c r="C720" t="s">
        <v>1092</v>
      </c>
      <c r="D720" t="s">
        <v>1058</v>
      </c>
      <c r="E720">
        <v>585782.75800000003</v>
      </c>
      <c r="F720">
        <v>130</v>
      </c>
      <c r="G720" t="s">
        <v>1093</v>
      </c>
      <c r="H720" t="s">
        <v>18</v>
      </c>
    </row>
    <row r="721" spans="1:8" x14ac:dyDescent="0.2">
      <c r="A721" t="s">
        <v>1739</v>
      </c>
      <c r="B721" t="s">
        <v>1912</v>
      </c>
      <c r="C721" t="s">
        <v>1092</v>
      </c>
      <c r="D721" t="s">
        <v>1058</v>
      </c>
      <c r="E721">
        <v>326718.58300000004</v>
      </c>
      <c r="F721">
        <v>71</v>
      </c>
      <c r="G721" t="s">
        <v>1093</v>
      </c>
      <c r="H721" t="s">
        <v>18</v>
      </c>
    </row>
    <row r="722" spans="1:8" x14ac:dyDescent="0.2">
      <c r="A722" t="s">
        <v>1739</v>
      </c>
      <c r="B722" t="s">
        <v>1913</v>
      </c>
      <c r="C722" t="s">
        <v>1092</v>
      </c>
      <c r="D722" t="s">
        <v>1061</v>
      </c>
      <c r="E722">
        <v>208222.13400000002</v>
      </c>
      <c r="F722">
        <v>5994</v>
      </c>
      <c r="G722" t="s">
        <v>1093</v>
      </c>
      <c r="H722" t="s">
        <v>18</v>
      </c>
    </row>
    <row r="723" spans="1:8" x14ac:dyDescent="0.2">
      <c r="A723" t="s">
        <v>1739</v>
      </c>
      <c r="B723" t="s">
        <v>1914</v>
      </c>
      <c r="C723" t="s">
        <v>1092</v>
      </c>
      <c r="D723" t="s">
        <v>1058</v>
      </c>
      <c r="E723">
        <v>321024.61600000004</v>
      </c>
      <c r="F723">
        <v>70</v>
      </c>
      <c r="G723" t="s">
        <v>1093</v>
      </c>
      <c r="H723" t="s">
        <v>18</v>
      </c>
    </row>
    <row r="724" spans="1:8" x14ac:dyDescent="0.2">
      <c r="A724" t="s">
        <v>1739</v>
      </c>
      <c r="B724" t="s">
        <v>1915</v>
      </c>
      <c r="C724" t="s">
        <v>1092</v>
      </c>
      <c r="D724" t="s">
        <v>1096</v>
      </c>
      <c r="E724">
        <v>451450.33799999999</v>
      </c>
      <c r="F724">
        <v>308</v>
      </c>
      <c r="G724" t="s">
        <v>1093</v>
      </c>
      <c r="H724" t="s">
        <v>18</v>
      </c>
    </row>
    <row r="725" spans="1:8" x14ac:dyDescent="0.2">
      <c r="A725" t="s">
        <v>1739</v>
      </c>
      <c r="B725" t="s">
        <v>1916</v>
      </c>
      <c r="C725" t="s">
        <v>1092</v>
      </c>
      <c r="D725" t="s">
        <v>1058</v>
      </c>
      <c r="E725">
        <v>771501.77299999993</v>
      </c>
      <c r="F725">
        <v>181</v>
      </c>
      <c r="G725" t="s">
        <v>1093</v>
      </c>
      <c r="H725" t="s">
        <v>18</v>
      </c>
    </row>
    <row r="726" spans="1:8" x14ac:dyDescent="0.2">
      <c r="A726" t="s">
        <v>1739</v>
      </c>
      <c r="B726" t="s">
        <v>1917</v>
      </c>
      <c r="C726" t="s">
        <v>1092</v>
      </c>
      <c r="D726" t="s">
        <v>1058</v>
      </c>
      <c r="E726">
        <v>0</v>
      </c>
      <c r="F726">
        <v>2138</v>
      </c>
      <c r="G726" t="s">
        <v>1093</v>
      </c>
      <c r="H726" t="s">
        <v>18</v>
      </c>
    </row>
    <row r="727" spans="1:8" x14ac:dyDescent="0.2">
      <c r="A727" t="s">
        <v>1739</v>
      </c>
      <c r="B727" t="s">
        <v>1099</v>
      </c>
      <c r="C727" t="s">
        <v>1100</v>
      </c>
      <c r="D727" t="s">
        <v>35</v>
      </c>
      <c r="E727">
        <v>2664700.202</v>
      </c>
      <c r="F727">
        <v>8892</v>
      </c>
      <c r="G727" t="s">
        <v>35</v>
      </c>
      <c r="H727" t="s">
        <v>18</v>
      </c>
    </row>
    <row r="728" spans="1:8" x14ac:dyDescent="0.2">
      <c r="A728" t="s">
        <v>36</v>
      </c>
      <c r="B728" t="s">
        <v>1750</v>
      </c>
      <c r="C728" t="s">
        <v>1092</v>
      </c>
      <c r="D728" t="s">
        <v>1061</v>
      </c>
      <c r="E728">
        <v>7823170.1924600005</v>
      </c>
      <c r="F728">
        <v>6795860</v>
      </c>
      <c r="G728" t="s">
        <v>1111</v>
      </c>
      <c r="H728" t="s">
        <v>18</v>
      </c>
    </row>
    <row r="729" spans="1:8" x14ac:dyDescent="0.2">
      <c r="A729" t="s">
        <v>36</v>
      </c>
      <c r="B729" t="s">
        <v>1751</v>
      </c>
      <c r="C729" t="s">
        <v>1092</v>
      </c>
      <c r="D729" t="s">
        <v>1061</v>
      </c>
      <c r="E729">
        <v>10705635.662559999</v>
      </c>
      <c r="F729">
        <v>9434003</v>
      </c>
      <c r="G729" t="s">
        <v>1111</v>
      </c>
      <c r="H729" t="s">
        <v>18</v>
      </c>
    </row>
    <row r="730" spans="1:8" x14ac:dyDescent="0.2">
      <c r="A730" t="s">
        <v>36</v>
      </c>
      <c r="B730" t="s">
        <v>1099</v>
      </c>
      <c r="C730" t="s">
        <v>1100</v>
      </c>
      <c r="D730" t="s">
        <v>35</v>
      </c>
      <c r="E730">
        <v>18528805.855020002</v>
      </c>
      <c r="F730">
        <v>16229863</v>
      </c>
      <c r="G730" t="s">
        <v>35</v>
      </c>
      <c r="H730" t="s">
        <v>18</v>
      </c>
    </row>
    <row r="731" spans="1:8" x14ac:dyDescent="0.2">
      <c r="A731" t="s">
        <v>1752</v>
      </c>
      <c r="B731" t="s">
        <v>1753</v>
      </c>
      <c r="C731" t="s">
        <v>1092</v>
      </c>
      <c r="D731" t="s">
        <v>1096</v>
      </c>
      <c r="E731">
        <v>1843381.0391800001</v>
      </c>
      <c r="F731">
        <v>178</v>
      </c>
      <c r="G731" t="s">
        <v>1093</v>
      </c>
      <c r="H731" t="s">
        <v>18</v>
      </c>
    </row>
    <row r="732" spans="1:8" x14ac:dyDescent="0.2">
      <c r="A732" t="s">
        <v>1752</v>
      </c>
      <c r="B732" t="s">
        <v>1099</v>
      </c>
      <c r="C732" t="s">
        <v>1100</v>
      </c>
      <c r="D732" t="s">
        <v>35</v>
      </c>
      <c r="E732">
        <v>1843381.0391800001</v>
      </c>
      <c r="F732">
        <v>178</v>
      </c>
      <c r="G732" t="s">
        <v>35</v>
      </c>
      <c r="H732" t="s">
        <v>18</v>
      </c>
    </row>
    <row r="733" spans="1:8" x14ac:dyDescent="0.2">
      <c r="A733" t="s">
        <v>1754</v>
      </c>
      <c r="B733" t="s">
        <v>1755</v>
      </c>
      <c r="C733" t="s">
        <v>1092</v>
      </c>
      <c r="D733" t="s">
        <v>1058</v>
      </c>
      <c r="E733">
        <v>163245.91725599999</v>
      </c>
      <c r="F733">
        <v>8</v>
      </c>
      <c r="G733" t="s">
        <v>1103</v>
      </c>
      <c r="H733" t="s">
        <v>18</v>
      </c>
    </row>
    <row r="734" spans="1:8" x14ac:dyDescent="0.2">
      <c r="A734" t="s">
        <v>1754</v>
      </c>
      <c r="B734" t="s">
        <v>1099</v>
      </c>
      <c r="C734" t="s">
        <v>1100</v>
      </c>
      <c r="D734" t="s">
        <v>35</v>
      </c>
      <c r="E734">
        <v>163245.91725599999</v>
      </c>
      <c r="F734">
        <v>8</v>
      </c>
      <c r="G734" t="s">
        <v>35</v>
      </c>
      <c r="H734" t="s">
        <v>18</v>
      </c>
    </row>
    <row r="735" spans="1:8" x14ac:dyDescent="0.2">
      <c r="A735" t="s">
        <v>1756</v>
      </c>
      <c r="B735" t="s">
        <v>1757</v>
      </c>
      <c r="C735" t="s">
        <v>1092</v>
      </c>
      <c r="D735" t="s">
        <v>1126</v>
      </c>
      <c r="E735">
        <v>221438.435</v>
      </c>
      <c r="F735">
        <v>23</v>
      </c>
      <c r="G735" t="s">
        <v>1103</v>
      </c>
      <c r="H735" t="s">
        <v>18</v>
      </c>
    </row>
    <row r="736" spans="1:8" x14ac:dyDescent="0.2">
      <c r="A736" t="s">
        <v>1756</v>
      </c>
      <c r="B736" t="s">
        <v>1099</v>
      </c>
      <c r="C736" t="s">
        <v>1100</v>
      </c>
      <c r="D736" t="s">
        <v>35</v>
      </c>
      <c r="E736">
        <v>221438.435</v>
      </c>
      <c r="F736">
        <v>23</v>
      </c>
      <c r="G736" t="s">
        <v>35</v>
      </c>
      <c r="H736" t="s">
        <v>18</v>
      </c>
    </row>
    <row r="737" spans="1:8" x14ac:dyDescent="0.2">
      <c r="A737" t="s">
        <v>1758</v>
      </c>
      <c r="B737" t="s">
        <v>1759</v>
      </c>
      <c r="C737" t="s">
        <v>1092</v>
      </c>
      <c r="D737" t="s">
        <v>1058</v>
      </c>
      <c r="E737">
        <v>390916.14880000002</v>
      </c>
      <c r="F737">
        <v>34</v>
      </c>
      <c r="G737" t="s">
        <v>1103</v>
      </c>
      <c r="H737" t="s">
        <v>18</v>
      </c>
    </row>
    <row r="738" spans="1:8" x14ac:dyDescent="0.2">
      <c r="A738" t="s">
        <v>1758</v>
      </c>
      <c r="B738" t="s">
        <v>1099</v>
      </c>
      <c r="C738" t="s">
        <v>1100</v>
      </c>
      <c r="D738" t="s">
        <v>35</v>
      </c>
      <c r="E738">
        <v>390916.14880000002</v>
      </c>
      <c r="F738">
        <v>34</v>
      </c>
      <c r="G738" t="s">
        <v>35</v>
      </c>
      <c r="H738" t="s">
        <v>18</v>
      </c>
    </row>
    <row r="739" spans="1:8" x14ac:dyDescent="0.2">
      <c r="A739" t="s">
        <v>1918</v>
      </c>
      <c r="B739" t="s">
        <v>1892</v>
      </c>
      <c r="C739" t="s">
        <v>1092</v>
      </c>
      <c r="D739" t="s">
        <v>1061</v>
      </c>
      <c r="E739">
        <v>16673.796000000002</v>
      </c>
      <c r="F739">
        <v>3726</v>
      </c>
      <c r="G739" t="s">
        <v>1144</v>
      </c>
      <c r="H739" t="s">
        <v>18</v>
      </c>
    </row>
    <row r="740" spans="1:8" x14ac:dyDescent="0.2">
      <c r="A740" t="s">
        <v>1918</v>
      </c>
      <c r="B740" t="s">
        <v>1099</v>
      </c>
      <c r="C740" t="s">
        <v>1100</v>
      </c>
      <c r="D740" t="s">
        <v>35</v>
      </c>
      <c r="E740">
        <v>16673.796000000002</v>
      </c>
      <c r="F740">
        <v>3726</v>
      </c>
      <c r="G740" t="s">
        <v>35</v>
      </c>
      <c r="H740" t="s">
        <v>18</v>
      </c>
    </row>
    <row r="741" spans="1:8" x14ac:dyDescent="0.2">
      <c r="A741" t="s">
        <v>1919</v>
      </c>
      <c r="B741" t="s">
        <v>1920</v>
      </c>
      <c r="C741" t="s">
        <v>1092</v>
      </c>
      <c r="D741" t="s">
        <v>1096</v>
      </c>
      <c r="E741">
        <v>372494.32400000002</v>
      </c>
      <c r="F741">
        <v>4848</v>
      </c>
      <c r="G741" t="s">
        <v>1093</v>
      </c>
      <c r="H741" t="s">
        <v>18</v>
      </c>
    </row>
    <row r="742" spans="1:8" x14ac:dyDescent="0.2">
      <c r="A742" t="s">
        <v>1919</v>
      </c>
      <c r="B742" t="s">
        <v>1099</v>
      </c>
      <c r="C742" t="s">
        <v>1100</v>
      </c>
      <c r="D742" t="s">
        <v>35</v>
      </c>
      <c r="E742">
        <v>372494.32400000002</v>
      </c>
      <c r="F742">
        <v>4848</v>
      </c>
      <c r="G742" t="s">
        <v>35</v>
      </c>
      <c r="H742" t="s">
        <v>18</v>
      </c>
    </row>
    <row r="743" spans="1:8" x14ac:dyDescent="0.2">
      <c r="A743" t="s">
        <v>1764</v>
      </c>
      <c r="B743" t="s">
        <v>1765</v>
      </c>
      <c r="C743" t="s">
        <v>1092</v>
      </c>
      <c r="D743" t="s">
        <v>1064</v>
      </c>
      <c r="E743">
        <v>34707.472200000004</v>
      </c>
      <c r="F743">
        <v>0</v>
      </c>
      <c r="G743" t="s">
        <v>1107</v>
      </c>
      <c r="H743" t="s">
        <v>18</v>
      </c>
    </row>
    <row r="744" spans="1:8" x14ac:dyDescent="0.2">
      <c r="A744" t="s">
        <v>1764</v>
      </c>
      <c r="B744" t="s">
        <v>1099</v>
      </c>
      <c r="C744" t="s">
        <v>1100</v>
      </c>
      <c r="D744" t="s">
        <v>35</v>
      </c>
      <c r="E744">
        <v>34707.472200000004</v>
      </c>
      <c r="F744">
        <v>0</v>
      </c>
      <c r="G744" t="s">
        <v>35</v>
      </c>
      <c r="H744" t="s">
        <v>18</v>
      </c>
    </row>
    <row r="745" spans="1:8" x14ac:dyDescent="0.2">
      <c r="A745" t="s">
        <v>1921</v>
      </c>
      <c r="B745" t="s">
        <v>1747</v>
      </c>
      <c r="C745" t="s">
        <v>1092</v>
      </c>
      <c r="D745" t="s">
        <v>1126</v>
      </c>
      <c r="E745">
        <v>92841</v>
      </c>
      <c r="F745">
        <v>26</v>
      </c>
      <c r="G745" t="s">
        <v>1093</v>
      </c>
      <c r="H745" t="s">
        <v>18</v>
      </c>
    </row>
    <row r="746" spans="1:8" x14ac:dyDescent="0.2">
      <c r="A746" t="s">
        <v>1921</v>
      </c>
      <c r="B746" t="s">
        <v>1099</v>
      </c>
      <c r="C746" t="s">
        <v>1100</v>
      </c>
      <c r="D746" t="s">
        <v>35</v>
      </c>
      <c r="E746">
        <v>92841</v>
      </c>
      <c r="F746">
        <v>26</v>
      </c>
      <c r="G746" t="s">
        <v>35</v>
      </c>
      <c r="H746" t="s">
        <v>18</v>
      </c>
    </row>
    <row r="747" spans="1:8" x14ac:dyDescent="0.2">
      <c r="A747" t="s">
        <v>1748</v>
      </c>
      <c r="B747" t="s">
        <v>1749</v>
      </c>
      <c r="C747" t="s">
        <v>1092</v>
      </c>
      <c r="D747" t="s">
        <v>1126</v>
      </c>
      <c r="E747">
        <v>96435.673999999999</v>
      </c>
      <c r="F747">
        <v>5</v>
      </c>
      <c r="G747" t="s">
        <v>1103</v>
      </c>
      <c r="H747" t="s">
        <v>18</v>
      </c>
    </row>
    <row r="748" spans="1:8" x14ac:dyDescent="0.2">
      <c r="A748" t="s">
        <v>1748</v>
      </c>
      <c r="B748" t="s">
        <v>1099</v>
      </c>
      <c r="C748" t="s">
        <v>1100</v>
      </c>
      <c r="D748" t="s">
        <v>35</v>
      </c>
      <c r="E748">
        <v>96435.673999999999</v>
      </c>
      <c r="F748">
        <v>5</v>
      </c>
      <c r="G748" t="s">
        <v>35</v>
      </c>
      <c r="H748" t="s">
        <v>18</v>
      </c>
    </row>
    <row r="749" spans="1:8" x14ac:dyDescent="0.2">
      <c r="A749" t="s">
        <v>1766</v>
      </c>
      <c r="B749" t="s">
        <v>1767</v>
      </c>
      <c r="C749" t="s">
        <v>1092</v>
      </c>
      <c r="D749" t="s">
        <v>1058</v>
      </c>
      <c r="E749">
        <v>201253</v>
      </c>
      <c r="F749">
        <v>25</v>
      </c>
      <c r="G749" t="s">
        <v>1103</v>
      </c>
      <c r="H749" t="s">
        <v>18</v>
      </c>
    </row>
    <row r="750" spans="1:8" x14ac:dyDescent="0.2">
      <c r="A750" t="s">
        <v>1766</v>
      </c>
      <c r="B750" t="s">
        <v>1099</v>
      </c>
      <c r="C750" t="s">
        <v>1100</v>
      </c>
      <c r="D750" t="s">
        <v>35</v>
      </c>
      <c r="E750">
        <v>201253</v>
      </c>
      <c r="F750">
        <v>25</v>
      </c>
      <c r="G750" t="s">
        <v>35</v>
      </c>
      <c r="H750" t="s">
        <v>18</v>
      </c>
    </row>
    <row r="751" spans="1:8" x14ac:dyDescent="0.2">
      <c r="A751" t="s">
        <v>1922</v>
      </c>
      <c r="B751" t="s">
        <v>1923</v>
      </c>
      <c r="C751" t="s">
        <v>1092</v>
      </c>
      <c r="D751" t="s">
        <v>1061</v>
      </c>
      <c r="E751">
        <v>45821.617899999997</v>
      </c>
      <c r="F751">
        <v>0</v>
      </c>
      <c r="G751" t="s">
        <v>1103</v>
      </c>
      <c r="H751" t="s">
        <v>18</v>
      </c>
    </row>
    <row r="752" spans="1:8" x14ac:dyDescent="0.2">
      <c r="A752" t="s">
        <v>1922</v>
      </c>
      <c r="B752" t="s">
        <v>1099</v>
      </c>
      <c r="C752" t="s">
        <v>1100</v>
      </c>
      <c r="D752" t="s">
        <v>35</v>
      </c>
      <c r="E752">
        <v>45821.617899999997</v>
      </c>
      <c r="F752">
        <v>0</v>
      </c>
      <c r="G752" t="s">
        <v>35</v>
      </c>
      <c r="H752" t="s">
        <v>18</v>
      </c>
    </row>
    <row r="753" spans="1:8" x14ac:dyDescent="0.2">
      <c r="A753" t="s">
        <v>1768</v>
      </c>
      <c r="B753" t="s">
        <v>1769</v>
      </c>
      <c r="C753" t="s">
        <v>1092</v>
      </c>
      <c r="D753" t="s">
        <v>1096</v>
      </c>
      <c r="E753">
        <v>7372.61006</v>
      </c>
      <c r="F753">
        <v>5</v>
      </c>
      <c r="G753" t="s">
        <v>1103</v>
      </c>
      <c r="H753" t="s">
        <v>18</v>
      </c>
    </row>
    <row r="754" spans="1:8" x14ac:dyDescent="0.2">
      <c r="A754" t="s">
        <v>1768</v>
      </c>
      <c r="B754" t="s">
        <v>1770</v>
      </c>
      <c r="C754" t="s">
        <v>1092</v>
      </c>
      <c r="D754" t="s">
        <v>1096</v>
      </c>
      <c r="E754">
        <v>9420.1688400000003</v>
      </c>
      <c r="F754">
        <v>5</v>
      </c>
      <c r="G754" t="s">
        <v>1103</v>
      </c>
      <c r="H754" t="s">
        <v>18</v>
      </c>
    </row>
    <row r="755" spans="1:8" x14ac:dyDescent="0.2">
      <c r="A755" t="s">
        <v>1768</v>
      </c>
      <c r="B755" t="s">
        <v>1771</v>
      </c>
      <c r="C755" t="s">
        <v>1092</v>
      </c>
      <c r="D755" t="s">
        <v>1096</v>
      </c>
      <c r="E755">
        <v>9448.1913800000002</v>
      </c>
      <c r="F755">
        <v>5</v>
      </c>
      <c r="G755" t="s">
        <v>1103</v>
      </c>
      <c r="H755" t="s">
        <v>18</v>
      </c>
    </row>
    <row r="756" spans="1:8" x14ac:dyDescent="0.2">
      <c r="A756" t="s">
        <v>1768</v>
      </c>
      <c r="B756" t="s">
        <v>1772</v>
      </c>
      <c r="C756" t="s">
        <v>1092</v>
      </c>
      <c r="D756" t="s">
        <v>1096</v>
      </c>
      <c r="E756">
        <v>10657.33397</v>
      </c>
      <c r="F756">
        <v>5</v>
      </c>
      <c r="G756" t="s">
        <v>1103</v>
      </c>
      <c r="H756" t="s">
        <v>18</v>
      </c>
    </row>
    <row r="757" spans="1:8" x14ac:dyDescent="0.2">
      <c r="A757" t="s">
        <v>1768</v>
      </c>
      <c r="B757" t="s">
        <v>1773</v>
      </c>
      <c r="C757" t="s">
        <v>1092</v>
      </c>
      <c r="D757" t="s">
        <v>1096</v>
      </c>
      <c r="E757">
        <v>7363.3655600000002</v>
      </c>
      <c r="F757">
        <v>5</v>
      </c>
      <c r="G757" t="s">
        <v>1103</v>
      </c>
      <c r="H757" t="s">
        <v>18</v>
      </c>
    </row>
    <row r="758" spans="1:8" x14ac:dyDescent="0.2">
      <c r="A758" t="s">
        <v>1768</v>
      </c>
      <c r="B758" t="s">
        <v>1774</v>
      </c>
      <c r="C758" t="s">
        <v>1092</v>
      </c>
      <c r="D758" t="s">
        <v>1096</v>
      </c>
      <c r="E758">
        <v>6840.3787500000008</v>
      </c>
      <c r="F758">
        <v>5</v>
      </c>
      <c r="G758" t="s">
        <v>1103</v>
      </c>
      <c r="H758" t="s">
        <v>18</v>
      </c>
    </row>
    <row r="759" spans="1:8" x14ac:dyDescent="0.2">
      <c r="A759" t="s">
        <v>1768</v>
      </c>
      <c r="B759" t="s">
        <v>1775</v>
      </c>
      <c r="C759" t="s">
        <v>1092</v>
      </c>
      <c r="D759" t="s">
        <v>1096</v>
      </c>
      <c r="E759">
        <v>10610.44238</v>
      </c>
      <c r="F759">
        <v>5</v>
      </c>
      <c r="G759" t="s">
        <v>1103</v>
      </c>
      <c r="H759" t="s">
        <v>18</v>
      </c>
    </row>
    <row r="760" spans="1:8" x14ac:dyDescent="0.2">
      <c r="A760" t="s">
        <v>1768</v>
      </c>
      <c r="B760" t="s">
        <v>1776</v>
      </c>
      <c r="C760" t="s">
        <v>1092</v>
      </c>
      <c r="D760" t="s">
        <v>1096</v>
      </c>
      <c r="E760">
        <v>6836.5985299999993</v>
      </c>
      <c r="F760">
        <v>5</v>
      </c>
      <c r="G760" t="s">
        <v>1103</v>
      </c>
      <c r="H760" t="s">
        <v>18</v>
      </c>
    </row>
    <row r="761" spans="1:8" x14ac:dyDescent="0.2">
      <c r="A761" t="s">
        <v>1768</v>
      </c>
      <c r="B761" t="s">
        <v>1777</v>
      </c>
      <c r="C761" t="s">
        <v>1092</v>
      </c>
      <c r="D761" t="s">
        <v>1096</v>
      </c>
      <c r="E761">
        <v>10727.648840000002</v>
      </c>
      <c r="F761">
        <v>5</v>
      </c>
      <c r="G761" t="s">
        <v>1103</v>
      </c>
      <c r="H761" t="s">
        <v>18</v>
      </c>
    </row>
    <row r="762" spans="1:8" x14ac:dyDescent="0.2">
      <c r="A762" t="s">
        <v>1768</v>
      </c>
      <c r="B762" t="s">
        <v>1778</v>
      </c>
      <c r="C762" t="s">
        <v>1092</v>
      </c>
      <c r="D762" t="s">
        <v>1096</v>
      </c>
      <c r="E762">
        <v>10286.330539999999</v>
      </c>
      <c r="F762">
        <v>5</v>
      </c>
      <c r="G762" t="s">
        <v>1103</v>
      </c>
      <c r="H762" t="s">
        <v>18</v>
      </c>
    </row>
    <row r="763" spans="1:8" x14ac:dyDescent="0.2">
      <c r="A763" t="s">
        <v>1768</v>
      </c>
      <c r="B763" t="s">
        <v>1779</v>
      </c>
      <c r="C763" t="s">
        <v>1092</v>
      </c>
      <c r="D763" t="s">
        <v>1096</v>
      </c>
      <c r="E763">
        <v>10476.820020000001</v>
      </c>
      <c r="F763">
        <v>5</v>
      </c>
      <c r="G763" t="s">
        <v>1103</v>
      </c>
      <c r="H763" t="s">
        <v>18</v>
      </c>
    </row>
    <row r="764" spans="1:8" x14ac:dyDescent="0.2">
      <c r="A764" t="s">
        <v>1768</v>
      </c>
      <c r="B764" t="s">
        <v>1780</v>
      </c>
      <c r="C764" t="s">
        <v>1092</v>
      </c>
      <c r="D764" t="s">
        <v>1096</v>
      </c>
      <c r="E764">
        <v>7497.3729300000005</v>
      </c>
      <c r="F764">
        <v>5</v>
      </c>
      <c r="G764" t="s">
        <v>1103</v>
      </c>
      <c r="H764" t="s">
        <v>18</v>
      </c>
    </row>
    <row r="765" spans="1:8" x14ac:dyDescent="0.2">
      <c r="A765" t="s">
        <v>1768</v>
      </c>
      <c r="B765" t="s">
        <v>1781</v>
      </c>
      <c r="C765" t="s">
        <v>1092</v>
      </c>
      <c r="D765" t="s">
        <v>1096</v>
      </c>
      <c r="E765">
        <v>7123.9083699999992</v>
      </c>
      <c r="F765">
        <v>5</v>
      </c>
      <c r="G765" t="s">
        <v>1103</v>
      </c>
      <c r="H765" t="s">
        <v>18</v>
      </c>
    </row>
    <row r="766" spans="1:8" x14ac:dyDescent="0.2">
      <c r="A766" t="s">
        <v>1768</v>
      </c>
      <c r="B766" t="s">
        <v>1782</v>
      </c>
      <c r="C766" t="s">
        <v>1092</v>
      </c>
      <c r="D766" t="s">
        <v>1096</v>
      </c>
      <c r="E766">
        <v>10443.080169999999</v>
      </c>
      <c r="F766">
        <v>5</v>
      </c>
      <c r="G766" t="s">
        <v>1103</v>
      </c>
      <c r="H766" t="s">
        <v>18</v>
      </c>
    </row>
    <row r="767" spans="1:8" x14ac:dyDescent="0.2">
      <c r="A767" t="s">
        <v>1768</v>
      </c>
      <c r="B767" t="s">
        <v>1783</v>
      </c>
      <c r="C767" t="s">
        <v>1092</v>
      </c>
      <c r="D767" t="s">
        <v>1096</v>
      </c>
      <c r="E767">
        <v>9254.6217199999992</v>
      </c>
      <c r="F767">
        <v>5</v>
      </c>
      <c r="G767" t="s">
        <v>1103</v>
      </c>
      <c r="H767" t="s">
        <v>18</v>
      </c>
    </row>
    <row r="768" spans="1:8" x14ac:dyDescent="0.2">
      <c r="A768" t="s">
        <v>1768</v>
      </c>
      <c r="B768" t="s">
        <v>1784</v>
      </c>
      <c r="C768" t="s">
        <v>1092</v>
      </c>
      <c r="D768" t="s">
        <v>1096</v>
      </c>
      <c r="E768">
        <v>10777.13658</v>
      </c>
      <c r="F768">
        <v>5</v>
      </c>
      <c r="G768" t="s">
        <v>1103</v>
      </c>
      <c r="H768" t="s">
        <v>18</v>
      </c>
    </row>
    <row r="769" spans="1:8" x14ac:dyDescent="0.2">
      <c r="A769" t="s">
        <v>1768</v>
      </c>
      <c r="B769" t="s">
        <v>1099</v>
      </c>
      <c r="C769" t="s">
        <v>1100</v>
      </c>
      <c r="D769" t="s">
        <v>35</v>
      </c>
      <c r="E769">
        <v>145136.00864000001</v>
      </c>
      <c r="F769">
        <v>80</v>
      </c>
      <c r="G769" t="s">
        <v>35</v>
      </c>
      <c r="H769" t="s">
        <v>18</v>
      </c>
    </row>
    <row r="770" spans="1:8" x14ac:dyDescent="0.2">
      <c r="A770" t="s">
        <v>1785</v>
      </c>
      <c r="B770" t="s">
        <v>1786</v>
      </c>
      <c r="C770" t="s">
        <v>1092</v>
      </c>
      <c r="D770" t="s">
        <v>1058</v>
      </c>
      <c r="E770">
        <v>298894</v>
      </c>
      <c r="F770">
        <v>37</v>
      </c>
      <c r="G770" t="s">
        <v>1103</v>
      </c>
      <c r="H770" t="s">
        <v>18</v>
      </c>
    </row>
    <row r="771" spans="1:8" x14ac:dyDescent="0.2">
      <c r="A771" t="s">
        <v>1785</v>
      </c>
      <c r="B771" t="s">
        <v>1099</v>
      </c>
      <c r="C771" t="s">
        <v>1100</v>
      </c>
      <c r="D771" t="s">
        <v>35</v>
      </c>
      <c r="E771">
        <v>298894</v>
      </c>
      <c r="F771">
        <v>37</v>
      </c>
      <c r="G771" t="s">
        <v>35</v>
      </c>
      <c r="H771" t="s">
        <v>18</v>
      </c>
    </row>
    <row r="772" spans="1:8" x14ac:dyDescent="0.2">
      <c r="A772" t="s">
        <v>1924</v>
      </c>
      <c r="B772" t="s">
        <v>1925</v>
      </c>
      <c r="C772" t="s">
        <v>1092</v>
      </c>
      <c r="D772" t="s">
        <v>1058</v>
      </c>
      <c r="E772">
        <v>331416.78600000002</v>
      </c>
      <c r="F772">
        <v>307</v>
      </c>
      <c r="G772" t="s">
        <v>1103</v>
      </c>
      <c r="H772" t="s">
        <v>18</v>
      </c>
    </row>
    <row r="773" spans="1:8" x14ac:dyDescent="0.2">
      <c r="A773" t="s">
        <v>1924</v>
      </c>
      <c r="B773" t="s">
        <v>1099</v>
      </c>
      <c r="C773" t="s">
        <v>1100</v>
      </c>
      <c r="D773" t="s">
        <v>35</v>
      </c>
      <c r="E773">
        <v>331416.78600000002</v>
      </c>
      <c r="F773">
        <v>307</v>
      </c>
      <c r="G773" t="s">
        <v>35</v>
      </c>
      <c r="H773" t="s">
        <v>18</v>
      </c>
    </row>
    <row r="774" spans="1:8" x14ac:dyDescent="0.2">
      <c r="A774" t="s">
        <v>1926</v>
      </c>
      <c r="B774" t="s">
        <v>1180</v>
      </c>
      <c r="C774" t="s">
        <v>1092</v>
      </c>
      <c r="D774" t="s">
        <v>1126</v>
      </c>
      <c r="E774">
        <v>660615.48</v>
      </c>
      <c r="F774">
        <v>197</v>
      </c>
      <c r="G774" t="s">
        <v>1093</v>
      </c>
      <c r="H774" t="s">
        <v>18</v>
      </c>
    </row>
    <row r="775" spans="1:8" x14ac:dyDescent="0.2">
      <c r="A775" t="s">
        <v>1926</v>
      </c>
      <c r="B775" t="s">
        <v>1099</v>
      </c>
      <c r="C775" t="s">
        <v>1100</v>
      </c>
      <c r="D775" t="s">
        <v>35</v>
      </c>
      <c r="E775">
        <v>660615.48</v>
      </c>
      <c r="F775">
        <v>197</v>
      </c>
      <c r="G775" t="s">
        <v>35</v>
      </c>
      <c r="H775" t="s">
        <v>18</v>
      </c>
    </row>
    <row r="776" spans="1:8" x14ac:dyDescent="0.2">
      <c r="A776" t="s">
        <v>1787</v>
      </c>
      <c r="B776" t="s">
        <v>1788</v>
      </c>
      <c r="C776" t="s">
        <v>1092</v>
      </c>
      <c r="D776" t="s">
        <v>1052</v>
      </c>
      <c r="E776">
        <v>459406.08400000003</v>
      </c>
      <c r="F776">
        <v>38</v>
      </c>
      <c r="G776" t="s">
        <v>1093</v>
      </c>
      <c r="H776" t="s">
        <v>18</v>
      </c>
    </row>
    <row r="777" spans="1:8" x14ac:dyDescent="0.2">
      <c r="A777" t="s">
        <v>1787</v>
      </c>
      <c r="B777" t="s">
        <v>1789</v>
      </c>
      <c r="C777" t="s">
        <v>1092</v>
      </c>
      <c r="D777" t="s">
        <v>1052</v>
      </c>
      <c r="E777">
        <v>470956.50499999995</v>
      </c>
      <c r="F777">
        <v>43</v>
      </c>
      <c r="G777" t="s">
        <v>1093</v>
      </c>
      <c r="H777" t="s">
        <v>18</v>
      </c>
    </row>
    <row r="778" spans="1:8" x14ac:dyDescent="0.2">
      <c r="A778" t="s">
        <v>1787</v>
      </c>
      <c r="B778" t="s">
        <v>1099</v>
      </c>
      <c r="C778" t="s">
        <v>1100</v>
      </c>
      <c r="D778" t="s">
        <v>35</v>
      </c>
      <c r="E778">
        <v>930362.58899999992</v>
      </c>
      <c r="F778">
        <v>81</v>
      </c>
      <c r="G778" t="s">
        <v>35</v>
      </c>
      <c r="H778" t="s">
        <v>18</v>
      </c>
    </row>
    <row r="779" spans="1:8" x14ac:dyDescent="0.2">
      <c r="A779" t="s">
        <v>1790</v>
      </c>
      <c r="B779" t="s">
        <v>1791</v>
      </c>
      <c r="C779" t="s">
        <v>1092</v>
      </c>
      <c r="D779" t="s">
        <v>1096</v>
      </c>
      <c r="E779">
        <v>357543.69020000001</v>
      </c>
      <c r="F779">
        <v>114</v>
      </c>
      <c r="G779" t="s">
        <v>1103</v>
      </c>
      <c r="H779" t="s">
        <v>18</v>
      </c>
    </row>
    <row r="780" spans="1:8" x14ac:dyDescent="0.2">
      <c r="A780" t="s">
        <v>1790</v>
      </c>
      <c r="B780" t="s">
        <v>1099</v>
      </c>
      <c r="C780" t="s">
        <v>1100</v>
      </c>
      <c r="D780" t="s">
        <v>35</v>
      </c>
      <c r="E780">
        <v>357543.69020000001</v>
      </c>
      <c r="F780">
        <v>114</v>
      </c>
      <c r="G780" t="s">
        <v>35</v>
      </c>
      <c r="H780" t="s">
        <v>18</v>
      </c>
    </row>
    <row r="781" spans="1:8" x14ac:dyDescent="0.2">
      <c r="A781" t="s">
        <v>141</v>
      </c>
      <c r="B781" t="s">
        <v>1792</v>
      </c>
      <c r="C781" t="s">
        <v>1092</v>
      </c>
      <c r="D781" t="s">
        <v>1126</v>
      </c>
      <c r="E781">
        <v>234711.99000000002</v>
      </c>
      <c r="F781">
        <v>135577</v>
      </c>
      <c r="G781" t="s">
        <v>1109</v>
      </c>
      <c r="H781" t="s">
        <v>18</v>
      </c>
    </row>
    <row r="782" spans="1:8" x14ac:dyDescent="0.2">
      <c r="A782" t="s">
        <v>141</v>
      </c>
      <c r="B782" t="s">
        <v>1793</v>
      </c>
      <c r="C782" t="s">
        <v>1092</v>
      </c>
      <c r="D782" t="s">
        <v>1126</v>
      </c>
      <c r="E782">
        <v>244891.59299999999</v>
      </c>
      <c r="F782">
        <v>137316</v>
      </c>
      <c r="G782" t="s">
        <v>1109</v>
      </c>
      <c r="H782" t="s">
        <v>18</v>
      </c>
    </row>
    <row r="783" spans="1:8" x14ac:dyDescent="0.2">
      <c r="A783" t="s">
        <v>141</v>
      </c>
      <c r="B783" t="s">
        <v>1794</v>
      </c>
      <c r="C783" t="s">
        <v>1092</v>
      </c>
      <c r="D783" t="s">
        <v>1126</v>
      </c>
      <c r="E783">
        <v>129055.73999999999</v>
      </c>
      <c r="F783">
        <v>83141</v>
      </c>
      <c r="G783" t="s">
        <v>1109</v>
      </c>
      <c r="H783" t="s">
        <v>18</v>
      </c>
    </row>
    <row r="784" spans="1:8" x14ac:dyDescent="0.2">
      <c r="A784" t="s">
        <v>141</v>
      </c>
      <c r="B784" t="s">
        <v>1795</v>
      </c>
      <c r="C784" t="s">
        <v>1092</v>
      </c>
      <c r="D784" t="s">
        <v>1126</v>
      </c>
      <c r="E784">
        <v>94784.597389999981</v>
      </c>
      <c r="F784">
        <v>52880</v>
      </c>
      <c r="G784" t="s">
        <v>1109</v>
      </c>
      <c r="H784" t="s">
        <v>18</v>
      </c>
    </row>
    <row r="785" spans="1:8" x14ac:dyDescent="0.2">
      <c r="A785" t="s">
        <v>141</v>
      </c>
      <c r="B785" t="s">
        <v>1796</v>
      </c>
      <c r="C785" t="s">
        <v>1092</v>
      </c>
      <c r="D785" t="s">
        <v>1126</v>
      </c>
      <c r="E785">
        <v>738909.15812699997</v>
      </c>
      <c r="F785">
        <v>336818</v>
      </c>
      <c r="G785" t="s">
        <v>1109</v>
      </c>
      <c r="H785" t="s">
        <v>18</v>
      </c>
    </row>
    <row r="786" spans="1:8" x14ac:dyDescent="0.2">
      <c r="A786" t="s">
        <v>141</v>
      </c>
      <c r="B786" t="s">
        <v>1099</v>
      </c>
      <c r="C786" t="s">
        <v>1100</v>
      </c>
      <c r="D786" t="s">
        <v>35</v>
      </c>
      <c r="E786">
        <v>1442353.0785169997</v>
      </c>
      <c r="F786">
        <v>745732</v>
      </c>
      <c r="G786" t="s">
        <v>35</v>
      </c>
      <c r="H786" t="s">
        <v>18</v>
      </c>
    </row>
    <row r="787" spans="1:8" x14ac:dyDescent="0.2">
      <c r="A787" t="s">
        <v>1797</v>
      </c>
      <c r="B787" t="s">
        <v>1798</v>
      </c>
      <c r="C787" t="s">
        <v>1092</v>
      </c>
      <c r="D787" t="s">
        <v>1052</v>
      </c>
      <c r="E787">
        <v>175825.24829999998</v>
      </c>
      <c r="F787">
        <v>58</v>
      </c>
      <c r="G787" t="s">
        <v>1103</v>
      </c>
      <c r="H787" t="s">
        <v>18</v>
      </c>
    </row>
    <row r="788" spans="1:8" x14ac:dyDescent="0.2">
      <c r="A788" t="s">
        <v>1797</v>
      </c>
      <c r="B788" t="s">
        <v>1799</v>
      </c>
      <c r="C788" t="s">
        <v>1092</v>
      </c>
      <c r="D788" t="s">
        <v>1052</v>
      </c>
      <c r="E788">
        <v>170685.2782</v>
      </c>
      <c r="F788">
        <v>78</v>
      </c>
      <c r="G788" t="s">
        <v>1103</v>
      </c>
      <c r="H788" t="s">
        <v>18</v>
      </c>
    </row>
    <row r="789" spans="1:8" x14ac:dyDescent="0.2">
      <c r="A789" t="s">
        <v>1797</v>
      </c>
      <c r="B789" t="s">
        <v>1800</v>
      </c>
      <c r="C789" t="s">
        <v>1092</v>
      </c>
      <c r="D789" t="s">
        <v>1061</v>
      </c>
      <c r="E789">
        <v>299401.90340000001</v>
      </c>
      <c r="F789">
        <v>116</v>
      </c>
      <c r="G789" t="s">
        <v>1103</v>
      </c>
      <c r="H789" t="s">
        <v>18</v>
      </c>
    </row>
    <row r="790" spans="1:8" x14ac:dyDescent="0.2">
      <c r="A790" t="s">
        <v>1797</v>
      </c>
      <c r="B790" t="s">
        <v>1927</v>
      </c>
      <c r="C790" t="s">
        <v>1092</v>
      </c>
      <c r="D790" t="s">
        <v>1061</v>
      </c>
      <c r="E790">
        <v>0</v>
      </c>
      <c r="F790">
        <v>183</v>
      </c>
      <c r="G790" t="s">
        <v>1103</v>
      </c>
      <c r="H790" t="s">
        <v>18</v>
      </c>
    </row>
    <row r="791" spans="1:8" x14ac:dyDescent="0.2">
      <c r="A791" t="s">
        <v>1797</v>
      </c>
      <c r="B791" t="s">
        <v>1099</v>
      </c>
      <c r="C791" t="s">
        <v>1100</v>
      </c>
      <c r="D791" t="s">
        <v>35</v>
      </c>
      <c r="E791">
        <v>645912.42989999999</v>
      </c>
      <c r="F791">
        <v>435</v>
      </c>
      <c r="G791" t="s">
        <v>35</v>
      </c>
      <c r="H791" t="s">
        <v>18</v>
      </c>
    </row>
    <row r="792" spans="1:8" x14ac:dyDescent="0.2">
      <c r="A792" t="s">
        <v>1801</v>
      </c>
      <c r="B792" t="s">
        <v>1802</v>
      </c>
      <c r="C792" t="s">
        <v>1092</v>
      </c>
      <c r="D792" t="s">
        <v>1061</v>
      </c>
      <c r="E792">
        <v>57379.4833</v>
      </c>
      <c r="F792">
        <v>2253</v>
      </c>
      <c r="G792" t="s">
        <v>1803</v>
      </c>
      <c r="H792" t="s">
        <v>18</v>
      </c>
    </row>
    <row r="793" spans="1:8" x14ac:dyDescent="0.2">
      <c r="A793" t="s">
        <v>1801</v>
      </c>
      <c r="B793" t="s">
        <v>1099</v>
      </c>
      <c r="C793" t="s">
        <v>1100</v>
      </c>
      <c r="D793" t="s">
        <v>35</v>
      </c>
      <c r="E793">
        <v>57379.4833</v>
      </c>
      <c r="F793">
        <v>2253</v>
      </c>
      <c r="G793" t="s">
        <v>35</v>
      </c>
      <c r="H793" t="s">
        <v>18</v>
      </c>
    </row>
    <row r="794" spans="1:8" x14ac:dyDescent="0.2">
      <c r="A794" t="s">
        <v>511</v>
      </c>
      <c r="B794" t="s">
        <v>1804</v>
      </c>
      <c r="C794" t="s">
        <v>1092</v>
      </c>
      <c r="D794" t="s">
        <v>1126</v>
      </c>
      <c r="E794">
        <v>2660.5039999999999</v>
      </c>
      <c r="F794">
        <v>1829</v>
      </c>
      <c r="G794" t="s">
        <v>1236</v>
      </c>
      <c r="H794" t="s">
        <v>18</v>
      </c>
    </row>
    <row r="795" spans="1:8" x14ac:dyDescent="0.2">
      <c r="A795" t="s">
        <v>511</v>
      </c>
      <c r="B795" t="s">
        <v>1805</v>
      </c>
      <c r="C795" t="s">
        <v>1092</v>
      </c>
      <c r="D795" t="s">
        <v>1126</v>
      </c>
      <c r="E795">
        <v>2977.3150000000001</v>
      </c>
      <c r="F795">
        <v>2182</v>
      </c>
      <c r="G795" t="s">
        <v>1236</v>
      </c>
      <c r="H795" t="s">
        <v>18</v>
      </c>
    </row>
    <row r="796" spans="1:8" x14ac:dyDescent="0.2">
      <c r="A796" t="s">
        <v>511</v>
      </c>
      <c r="B796" t="s">
        <v>1099</v>
      </c>
      <c r="C796" t="s">
        <v>1100</v>
      </c>
      <c r="D796" t="s">
        <v>35</v>
      </c>
      <c r="E796">
        <v>5637.8189999999995</v>
      </c>
      <c r="F796">
        <v>4011</v>
      </c>
      <c r="G796" t="s">
        <v>35</v>
      </c>
      <c r="H796" t="s">
        <v>18</v>
      </c>
    </row>
    <row r="797" spans="1:8" x14ac:dyDescent="0.2">
      <c r="A797" t="s">
        <v>1807</v>
      </c>
      <c r="B797" t="s">
        <v>1808</v>
      </c>
      <c r="C797" t="s">
        <v>1092</v>
      </c>
      <c r="D797" t="s">
        <v>1058</v>
      </c>
      <c r="E797">
        <v>171393.55</v>
      </c>
      <c r="F797">
        <v>6</v>
      </c>
      <c r="G797" t="s">
        <v>1103</v>
      </c>
      <c r="H797" t="s">
        <v>18</v>
      </c>
    </row>
    <row r="798" spans="1:8" x14ac:dyDescent="0.2">
      <c r="A798" t="s">
        <v>1807</v>
      </c>
      <c r="B798" t="s">
        <v>1099</v>
      </c>
      <c r="C798" t="s">
        <v>1100</v>
      </c>
      <c r="D798" t="s">
        <v>35</v>
      </c>
      <c r="E798">
        <v>171393.55</v>
      </c>
      <c r="F798">
        <v>6</v>
      </c>
      <c r="G798" t="s">
        <v>35</v>
      </c>
      <c r="H798" t="s">
        <v>18</v>
      </c>
    </row>
    <row r="799" spans="1:8" x14ac:dyDescent="0.2">
      <c r="A799" t="s">
        <v>1809</v>
      </c>
      <c r="B799" t="s">
        <v>1810</v>
      </c>
      <c r="C799" t="s">
        <v>1092</v>
      </c>
      <c r="D799" t="s">
        <v>1058</v>
      </c>
      <c r="E799">
        <v>28413.138279999999</v>
      </c>
      <c r="F799">
        <v>0</v>
      </c>
      <c r="G799" t="s">
        <v>1103</v>
      </c>
      <c r="H799" t="s">
        <v>18</v>
      </c>
    </row>
    <row r="800" spans="1:8" x14ac:dyDescent="0.2">
      <c r="A800" t="s">
        <v>1809</v>
      </c>
      <c r="B800" t="s">
        <v>1099</v>
      </c>
      <c r="C800" t="s">
        <v>1100</v>
      </c>
      <c r="D800" t="s">
        <v>35</v>
      </c>
      <c r="E800">
        <v>28413.138279999999</v>
      </c>
      <c r="F800">
        <v>0</v>
      </c>
      <c r="G800" t="s">
        <v>35</v>
      </c>
      <c r="H800" t="s">
        <v>18</v>
      </c>
    </row>
    <row r="801" spans="1:8" x14ac:dyDescent="0.2">
      <c r="A801" t="s">
        <v>1928</v>
      </c>
      <c r="B801" t="s">
        <v>1816</v>
      </c>
      <c r="C801" t="s">
        <v>1092</v>
      </c>
      <c r="D801" t="s">
        <v>1096</v>
      </c>
      <c r="E801">
        <v>126828.10249999999</v>
      </c>
      <c r="F801">
        <v>35</v>
      </c>
      <c r="G801" t="s">
        <v>1103</v>
      </c>
      <c r="H801" t="s">
        <v>18</v>
      </c>
    </row>
    <row r="802" spans="1:8" x14ac:dyDescent="0.2">
      <c r="A802" t="s">
        <v>1928</v>
      </c>
      <c r="B802" t="s">
        <v>1099</v>
      </c>
      <c r="C802" t="s">
        <v>1100</v>
      </c>
      <c r="D802" t="s">
        <v>35</v>
      </c>
      <c r="E802">
        <v>126828.10249999999</v>
      </c>
      <c r="F802">
        <v>35</v>
      </c>
      <c r="G802" t="s">
        <v>35</v>
      </c>
      <c r="H802" t="s">
        <v>18</v>
      </c>
    </row>
    <row r="803" spans="1:8" x14ac:dyDescent="0.2">
      <c r="A803" t="s">
        <v>1817</v>
      </c>
      <c r="B803" t="s">
        <v>1818</v>
      </c>
      <c r="C803" t="s">
        <v>1092</v>
      </c>
      <c r="D803" t="s">
        <v>1096</v>
      </c>
      <c r="E803">
        <v>199209.302</v>
      </c>
      <c r="F803">
        <v>69</v>
      </c>
      <c r="G803" t="s">
        <v>1103</v>
      </c>
      <c r="H803" t="s">
        <v>18</v>
      </c>
    </row>
    <row r="804" spans="1:8" x14ac:dyDescent="0.2">
      <c r="A804" t="s">
        <v>1817</v>
      </c>
      <c r="B804" t="s">
        <v>1099</v>
      </c>
      <c r="C804" t="s">
        <v>1100</v>
      </c>
      <c r="D804" t="s">
        <v>35</v>
      </c>
      <c r="E804">
        <v>199209.302</v>
      </c>
      <c r="F804">
        <v>69</v>
      </c>
      <c r="G804" t="s">
        <v>35</v>
      </c>
      <c r="H804" t="s">
        <v>18</v>
      </c>
    </row>
    <row r="805" spans="1:8" x14ac:dyDescent="0.2">
      <c r="A805" t="s">
        <v>1819</v>
      </c>
      <c r="B805" t="s">
        <v>1820</v>
      </c>
      <c r="C805" t="s">
        <v>1092</v>
      </c>
      <c r="D805" t="s">
        <v>1061</v>
      </c>
      <c r="E805">
        <v>296466.05800000002</v>
      </c>
      <c r="F805">
        <v>26</v>
      </c>
      <c r="G805" t="s">
        <v>1103</v>
      </c>
      <c r="H805" t="s">
        <v>18</v>
      </c>
    </row>
    <row r="806" spans="1:8" x14ac:dyDescent="0.2">
      <c r="A806" t="s">
        <v>1819</v>
      </c>
      <c r="B806" t="s">
        <v>1099</v>
      </c>
      <c r="C806" t="s">
        <v>1100</v>
      </c>
      <c r="D806" t="s">
        <v>35</v>
      </c>
      <c r="E806">
        <v>296466.05800000002</v>
      </c>
      <c r="F806">
        <v>26</v>
      </c>
      <c r="G806" t="s">
        <v>35</v>
      </c>
      <c r="H806" t="s">
        <v>18</v>
      </c>
    </row>
    <row r="807" spans="1:8" x14ac:dyDescent="0.2">
      <c r="A807" t="s">
        <v>1929</v>
      </c>
      <c r="B807" t="s">
        <v>1930</v>
      </c>
      <c r="C807" t="s">
        <v>1092</v>
      </c>
      <c r="D807" t="s">
        <v>1058</v>
      </c>
      <c r="E807">
        <v>110103.689</v>
      </c>
      <c r="F807">
        <v>0</v>
      </c>
      <c r="G807" t="s">
        <v>1103</v>
      </c>
      <c r="H807" t="s">
        <v>18</v>
      </c>
    </row>
    <row r="808" spans="1:8" x14ac:dyDescent="0.2">
      <c r="A808" t="s">
        <v>1929</v>
      </c>
      <c r="B808" t="s">
        <v>1099</v>
      </c>
      <c r="C808" t="s">
        <v>1100</v>
      </c>
      <c r="D808" t="s">
        <v>35</v>
      </c>
      <c r="E808">
        <v>110103.689</v>
      </c>
      <c r="F808">
        <v>0</v>
      </c>
      <c r="G808" t="s">
        <v>35</v>
      </c>
      <c r="H808" t="s">
        <v>18</v>
      </c>
    </row>
    <row r="809" spans="1:8" x14ac:dyDescent="0.2">
      <c r="A809" t="s">
        <v>1821</v>
      </c>
      <c r="B809" t="s">
        <v>1822</v>
      </c>
      <c r="C809" t="s">
        <v>1092</v>
      </c>
      <c r="D809" t="s">
        <v>1096</v>
      </c>
      <c r="E809">
        <v>131019.52500000001</v>
      </c>
      <c r="F809">
        <v>0</v>
      </c>
      <c r="G809" t="s">
        <v>1103</v>
      </c>
      <c r="H809" t="s">
        <v>18</v>
      </c>
    </row>
    <row r="810" spans="1:8" x14ac:dyDescent="0.2">
      <c r="A810" t="s">
        <v>1821</v>
      </c>
      <c r="B810" t="s">
        <v>1099</v>
      </c>
      <c r="C810" t="s">
        <v>1100</v>
      </c>
      <c r="D810" t="s">
        <v>35</v>
      </c>
      <c r="E810">
        <v>131019.52500000001</v>
      </c>
      <c r="F810">
        <v>0</v>
      </c>
      <c r="G810" t="s">
        <v>35</v>
      </c>
      <c r="H810" t="s">
        <v>18</v>
      </c>
    </row>
    <row r="811" spans="1:8" x14ac:dyDescent="0.2">
      <c r="A811" t="s">
        <v>1931</v>
      </c>
      <c r="B811" t="s">
        <v>35</v>
      </c>
      <c r="C811" t="s">
        <v>35</v>
      </c>
      <c r="D811" t="s">
        <v>35</v>
      </c>
      <c r="E811">
        <v>219909211.88464135</v>
      </c>
      <c r="F811">
        <v>135821941</v>
      </c>
      <c r="G811" t="s">
        <v>35</v>
      </c>
      <c r="H811" t="s">
        <v>18</v>
      </c>
    </row>
    <row r="812" spans="1:8" x14ac:dyDescent="0.2">
      <c r="A812" t="s">
        <v>1932</v>
      </c>
      <c r="B812" t="s">
        <v>35</v>
      </c>
      <c r="C812" t="s">
        <v>35</v>
      </c>
      <c r="D812" t="s">
        <v>35</v>
      </c>
      <c r="E812">
        <v>215354045.37095633</v>
      </c>
      <c r="F812">
        <v>133700664</v>
      </c>
      <c r="G812" t="s">
        <v>35</v>
      </c>
      <c r="H812" t="s">
        <v>18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310E3-8E6A-4E4D-A3D3-B9FF24E64B71}">
  <dimension ref="A1:H776"/>
  <sheetViews>
    <sheetView workbookViewId="0"/>
  </sheetViews>
  <sheetFormatPr baseColWidth="10" defaultRowHeight="16" x14ac:dyDescent="0.2"/>
  <cols>
    <col min="1" max="1" width="56.1640625" bestFit="1" customWidth="1"/>
    <col min="2" max="2" width="56.83203125" bestFit="1" customWidth="1"/>
    <col min="3" max="3" width="7.33203125" bestFit="1" customWidth="1"/>
    <col min="4" max="4" width="8" bestFit="1" customWidth="1"/>
    <col min="5" max="5" width="27.33203125" bestFit="1" customWidth="1"/>
    <col min="6" max="6" width="31.83203125" bestFit="1" customWidth="1"/>
    <col min="7" max="7" width="18.5" bestFit="1" customWidth="1"/>
    <col min="8" max="8" width="7.83203125" bestFit="1" customWidth="1"/>
  </cols>
  <sheetData>
    <row r="1" spans="1:8" x14ac:dyDescent="0.2">
      <c r="A1" t="s">
        <v>1086</v>
      </c>
      <c r="B1" t="s">
        <v>1087</v>
      </c>
      <c r="C1" t="s">
        <v>1088</v>
      </c>
      <c r="D1" t="s">
        <v>1045</v>
      </c>
      <c r="E1" t="s">
        <v>1089</v>
      </c>
      <c r="F1" t="s">
        <v>28</v>
      </c>
      <c r="G1" t="s">
        <v>1090</v>
      </c>
      <c r="H1" t="s">
        <v>32</v>
      </c>
    </row>
    <row r="2" spans="1:8" x14ac:dyDescent="0.2">
      <c r="A2" t="s">
        <v>545</v>
      </c>
      <c r="B2" t="s">
        <v>1091</v>
      </c>
      <c r="C2" t="s">
        <v>1092</v>
      </c>
      <c r="D2" t="s">
        <v>1052</v>
      </c>
      <c r="E2">
        <v>133874.492</v>
      </c>
      <c r="F2">
        <v>57</v>
      </c>
      <c r="G2" t="s">
        <v>1093</v>
      </c>
      <c r="H2" t="s">
        <v>15</v>
      </c>
    </row>
    <row r="3" spans="1:8" x14ac:dyDescent="0.2">
      <c r="A3" t="s">
        <v>545</v>
      </c>
      <c r="B3" t="s">
        <v>1094</v>
      </c>
      <c r="C3" t="s">
        <v>1092</v>
      </c>
      <c r="D3" t="s">
        <v>1058</v>
      </c>
      <c r="E3">
        <v>136502.399</v>
      </c>
      <c r="F3">
        <v>50</v>
      </c>
      <c r="G3" t="s">
        <v>1093</v>
      </c>
      <c r="H3" t="s">
        <v>15</v>
      </c>
    </row>
    <row r="4" spans="1:8" x14ac:dyDescent="0.2">
      <c r="A4" t="s">
        <v>545</v>
      </c>
      <c r="B4" t="s">
        <v>1095</v>
      </c>
      <c r="C4" t="s">
        <v>1092</v>
      </c>
      <c r="D4" t="s">
        <v>1096</v>
      </c>
      <c r="E4">
        <v>283153.40098999999</v>
      </c>
      <c r="F4">
        <v>202</v>
      </c>
      <c r="G4" t="s">
        <v>1093</v>
      </c>
      <c r="H4" t="s">
        <v>15</v>
      </c>
    </row>
    <row r="5" spans="1:8" x14ac:dyDescent="0.2">
      <c r="A5" t="s">
        <v>545</v>
      </c>
      <c r="B5" t="s">
        <v>1097</v>
      </c>
      <c r="C5" t="s">
        <v>1092</v>
      </c>
      <c r="D5" t="s">
        <v>1096</v>
      </c>
      <c r="E5">
        <v>284847.36599999998</v>
      </c>
      <c r="F5">
        <v>99</v>
      </c>
      <c r="G5" t="s">
        <v>1093</v>
      </c>
      <c r="H5" t="s">
        <v>15</v>
      </c>
    </row>
    <row r="6" spans="1:8" x14ac:dyDescent="0.2">
      <c r="A6" t="s">
        <v>545</v>
      </c>
      <c r="B6" t="s">
        <v>1098</v>
      </c>
      <c r="C6" t="s">
        <v>1092</v>
      </c>
      <c r="D6" t="s">
        <v>1096</v>
      </c>
      <c r="E6">
        <v>543045.71699999995</v>
      </c>
      <c r="F6">
        <v>186</v>
      </c>
      <c r="G6" t="s">
        <v>1093</v>
      </c>
      <c r="H6" t="s">
        <v>15</v>
      </c>
    </row>
    <row r="7" spans="1:8" x14ac:dyDescent="0.2">
      <c r="A7" t="s">
        <v>545</v>
      </c>
      <c r="B7" t="s">
        <v>1099</v>
      </c>
      <c r="C7" t="s">
        <v>1100</v>
      </c>
      <c r="D7" t="s">
        <v>35</v>
      </c>
      <c r="E7">
        <v>1381423.3749899999</v>
      </c>
      <c r="F7">
        <v>594</v>
      </c>
      <c r="G7" t="s">
        <v>35</v>
      </c>
      <c r="H7" t="s">
        <v>15</v>
      </c>
    </row>
    <row r="8" spans="1:8" x14ac:dyDescent="0.2">
      <c r="A8" t="s">
        <v>1101</v>
      </c>
      <c r="B8" t="s">
        <v>1102</v>
      </c>
      <c r="C8" t="s">
        <v>1092</v>
      </c>
      <c r="D8" t="s">
        <v>1058</v>
      </c>
      <c r="E8">
        <v>822340.00514999998</v>
      </c>
      <c r="F8">
        <v>53</v>
      </c>
      <c r="G8" t="s">
        <v>1103</v>
      </c>
      <c r="H8" t="s">
        <v>15</v>
      </c>
    </row>
    <row r="9" spans="1:8" x14ac:dyDescent="0.2">
      <c r="A9" t="s">
        <v>1101</v>
      </c>
      <c r="B9" t="s">
        <v>1099</v>
      </c>
      <c r="C9" t="s">
        <v>1100</v>
      </c>
      <c r="D9" t="s">
        <v>35</v>
      </c>
      <c r="E9">
        <v>822340.00514999998</v>
      </c>
      <c r="F9">
        <v>53</v>
      </c>
      <c r="G9" t="s">
        <v>35</v>
      </c>
      <c r="H9" t="s">
        <v>15</v>
      </c>
    </row>
    <row r="10" spans="1:8" x14ac:dyDescent="0.2">
      <c r="A10" t="s">
        <v>1104</v>
      </c>
      <c r="B10" t="s">
        <v>1105</v>
      </c>
      <c r="C10" t="s">
        <v>1092</v>
      </c>
      <c r="D10" t="s">
        <v>1061</v>
      </c>
      <c r="E10">
        <v>158386.9</v>
      </c>
      <c r="F10">
        <v>0</v>
      </c>
      <c r="G10" t="s">
        <v>1103</v>
      </c>
      <c r="H10" t="s">
        <v>15</v>
      </c>
    </row>
    <row r="11" spans="1:8" x14ac:dyDescent="0.2">
      <c r="A11" t="s">
        <v>1104</v>
      </c>
      <c r="B11" t="s">
        <v>1099</v>
      </c>
      <c r="C11" t="s">
        <v>1100</v>
      </c>
      <c r="D11" t="s">
        <v>35</v>
      </c>
      <c r="E11">
        <v>158386.9</v>
      </c>
      <c r="F11">
        <v>0</v>
      </c>
      <c r="G11" t="s">
        <v>35</v>
      </c>
      <c r="H11" t="s">
        <v>15</v>
      </c>
    </row>
    <row r="12" spans="1:8" x14ac:dyDescent="0.2">
      <c r="A12" t="s">
        <v>33</v>
      </c>
      <c r="B12" t="s">
        <v>1106</v>
      </c>
      <c r="C12" t="s">
        <v>1092</v>
      </c>
      <c r="D12" t="s">
        <v>1096</v>
      </c>
      <c r="E12">
        <v>25489.690931000001</v>
      </c>
      <c r="F12">
        <v>0</v>
      </c>
      <c r="G12" t="s">
        <v>1107</v>
      </c>
      <c r="H12" t="s">
        <v>15</v>
      </c>
    </row>
    <row r="13" spans="1:8" x14ac:dyDescent="0.2">
      <c r="A13" t="s">
        <v>33</v>
      </c>
      <c r="B13" t="s">
        <v>1108</v>
      </c>
      <c r="C13" t="s">
        <v>1092</v>
      </c>
      <c r="D13" t="s">
        <v>1052</v>
      </c>
      <c r="E13">
        <v>284768.708675</v>
      </c>
      <c r="F13">
        <v>163814</v>
      </c>
      <c r="G13" t="s">
        <v>1109</v>
      </c>
      <c r="H13" t="s">
        <v>15</v>
      </c>
    </row>
    <row r="14" spans="1:8" x14ac:dyDescent="0.2">
      <c r="A14" t="s">
        <v>33</v>
      </c>
      <c r="B14" t="s">
        <v>1110</v>
      </c>
      <c r="C14" t="s">
        <v>1092</v>
      </c>
      <c r="D14" t="s">
        <v>1058</v>
      </c>
      <c r="E14">
        <v>15546296</v>
      </c>
      <c r="F14">
        <v>13678909</v>
      </c>
      <c r="G14" t="s">
        <v>1111</v>
      </c>
      <c r="H14" t="s">
        <v>15</v>
      </c>
    </row>
    <row r="15" spans="1:8" x14ac:dyDescent="0.2">
      <c r="A15" t="s">
        <v>33</v>
      </c>
      <c r="B15" t="s">
        <v>1112</v>
      </c>
      <c r="C15" t="s">
        <v>1092</v>
      </c>
      <c r="D15" t="s">
        <v>1096</v>
      </c>
      <c r="E15">
        <v>53818.821367999997</v>
      </c>
      <c r="F15">
        <v>0</v>
      </c>
      <c r="G15" t="s">
        <v>1107</v>
      </c>
      <c r="H15" t="s">
        <v>15</v>
      </c>
    </row>
    <row r="16" spans="1:8" x14ac:dyDescent="0.2">
      <c r="A16" t="s">
        <v>33</v>
      </c>
      <c r="B16" t="s">
        <v>1113</v>
      </c>
      <c r="C16" t="s">
        <v>1092</v>
      </c>
      <c r="D16" t="s">
        <v>1058</v>
      </c>
      <c r="E16">
        <v>107411.8</v>
      </c>
      <c r="F16">
        <v>83</v>
      </c>
      <c r="G16" t="s">
        <v>1103</v>
      </c>
      <c r="H16" t="s">
        <v>15</v>
      </c>
    </row>
    <row r="17" spans="1:8" x14ac:dyDescent="0.2">
      <c r="A17" t="s">
        <v>33</v>
      </c>
      <c r="B17" t="s">
        <v>1114</v>
      </c>
      <c r="C17" t="s">
        <v>1092</v>
      </c>
      <c r="D17" t="s">
        <v>1058</v>
      </c>
      <c r="E17">
        <v>44754.061512</v>
      </c>
      <c r="F17">
        <v>0</v>
      </c>
      <c r="G17" t="s">
        <v>1107</v>
      </c>
      <c r="H17" t="s">
        <v>15</v>
      </c>
    </row>
    <row r="18" spans="1:8" x14ac:dyDescent="0.2">
      <c r="A18" t="s">
        <v>33</v>
      </c>
      <c r="B18" t="s">
        <v>1115</v>
      </c>
      <c r="C18" t="s">
        <v>1092</v>
      </c>
      <c r="D18" t="s">
        <v>1096</v>
      </c>
      <c r="E18">
        <v>43316.920828000002</v>
      </c>
      <c r="F18">
        <v>0</v>
      </c>
      <c r="G18" t="s">
        <v>1107</v>
      </c>
      <c r="H18" t="s">
        <v>15</v>
      </c>
    </row>
    <row r="19" spans="1:8" x14ac:dyDescent="0.2">
      <c r="A19" t="s">
        <v>33</v>
      </c>
      <c r="B19" t="s">
        <v>1116</v>
      </c>
      <c r="C19" t="s">
        <v>1092</v>
      </c>
      <c r="D19" t="s">
        <v>1061</v>
      </c>
      <c r="E19">
        <v>1285780.9776000001</v>
      </c>
      <c r="F19">
        <v>152</v>
      </c>
      <c r="G19" t="s">
        <v>1093</v>
      </c>
      <c r="H19" t="s">
        <v>15</v>
      </c>
    </row>
    <row r="20" spans="1:8" x14ac:dyDescent="0.2">
      <c r="A20" t="s">
        <v>33</v>
      </c>
      <c r="B20" t="s">
        <v>1117</v>
      </c>
      <c r="C20" t="s">
        <v>1092</v>
      </c>
      <c r="D20" t="s">
        <v>1058</v>
      </c>
      <c r="E20">
        <v>50532.924248000003</v>
      </c>
      <c r="F20">
        <v>0</v>
      </c>
      <c r="G20" t="s">
        <v>1107</v>
      </c>
      <c r="H20" t="s">
        <v>15</v>
      </c>
    </row>
    <row r="21" spans="1:8" x14ac:dyDescent="0.2">
      <c r="A21" t="s">
        <v>33</v>
      </c>
      <c r="B21" t="s">
        <v>1118</v>
      </c>
      <c r="C21" t="s">
        <v>1092</v>
      </c>
      <c r="D21" t="s">
        <v>1096</v>
      </c>
      <c r="E21">
        <v>275461.62520200002</v>
      </c>
      <c r="F21">
        <v>0</v>
      </c>
      <c r="G21" t="s">
        <v>1107</v>
      </c>
      <c r="H21" t="s">
        <v>15</v>
      </c>
    </row>
    <row r="22" spans="1:8" x14ac:dyDescent="0.2">
      <c r="A22" t="s">
        <v>33</v>
      </c>
      <c r="B22" t="s">
        <v>1119</v>
      </c>
      <c r="C22" t="s">
        <v>1092</v>
      </c>
      <c r="D22" t="s">
        <v>1096</v>
      </c>
      <c r="E22">
        <v>228690.553281</v>
      </c>
      <c r="F22">
        <v>0</v>
      </c>
      <c r="G22" t="s">
        <v>1107</v>
      </c>
      <c r="H22" t="s">
        <v>15</v>
      </c>
    </row>
    <row r="23" spans="1:8" x14ac:dyDescent="0.2">
      <c r="A23" t="s">
        <v>33</v>
      </c>
      <c r="B23" t="s">
        <v>1120</v>
      </c>
      <c r="C23" t="s">
        <v>1092</v>
      </c>
      <c r="D23" t="s">
        <v>1058</v>
      </c>
      <c r="E23">
        <v>0</v>
      </c>
      <c r="F23">
        <v>0</v>
      </c>
      <c r="G23" t="s">
        <v>1107</v>
      </c>
      <c r="H23" t="s">
        <v>15</v>
      </c>
    </row>
    <row r="24" spans="1:8" x14ac:dyDescent="0.2">
      <c r="A24" t="s">
        <v>33</v>
      </c>
      <c r="B24" t="s">
        <v>1121</v>
      </c>
      <c r="C24" t="s">
        <v>1092</v>
      </c>
      <c r="D24" t="s">
        <v>1052</v>
      </c>
      <c r="E24">
        <v>205312.82889999999</v>
      </c>
      <c r="F24">
        <v>56</v>
      </c>
      <c r="G24" t="s">
        <v>1093</v>
      </c>
      <c r="H24" t="s">
        <v>15</v>
      </c>
    </row>
    <row r="25" spans="1:8" x14ac:dyDescent="0.2">
      <c r="A25" t="s">
        <v>33</v>
      </c>
      <c r="B25" t="s">
        <v>1122</v>
      </c>
      <c r="C25" t="s">
        <v>1092</v>
      </c>
      <c r="D25" t="s">
        <v>1052</v>
      </c>
      <c r="E25">
        <v>176306</v>
      </c>
      <c r="F25">
        <v>96</v>
      </c>
      <c r="G25" t="s">
        <v>1093</v>
      </c>
      <c r="H25" t="s">
        <v>15</v>
      </c>
    </row>
    <row r="26" spans="1:8" x14ac:dyDescent="0.2">
      <c r="A26" t="s">
        <v>33</v>
      </c>
      <c r="B26" t="s">
        <v>1123</v>
      </c>
      <c r="C26" t="s">
        <v>1092</v>
      </c>
      <c r="D26" t="s">
        <v>1052</v>
      </c>
      <c r="E26">
        <v>342845</v>
      </c>
      <c r="F26">
        <v>163</v>
      </c>
      <c r="G26" t="s">
        <v>1093</v>
      </c>
      <c r="H26" t="s">
        <v>15</v>
      </c>
    </row>
    <row r="27" spans="1:8" x14ac:dyDescent="0.2">
      <c r="A27" t="s">
        <v>33</v>
      </c>
      <c r="B27" t="s">
        <v>1124</v>
      </c>
      <c r="C27" t="s">
        <v>1092</v>
      </c>
      <c r="D27" t="s">
        <v>1052</v>
      </c>
      <c r="E27">
        <v>98273</v>
      </c>
      <c r="F27">
        <v>42</v>
      </c>
      <c r="G27" t="s">
        <v>1093</v>
      </c>
      <c r="H27" t="s">
        <v>15</v>
      </c>
    </row>
    <row r="28" spans="1:8" x14ac:dyDescent="0.2">
      <c r="A28" t="s">
        <v>33</v>
      </c>
      <c r="B28" t="s">
        <v>1125</v>
      </c>
      <c r="C28" t="s">
        <v>1092</v>
      </c>
      <c r="D28" t="s">
        <v>1126</v>
      </c>
      <c r="E28">
        <v>111225.47094</v>
      </c>
      <c r="F28">
        <v>64886</v>
      </c>
      <c r="G28" t="s">
        <v>1109</v>
      </c>
      <c r="H28" t="s">
        <v>15</v>
      </c>
    </row>
    <row r="29" spans="1:8" x14ac:dyDescent="0.2">
      <c r="A29" t="s">
        <v>33</v>
      </c>
      <c r="B29" t="s">
        <v>1127</v>
      </c>
      <c r="C29" t="s">
        <v>1092</v>
      </c>
      <c r="D29" t="s">
        <v>1096</v>
      </c>
      <c r="E29">
        <v>15689642.0528</v>
      </c>
      <c r="F29">
        <v>18531075</v>
      </c>
      <c r="G29" t="s">
        <v>1128</v>
      </c>
      <c r="H29" t="s">
        <v>15</v>
      </c>
    </row>
    <row r="30" spans="1:8" x14ac:dyDescent="0.2">
      <c r="A30" t="s">
        <v>33</v>
      </c>
      <c r="B30" t="s">
        <v>1129</v>
      </c>
      <c r="C30" t="s">
        <v>1092</v>
      </c>
      <c r="D30" t="s">
        <v>1096</v>
      </c>
      <c r="E30">
        <v>654584.45074</v>
      </c>
      <c r="F30">
        <v>4369</v>
      </c>
      <c r="G30" t="s">
        <v>1093</v>
      </c>
      <c r="H30" t="s">
        <v>15</v>
      </c>
    </row>
    <row r="31" spans="1:8" x14ac:dyDescent="0.2">
      <c r="A31" t="s">
        <v>33</v>
      </c>
      <c r="B31" t="s">
        <v>1130</v>
      </c>
      <c r="C31" t="s">
        <v>1092</v>
      </c>
      <c r="D31" t="s">
        <v>1096</v>
      </c>
      <c r="E31">
        <v>81943.850797999999</v>
      </c>
      <c r="F31">
        <v>0</v>
      </c>
      <c r="G31" t="s">
        <v>1107</v>
      </c>
      <c r="H31" t="s">
        <v>15</v>
      </c>
    </row>
    <row r="32" spans="1:8" x14ac:dyDescent="0.2">
      <c r="A32" t="s">
        <v>33</v>
      </c>
      <c r="B32" t="s">
        <v>1131</v>
      </c>
      <c r="C32" t="s">
        <v>1092</v>
      </c>
      <c r="D32" t="s">
        <v>1058</v>
      </c>
      <c r="E32">
        <v>227900.00000999999</v>
      </c>
      <c r="F32">
        <v>156</v>
      </c>
      <c r="G32" t="s">
        <v>1103</v>
      </c>
      <c r="H32" t="s">
        <v>15</v>
      </c>
    </row>
    <row r="33" spans="1:8" x14ac:dyDescent="0.2">
      <c r="A33" t="s">
        <v>33</v>
      </c>
      <c r="B33" t="s">
        <v>1132</v>
      </c>
      <c r="C33" t="s">
        <v>1092</v>
      </c>
      <c r="D33" t="s">
        <v>1096</v>
      </c>
      <c r="E33">
        <v>123932.56636</v>
      </c>
      <c r="F33">
        <v>73</v>
      </c>
      <c r="G33" t="s">
        <v>1093</v>
      </c>
      <c r="H33" t="s">
        <v>15</v>
      </c>
    </row>
    <row r="34" spans="1:8" x14ac:dyDescent="0.2">
      <c r="A34" t="s">
        <v>33</v>
      </c>
      <c r="B34" t="s">
        <v>1133</v>
      </c>
      <c r="C34" t="s">
        <v>1092</v>
      </c>
      <c r="D34" t="s">
        <v>1058</v>
      </c>
      <c r="E34">
        <v>7775.2119679999996</v>
      </c>
      <c r="F34">
        <v>0</v>
      </c>
      <c r="G34" t="s">
        <v>1107</v>
      </c>
      <c r="H34" t="s">
        <v>15</v>
      </c>
    </row>
    <row r="35" spans="1:8" x14ac:dyDescent="0.2">
      <c r="A35" t="s">
        <v>33</v>
      </c>
      <c r="B35" t="s">
        <v>1134</v>
      </c>
      <c r="C35" t="s">
        <v>1092</v>
      </c>
      <c r="D35" t="s">
        <v>1096</v>
      </c>
      <c r="E35">
        <v>2654.9332960000002</v>
      </c>
      <c r="F35">
        <v>0</v>
      </c>
      <c r="G35" t="s">
        <v>1107</v>
      </c>
      <c r="H35" t="s">
        <v>15</v>
      </c>
    </row>
    <row r="36" spans="1:8" x14ac:dyDescent="0.2">
      <c r="A36" t="s">
        <v>33</v>
      </c>
      <c r="B36" t="s">
        <v>1135</v>
      </c>
      <c r="C36" t="s">
        <v>1092</v>
      </c>
      <c r="D36" t="s">
        <v>1058</v>
      </c>
      <c r="E36">
        <v>597643.41202000005</v>
      </c>
      <c r="F36">
        <v>80</v>
      </c>
      <c r="G36" t="s">
        <v>1093</v>
      </c>
      <c r="H36" t="s">
        <v>15</v>
      </c>
    </row>
    <row r="37" spans="1:8" x14ac:dyDescent="0.2">
      <c r="A37" t="s">
        <v>33</v>
      </c>
      <c r="B37" t="s">
        <v>1136</v>
      </c>
      <c r="C37" t="s">
        <v>1092</v>
      </c>
      <c r="D37" t="s">
        <v>1096</v>
      </c>
      <c r="E37">
        <v>34463.024479</v>
      </c>
      <c r="F37">
        <v>26395</v>
      </c>
      <c r="G37" t="s">
        <v>1109</v>
      </c>
      <c r="H37" t="s">
        <v>15</v>
      </c>
    </row>
    <row r="38" spans="1:8" x14ac:dyDescent="0.2">
      <c r="A38" t="s">
        <v>33</v>
      </c>
      <c r="B38" t="s">
        <v>1137</v>
      </c>
      <c r="C38" t="s">
        <v>1092</v>
      </c>
      <c r="D38" t="s">
        <v>1052</v>
      </c>
      <c r="E38">
        <v>626191.62358400004</v>
      </c>
      <c r="F38">
        <v>370328</v>
      </c>
      <c r="G38" t="s">
        <v>1109</v>
      </c>
      <c r="H38" t="s">
        <v>15</v>
      </c>
    </row>
    <row r="39" spans="1:8" x14ac:dyDescent="0.2">
      <c r="A39" t="s">
        <v>33</v>
      </c>
      <c r="B39" t="s">
        <v>1138</v>
      </c>
      <c r="C39" t="s">
        <v>1092</v>
      </c>
      <c r="D39" t="s">
        <v>1052</v>
      </c>
      <c r="E39">
        <v>226774</v>
      </c>
      <c r="F39">
        <v>61</v>
      </c>
      <c r="G39" t="s">
        <v>1093</v>
      </c>
      <c r="H39" t="s">
        <v>15</v>
      </c>
    </row>
    <row r="40" spans="1:8" x14ac:dyDescent="0.2">
      <c r="A40" t="s">
        <v>33</v>
      </c>
      <c r="B40" t="s">
        <v>1139</v>
      </c>
      <c r="C40" t="s">
        <v>1092</v>
      </c>
      <c r="D40" t="s">
        <v>1096</v>
      </c>
      <c r="E40">
        <v>173372.653983</v>
      </c>
      <c r="F40">
        <v>0</v>
      </c>
      <c r="G40" t="s">
        <v>1107</v>
      </c>
      <c r="H40" t="s">
        <v>15</v>
      </c>
    </row>
    <row r="41" spans="1:8" x14ac:dyDescent="0.2">
      <c r="A41" t="s">
        <v>33</v>
      </c>
      <c r="B41" t="s">
        <v>1140</v>
      </c>
      <c r="C41" t="s">
        <v>1092</v>
      </c>
      <c r="D41" t="s">
        <v>1096</v>
      </c>
      <c r="E41">
        <v>45107.138815999999</v>
      </c>
      <c r="F41">
        <v>0</v>
      </c>
      <c r="G41" t="s">
        <v>1107</v>
      </c>
      <c r="H41" t="s">
        <v>15</v>
      </c>
    </row>
    <row r="42" spans="1:8" x14ac:dyDescent="0.2">
      <c r="A42" t="s">
        <v>33</v>
      </c>
      <c r="B42" t="s">
        <v>1099</v>
      </c>
      <c r="C42" t="s">
        <v>1100</v>
      </c>
      <c r="D42" t="s">
        <v>35</v>
      </c>
      <c r="E42">
        <v>37372269.302339002</v>
      </c>
      <c r="F42">
        <v>32840738</v>
      </c>
      <c r="G42" t="s">
        <v>35</v>
      </c>
      <c r="H42" t="s">
        <v>15</v>
      </c>
    </row>
    <row r="43" spans="1:8" x14ac:dyDescent="0.2">
      <c r="A43" t="s">
        <v>65</v>
      </c>
      <c r="B43" t="s">
        <v>1141</v>
      </c>
      <c r="C43" t="s">
        <v>1092</v>
      </c>
      <c r="D43" t="s">
        <v>1126</v>
      </c>
      <c r="E43">
        <v>1519509</v>
      </c>
      <c r="F43">
        <v>1191948</v>
      </c>
      <c r="G43" t="s">
        <v>1109</v>
      </c>
      <c r="H43" t="s">
        <v>15</v>
      </c>
    </row>
    <row r="44" spans="1:8" x14ac:dyDescent="0.2">
      <c r="A44" t="s">
        <v>65</v>
      </c>
      <c r="B44" t="s">
        <v>1099</v>
      </c>
      <c r="C44" t="s">
        <v>1100</v>
      </c>
      <c r="D44" t="s">
        <v>35</v>
      </c>
      <c r="E44">
        <v>1519509</v>
      </c>
      <c r="F44">
        <v>1191948</v>
      </c>
      <c r="G44" t="s">
        <v>35</v>
      </c>
      <c r="H44" t="s">
        <v>15</v>
      </c>
    </row>
    <row r="45" spans="1:8" x14ac:dyDescent="0.2">
      <c r="A45" t="s">
        <v>44</v>
      </c>
      <c r="B45" t="s">
        <v>1142</v>
      </c>
      <c r="C45" t="s">
        <v>1092</v>
      </c>
      <c r="D45" t="s">
        <v>1096</v>
      </c>
      <c r="E45">
        <v>62804.475321999998</v>
      </c>
      <c r="F45">
        <v>33601</v>
      </c>
      <c r="G45" t="s">
        <v>1109</v>
      </c>
      <c r="H45" t="s">
        <v>15</v>
      </c>
    </row>
    <row r="46" spans="1:8" x14ac:dyDescent="0.2">
      <c r="A46" t="s">
        <v>44</v>
      </c>
      <c r="B46" t="s">
        <v>1143</v>
      </c>
      <c r="C46" t="s">
        <v>1092</v>
      </c>
      <c r="D46" t="s">
        <v>1061</v>
      </c>
      <c r="E46">
        <v>294334.15799799998</v>
      </c>
      <c r="F46">
        <v>171732</v>
      </c>
      <c r="G46" t="s">
        <v>1144</v>
      </c>
      <c r="H46" t="s">
        <v>15</v>
      </c>
    </row>
    <row r="47" spans="1:8" x14ac:dyDescent="0.2">
      <c r="A47" t="s">
        <v>44</v>
      </c>
      <c r="B47" t="s">
        <v>1145</v>
      </c>
      <c r="C47" t="s">
        <v>1092</v>
      </c>
      <c r="D47" t="s">
        <v>1096</v>
      </c>
      <c r="E47">
        <v>8477005.2824799996</v>
      </c>
      <c r="F47">
        <v>9642473</v>
      </c>
      <c r="G47" t="s">
        <v>1128</v>
      </c>
      <c r="H47" t="s">
        <v>15</v>
      </c>
    </row>
    <row r="48" spans="1:8" x14ac:dyDescent="0.2">
      <c r="A48" t="s">
        <v>44</v>
      </c>
      <c r="B48" t="s">
        <v>1146</v>
      </c>
      <c r="C48" t="s">
        <v>1092</v>
      </c>
      <c r="D48" t="s">
        <v>1126</v>
      </c>
      <c r="E48">
        <v>812326.34858400002</v>
      </c>
      <c r="F48">
        <v>483711</v>
      </c>
      <c r="G48" t="s">
        <v>1109</v>
      </c>
      <c r="H48" t="s">
        <v>15</v>
      </c>
    </row>
    <row r="49" spans="1:8" x14ac:dyDescent="0.2">
      <c r="A49" t="s">
        <v>44</v>
      </c>
      <c r="B49" t="s">
        <v>1147</v>
      </c>
      <c r="C49" t="s">
        <v>1092</v>
      </c>
      <c r="D49" t="s">
        <v>1126</v>
      </c>
      <c r="E49">
        <v>834081.50992900005</v>
      </c>
      <c r="F49">
        <v>153</v>
      </c>
      <c r="G49" t="s">
        <v>1093</v>
      </c>
      <c r="H49" t="s">
        <v>15</v>
      </c>
    </row>
    <row r="50" spans="1:8" x14ac:dyDescent="0.2">
      <c r="A50" t="s">
        <v>44</v>
      </c>
      <c r="B50" t="s">
        <v>1099</v>
      </c>
      <c r="C50" t="s">
        <v>1100</v>
      </c>
      <c r="D50" t="s">
        <v>35</v>
      </c>
      <c r="E50">
        <v>10480551.774312999</v>
      </c>
      <c r="F50">
        <v>10331670</v>
      </c>
      <c r="G50" t="s">
        <v>35</v>
      </c>
      <c r="H50" t="s">
        <v>15</v>
      </c>
    </row>
    <row r="51" spans="1:8" x14ac:dyDescent="0.2">
      <c r="A51" t="s">
        <v>1148</v>
      </c>
      <c r="B51" t="s">
        <v>1149</v>
      </c>
      <c r="C51" t="s">
        <v>1092</v>
      </c>
      <c r="D51" t="s">
        <v>1058</v>
      </c>
      <c r="E51">
        <v>192986.08</v>
      </c>
      <c r="F51">
        <v>75</v>
      </c>
      <c r="G51" t="s">
        <v>1103</v>
      </c>
      <c r="H51" t="s">
        <v>15</v>
      </c>
    </row>
    <row r="52" spans="1:8" x14ac:dyDescent="0.2">
      <c r="A52" t="s">
        <v>1148</v>
      </c>
      <c r="B52" t="s">
        <v>1099</v>
      </c>
      <c r="C52" t="s">
        <v>1100</v>
      </c>
      <c r="D52" t="s">
        <v>35</v>
      </c>
      <c r="E52">
        <v>192986.08</v>
      </c>
      <c r="F52">
        <v>75</v>
      </c>
      <c r="G52" t="s">
        <v>35</v>
      </c>
      <c r="H52" t="s">
        <v>15</v>
      </c>
    </row>
    <row r="53" spans="1:8" x14ac:dyDescent="0.2">
      <c r="A53" t="s">
        <v>1150</v>
      </c>
      <c r="B53" t="s">
        <v>1151</v>
      </c>
      <c r="C53" t="s">
        <v>1092</v>
      </c>
      <c r="D53" t="s">
        <v>1058</v>
      </c>
      <c r="E53">
        <v>31963.456119999999</v>
      </c>
      <c r="F53">
        <v>37</v>
      </c>
      <c r="G53" t="s">
        <v>1103</v>
      </c>
      <c r="H53" t="s">
        <v>15</v>
      </c>
    </row>
    <row r="54" spans="1:8" x14ac:dyDescent="0.2">
      <c r="A54" t="s">
        <v>1150</v>
      </c>
      <c r="B54" t="s">
        <v>1099</v>
      </c>
      <c r="C54" t="s">
        <v>1100</v>
      </c>
      <c r="D54" t="s">
        <v>35</v>
      </c>
      <c r="E54">
        <v>31963.456119999999</v>
      </c>
      <c r="F54">
        <v>37</v>
      </c>
      <c r="G54" t="s">
        <v>35</v>
      </c>
      <c r="H54" t="s">
        <v>15</v>
      </c>
    </row>
    <row r="55" spans="1:8" x14ac:dyDescent="0.2">
      <c r="A55" t="s">
        <v>113</v>
      </c>
      <c r="B55" t="s">
        <v>1152</v>
      </c>
      <c r="C55" t="s">
        <v>1092</v>
      </c>
      <c r="D55" t="s">
        <v>1126</v>
      </c>
      <c r="E55">
        <v>40736.356800000001</v>
      </c>
      <c r="F55">
        <v>2</v>
      </c>
      <c r="G55" t="s">
        <v>1103</v>
      </c>
      <c r="H55" t="s">
        <v>15</v>
      </c>
    </row>
    <row r="56" spans="1:8" x14ac:dyDescent="0.2">
      <c r="A56" t="s">
        <v>113</v>
      </c>
      <c r="B56" t="s">
        <v>1153</v>
      </c>
      <c r="C56" t="s">
        <v>1092</v>
      </c>
      <c r="D56" t="s">
        <v>1126</v>
      </c>
      <c r="E56">
        <v>489172.87396</v>
      </c>
      <c r="F56">
        <v>25</v>
      </c>
      <c r="G56" t="s">
        <v>1093</v>
      </c>
      <c r="H56" t="s">
        <v>15</v>
      </c>
    </row>
    <row r="57" spans="1:8" x14ac:dyDescent="0.2">
      <c r="A57" t="s">
        <v>113</v>
      </c>
      <c r="B57" t="s">
        <v>1154</v>
      </c>
      <c r="C57" t="s">
        <v>1092</v>
      </c>
      <c r="D57" t="s">
        <v>1061</v>
      </c>
      <c r="E57">
        <v>210436.95248000001</v>
      </c>
      <c r="F57">
        <v>12</v>
      </c>
      <c r="G57" t="s">
        <v>1103</v>
      </c>
      <c r="H57" t="s">
        <v>15</v>
      </c>
    </row>
    <row r="58" spans="1:8" x14ac:dyDescent="0.2">
      <c r="A58" t="s">
        <v>113</v>
      </c>
      <c r="B58" t="s">
        <v>1155</v>
      </c>
      <c r="C58" t="s">
        <v>1092</v>
      </c>
      <c r="D58" t="s">
        <v>1061</v>
      </c>
      <c r="E58">
        <v>1507037.1025</v>
      </c>
      <c r="F58">
        <v>644543</v>
      </c>
      <c r="G58" t="s">
        <v>1109</v>
      </c>
      <c r="H58" t="s">
        <v>15</v>
      </c>
    </row>
    <row r="59" spans="1:8" x14ac:dyDescent="0.2">
      <c r="A59" t="s">
        <v>113</v>
      </c>
      <c r="B59" t="s">
        <v>1156</v>
      </c>
      <c r="C59" t="s">
        <v>1092</v>
      </c>
      <c r="D59" t="s">
        <v>1061</v>
      </c>
      <c r="E59">
        <v>141825.33645</v>
      </c>
      <c r="F59">
        <v>0</v>
      </c>
      <c r="G59" t="s">
        <v>1103</v>
      </c>
      <c r="H59" t="s">
        <v>15</v>
      </c>
    </row>
    <row r="60" spans="1:8" x14ac:dyDescent="0.2">
      <c r="A60" t="s">
        <v>113</v>
      </c>
      <c r="B60" t="s">
        <v>1157</v>
      </c>
      <c r="C60" t="s">
        <v>1092</v>
      </c>
      <c r="D60" t="s">
        <v>1126</v>
      </c>
      <c r="E60">
        <v>47385.03</v>
      </c>
      <c r="F60">
        <v>6</v>
      </c>
      <c r="G60" t="s">
        <v>1103</v>
      </c>
      <c r="H60" t="s">
        <v>15</v>
      </c>
    </row>
    <row r="61" spans="1:8" x14ac:dyDescent="0.2">
      <c r="A61" t="s">
        <v>113</v>
      </c>
      <c r="B61" t="s">
        <v>1158</v>
      </c>
      <c r="C61" t="s">
        <v>1092</v>
      </c>
      <c r="D61" t="s">
        <v>1126</v>
      </c>
      <c r="E61">
        <v>249646.85728</v>
      </c>
      <c r="F61">
        <v>47</v>
      </c>
      <c r="G61" t="s">
        <v>1093</v>
      </c>
      <c r="H61" t="s">
        <v>15</v>
      </c>
    </row>
    <row r="62" spans="1:8" x14ac:dyDescent="0.2">
      <c r="A62" t="s">
        <v>113</v>
      </c>
      <c r="B62" t="s">
        <v>1159</v>
      </c>
      <c r="C62" t="s">
        <v>1092</v>
      </c>
      <c r="D62" t="s">
        <v>1126</v>
      </c>
      <c r="E62">
        <v>860703.37156999996</v>
      </c>
      <c r="F62">
        <v>376230</v>
      </c>
      <c r="G62" t="s">
        <v>1109</v>
      </c>
      <c r="H62" t="s">
        <v>15</v>
      </c>
    </row>
    <row r="63" spans="1:8" x14ac:dyDescent="0.2">
      <c r="A63" t="s">
        <v>113</v>
      </c>
      <c r="B63" t="s">
        <v>1160</v>
      </c>
      <c r="C63" t="s">
        <v>1092</v>
      </c>
      <c r="D63" t="s">
        <v>1126</v>
      </c>
      <c r="E63">
        <v>449612.30080000003</v>
      </c>
      <c r="F63">
        <v>340466</v>
      </c>
      <c r="G63" t="s">
        <v>1109</v>
      </c>
      <c r="H63" t="s">
        <v>15</v>
      </c>
    </row>
    <row r="64" spans="1:8" x14ac:dyDescent="0.2">
      <c r="A64" t="s">
        <v>113</v>
      </c>
      <c r="B64" t="s">
        <v>1099</v>
      </c>
      <c r="C64" t="s">
        <v>1100</v>
      </c>
      <c r="D64" t="s">
        <v>35</v>
      </c>
      <c r="E64">
        <v>3996556.1818400002</v>
      </c>
      <c r="F64">
        <v>1361331</v>
      </c>
      <c r="G64" t="s">
        <v>35</v>
      </c>
      <c r="H64" t="s">
        <v>15</v>
      </c>
    </row>
    <row r="65" spans="1:8" x14ac:dyDescent="0.2">
      <c r="A65" t="s">
        <v>179</v>
      </c>
      <c r="B65" t="s">
        <v>1161</v>
      </c>
      <c r="C65" t="s">
        <v>1092</v>
      </c>
      <c r="D65" t="s">
        <v>1061</v>
      </c>
      <c r="E65">
        <v>360155.81099999999</v>
      </c>
      <c r="F65">
        <v>209697</v>
      </c>
      <c r="G65" t="s">
        <v>1144</v>
      </c>
      <c r="H65" t="s">
        <v>15</v>
      </c>
    </row>
    <row r="66" spans="1:8" x14ac:dyDescent="0.2">
      <c r="A66" t="s">
        <v>179</v>
      </c>
      <c r="B66" t="s">
        <v>1099</v>
      </c>
      <c r="C66" t="s">
        <v>1100</v>
      </c>
      <c r="D66" t="s">
        <v>35</v>
      </c>
      <c r="E66">
        <v>360155.81099999999</v>
      </c>
      <c r="F66">
        <v>209697</v>
      </c>
      <c r="G66" t="s">
        <v>35</v>
      </c>
      <c r="H66" t="s">
        <v>15</v>
      </c>
    </row>
    <row r="67" spans="1:8" x14ac:dyDescent="0.2">
      <c r="A67" t="s">
        <v>243</v>
      </c>
      <c r="B67" t="s">
        <v>1162</v>
      </c>
      <c r="C67" t="s">
        <v>1092</v>
      </c>
      <c r="D67" t="s">
        <v>1126</v>
      </c>
      <c r="E67">
        <v>75861.526859999998</v>
      </c>
      <c r="F67">
        <v>53106</v>
      </c>
      <c r="G67" t="s">
        <v>1109</v>
      </c>
      <c r="H67" t="s">
        <v>15</v>
      </c>
    </row>
    <row r="68" spans="1:8" x14ac:dyDescent="0.2">
      <c r="A68" t="s">
        <v>243</v>
      </c>
      <c r="B68" t="s">
        <v>1163</v>
      </c>
      <c r="C68" t="s">
        <v>1092</v>
      </c>
      <c r="D68" t="s">
        <v>1052</v>
      </c>
      <c r="E68">
        <v>376203.88221000001</v>
      </c>
      <c r="F68">
        <v>156932</v>
      </c>
      <c r="G68" t="s">
        <v>1109</v>
      </c>
      <c r="H68" t="s">
        <v>15</v>
      </c>
    </row>
    <row r="69" spans="1:8" x14ac:dyDescent="0.2">
      <c r="A69" t="s">
        <v>243</v>
      </c>
      <c r="B69" t="s">
        <v>1099</v>
      </c>
      <c r="C69" t="s">
        <v>1100</v>
      </c>
      <c r="D69" t="s">
        <v>35</v>
      </c>
      <c r="E69">
        <v>452065.40906999999</v>
      </c>
      <c r="F69">
        <v>210038</v>
      </c>
      <c r="G69" t="s">
        <v>35</v>
      </c>
      <c r="H69" t="s">
        <v>15</v>
      </c>
    </row>
    <row r="70" spans="1:8" x14ac:dyDescent="0.2">
      <c r="A70" t="s">
        <v>1164</v>
      </c>
      <c r="B70" t="s">
        <v>1165</v>
      </c>
      <c r="C70" t="s">
        <v>1092</v>
      </c>
      <c r="D70" t="s">
        <v>1061</v>
      </c>
      <c r="E70">
        <v>97246.455000000002</v>
      </c>
      <c r="F70">
        <v>14</v>
      </c>
      <c r="G70" t="s">
        <v>1103</v>
      </c>
      <c r="H70" t="s">
        <v>15</v>
      </c>
    </row>
    <row r="71" spans="1:8" x14ac:dyDescent="0.2">
      <c r="A71" t="s">
        <v>1164</v>
      </c>
      <c r="B71" t="s">
        <v>1166</v>
      </c>
      <c r="C71" t="s">
        <v>1092</v>
      </c>
      <c r="D71" t="s">
        <v>1061</v>
      </c>
      <c r="E71">
        <v>133682.639</v>
      </c>
      <c r="F71">
        <v>20</v>
      </c>
      <c r="G71" t="s">
        <v>1103</v>
      </c>
      <c r="H71" t="s">
        <v>15</v>
      </c>
    </row>
    <row r="72" spans="1:8" x14ac:dyDescent="0.2">
      <c r="A72" t="s">
        <v>1164</v>
      </c>
      <c r="B72" t="s">
        <v>1167</v>
      </c>
      <c r="C72" t="s">
        <v>1092</v>
      </c>
      <c r="D72" t="s">
        <v>1061</v>
      </c>
      <c r="E72">
        <v>331828.44900000002</v>
      </c>
      <c r="F72">
        <v>184</v>
      </c>
      <c r="G72" t="s">
        <v>1103</v>
      </c>
      <c r="H72" t="s">
        <v>15</v>
      </c>
    </row>
    <row r="73" spans="1:8" x14ac:dyDescent="0.2">
      <c r="A73" t="s">
        <v>1164</v>
      </c>
      <c r="B73" t="s">
        <v>1168</v>
      </c>
      <c r="C73" t="s">
        <v>1092</v>
      </c>
      <c r="D73" t="s">
        <v>1061</v>
      </c>
      <c r="E73">
        <v>96991.466</v>
      </c>
      <c r="F73">
        <v>19</v>
      </c>
      <c r="G73" t="s">
        <v>1103</v>
      </c>
      <c r="H73" t="s">
        <v>15</v>
      </c>
    </row>
    <row r="74" spans="1:8" x14ac:dyDescent="0.2">
      <c r="A74" t="s">
        <v>1164</v>
      </c>
      <c r="B74" t="s">
        <v>1099</v>
      </c>
      <c r="C74" t="s">
        <v>1100</v>
      </c>
      <c r="D74" t="s">
        <v>35</v>
      </c>
      <c r="E74">
        <v>659749.00899999996</v>
      </c>
      <c r="F74">
        <v>237</v>
      </c>
      <c r="G74" t="s">
        <v>35</v>
      </c>
      <c r="H74" t="s">
        <v>15</v>
      </c>
    </row>
    <row r="75" spans="1:8" x14ac:dyDescent="0.2">
      <c r="A75" t="s">
        <v>1169</v>
      </c>
      <c r="B75" t="s">
        <v>1170</v>
      </c>
      <c r="C75" t="s">
        <v>1092</v>
      </c>
      <c r="D75" t="s">
        <v>1096</v>
      </c>
      <c r="E75">
        <v>127782.344</v>
      </c>
      <c r="F75">
        <v>67</v>
      </c>
      <c r="G75" t="s">
        <v>1103</v>
      </c>
      <c r="H75" t="s">
        <v>15</v>
      </c>
    </row>
    <row r="76" spans="1:8" x14ac:dyDescent="0.2">
      <c r="A76" t="s">
        <v>1169</v>
      </c>
      <c r="B76" t="s">
        <v>1171</v>
      </c>
      <c r="C76" t="s">
        <v>1092</v>
      </c>
      <c r="D76" t="s">
        <v>1096</v>
      </c>
      <c r="E76">
        <v>101050.22</v>
      </c>
      <c r="F76">
        <v>21</v>
      </c>
      <c r="G76" t="s">
        <v>1093</v>
      </c>
      <c r="H76" t="s">
        <v>15</v>
      </c>
    </row>
    <row r="77" spans="1:8" x14ac:dyDescent="0.2">
      <c r="A77" t="s">
        <v>1169</v>
      </c>
      <c r="B77" t="s">
        <v>1172</v>
      </c>
      <c r="C77" t="s">
        <v>1092</v>
      </c>
      <c r="D77" t="s">
        <v>1058</v>
      </c>
      <c r="E77">
        <v>244085.79199999999</v>
      </c>
      <c r="F77">
        <v>15</v>
      </c>
      <c r="G77" t="s">
        <v>1103</v>
      </c>
      <c r="H77" t="s">
        <v>15</v>
      </c>
    </row>
    <row r="78" spans="1:8" x14ac:dyDescent="0.2">
      <c r="A78" t="s">
        <v>1169</v>
      </c>
      <c r="B78" t="s">
        <v>1099</v>
      </c>
      <c r="C78" t="s">
        <v>1100</v>
      </c>
      <c r="D78" t="s">
        <v>35</v>
      </c>
      <c r="E78">
        <v>472918.35600000003</v>
      </c>
      <c r="F78">
        <v>103</v>
      </c>
      <c r="G78" t="s">
        <v>35</v>
      </c>
      <c r="H78" t="s">
        <v>15</v>
      </c>
    </row>
    <row r="79" spans="1:8" x14ac:dyDescent="0.2">
      <c r="A79" t="s">
        <v>1173</v>
      </c>
      <c r="B79" t="s">
        <v>1174</v>
      </c>
      <c r="C79" t="s">
        <v>1092</v>
      </c>
      <c r="D79" t="s">
        <v>1096</v>
      </c>
      <c r="E79">
        <v>468929.69799999997</v>
      </c>
      <c r="F79">
        <v>101</v>
      </c>
      <c r="G79" t="s">
        <v>1093</v>
      </c>
      <c r="H79" t="s">
        <v>15</v>
      </c>
    </row>
    <row r="80" spans="1:8" x14ac:dyDescent="0.2">
      <c r="A80" t="s">
        <v>1173</v>
      </c>
      <c r="B80" t="s">
        <v>1099</v>
      </c>
      <c r="C80" t="s">
        <v>1100</v>
      </c>
      <c r="D80" t="s">
        <v>35</v>
      </c>
      <c r="E80">
        <v>468929.69799999997</v>
      </c>
      <c r="F80">
        <v>101</v>
      </c>
      <c r="G80" t="s">
        <v>35</v>
      </c>
      <c r="H80" t="s">
        <v>15</v>
      </c>
    </row>
    <row r="81" spans="1:8" x14ac:dyDescent="0.2">
      <c r="A81" t="s">
        <v>1175</v>
      </c>
      <c r="B81" t="s">
        <v>1176</v>
      </c>
      <c r="C81" t="s">
        <v>1092</v>
      </c>
      <c r="D81" t="s">
        <v>1096</v>
      </c>
      <c r="E81">
        <v>320783.39500000002</v>
      </c>
      <c r="F81">
        <v>40</v>
      </c>
      <c r="G81" t="s">
        <v>1093</v>
      </c>
      <c r="H81" t="s">
        <v>15</v>
      </c>
    </row>
    <row r="82" spans="1:8" x14ac:dyDescent="0.2">
      <c r="A82" t="s">
        <v>1175</v>
      </c>
      <c r="B82" t="s">
        <v>1099</v>
      </c>
      <c r="C82" t="s">
        <v>1100</v>
      </c>
      <c r="D82" t="s">
        <v>35</v>
      </c>
      <c r="E82">
        <v>320783.39500000002</v>
      </c>
      <c r="F82">
        <v>40</v>
      </c>
      <c r="G82" t="s">
        <v>35</v>
      </c>
      <c r="H82" t="s">
        <v>15</v>
      </c>
    </row>
    <row r="83" spans="1:8" x14ac:dyDescent="0.2">
      <c r="A83" t="s">
        <v>115</v>
      </c>
      <c r="B83" t="s">
        <v>1177</v>
      </c>
      <c r="C83" t="s">
        <v>1092</v>
      </c>
      <c r="D83" t="s">
        <v>1058</v>
      </c>
      <c r="E83">
        <v>192827.95699999999</v>
      </c>
      <c r="F83">
        <v>52</v>
      </c>
      <c r="G83" t="s">
        <v>1103</v>
      </c>
      <c r="H83" t="s">
        <v>15</v>
      </c>
    </row>
    <row r="84" spans="1:8" x14ac:dyDescent="0.2">
      <c r="A84" t="s">
        <v>115</v>
      </c>
      <c r="B84" t="s">
        <v>1178</v>
      </c>
      <c r="C84" t="s">
        <v>1092</v>
      </c>
      <c r="D84" t="s">
        <v>1058</v>
      </c>
      <c r="E84">
        <v>47546.12</v>
      </c>
      <c r="F84">
        <v>21</v>
      </c>
      <c r="G84" t="s">
        <v>1103</v>
      </c>
      <c r="H84" t="s">
        <v>15</v>
      </c>
    </row>
    <row r="85" spans="1:8" x14ac:dyDescent="0.2">
      <c r="A85" t="s">
        <v>115</v>
      </c>
      <c r="B85" t="s">
        <v>1099</v>
      </c>
      <c r="C85" t="s">
        <v>1100</v>
      </c>
      <c r="D85" t="s">
        <v>35</v>
      </c>
      <c r="E85">
        <v>240374.07699999999</v>
      </c>
      <c r="F85">
        <v>73</v>
      </c>
      <c r="G85" t="s">
        <v>35</v>
      </c>
      <c r="H85" t="s">
        <v>15</v>
      </c>
    </row>
    <row r="86" spans="1:8" x14ac:dyDescent="0.2">
      <c r="A86" t="s">
        <v>1179</v>
      </c>
      <c r="B86" t="s">
        <v>1180</v>
      </c>
      <c r="C86" t="s">
        <v>1092</v>
      </c>
      <c r="D86" t="s">
        <v>1126</v>
      </c>
      <c r="E86">
        <v>629934.26300000004</v>
      </c>
      <c r="F86">
        <v>178</v>
      </c>
      <c r="G86" t="s">
        <v>1093</v>
      </c>
      <c r="H86" t="s">
        <v>15</v>
      </c>
    </row>
    <row r="87" spans="1:8" x14ac:dyDescent="0.2">
      <c r="A87" t="s">
        <v>1179</v>
      </c>
      <c r="B87" t="s">
        <v>1099</v>
      </c>
      <c r="C87" t="s">
        <v>1100</v>
      </c>
      <c r="D87" t="s">
        <v>35</v>
      </c>
      <c r="E87">
        <v>629934.26300000004</v>
      </c>
      <c r="F87">
        <v>178</v>
      </c>
      <c r="G87" t="s">
        <v>35</v>
      </c>
      <c r="H87" t="s">
        <v>15</v>
      </c>
    </row>
    <row r="88" spans="1:8" x14ac:dyDescent="0.2">
      <c r="A88" t="s">
        <v>1181</v>
      </c>
      <c r="B88" t="s">
        <v>1182</v>
      </c>
      <c r="C88" t="s">
        <v>1092</v>
      </c>
      <c r="D88" t="s">
        <v>1058</v>
      </c>
      <c r="E88">
        <v>19818.214899999999</v>
      </c>
      <c r="F88">
        <v>3</v>
      </c>
      <c r="G88" t="s">
        <v>1103</v>
      </c>
      <c r="H88" t="s">
        <v>15</v>
      </c>
    </row>
    <row r="89" spans="1:8" x14ac:dyDescent="0.2">
      <c r="A89" t="s">
        <v>1181</v>
      </c>
      <c r="B89" t="s">
        <v>1183</v>
      </c>
      <c r="C89" t="s">
        <v>1092</v>
      </c>
      <c r="D89" t="s">
        <v>1058</v>
      </c>
      <c r="E89">
        <v>400938.33532000001</v>
      </c>
      <c r="F89">
        <v>56</v>
      </c>
      <c r="G89" t="s">
        <v>1093</v>
      </c>
      <c r="H89" t="s">
        <v>15</v>
      </c>
    </row>
    <row r="90" spans="1:8" x14ac:dyDescent="0.2">
      <c r="A90" t="s">
        <v>1181</v>
      </c>
      <c r="B90" t="s">
        <v>1184</v>
      </c>
      <c r="C90" t="s">
        <v>1092</v>
      </c>
      <c r="D90" t="s">
        <v>1058</v>
      </c>
      <c r="E90">
        <v>325152.99280000001</v>
      </c>
      <c r="F90">
        <v>24</v>
      </c>
      <c r="G90" t="s">
        <v>1093</v>
      </c>
      <c r="H90" t="s">
        <v>15</v>
      </c>
    </row>
    <row r="91" spans="1:8" x14ac:dyDescent="0.2">
      <c r="A91" t="s">
        <v>1181</v>
      </c>
      <c r="B91" t="s">
        <v>1099</v>
      </c>
      <c r="C91" t="s">
        <v>1100</v>
      </c>
      <c r="D91" t="s">
        <v>35</v>
      </c>
      <c r="E91">
        <v>745909.54301999998</v>
      </c>
      <c r="F91">
        <v>83</v>
      </c>
      <c r="G91" t="s">
        <v>35</v>
      </c>
      <c r="H91" t="s">
        <v>15</v>
      </c>
    </row>
    <row r="92" spans="1:8" x14ac:dyDescent="0.2">
      <c r="A92" t="s">
        <v>77</v>
      </c>
      <c r="B92" t="s">
        <v>1185</v>
      </c>
      <c r="C92" t="s">
        <v>1092</v>
      </c>
      <c r="D92" t="s">
        <v>1126</v>
      </c>
      <c r="E92">
        <v>805805.14535999997</v>
      </c>
      <c r="F92">
        <v>347643</v>
      </c>
      <c r="G92" t="s">
        <v>1109</v>
      </c>
      <c r="H92" t="s">
        <v>15</v>
      </c>
    </row>
    <row r="93" spans="1:8" x14ac:dyDescent="0.2">
      <c r="A93" t="s">
        <v>77</v>
      </c>
      <c r="B93" t="s">
        <v>1099</v>
      </c>
      <c r="C93" t="s">
        <v>1100</v>
      </c>
      <c r="D93" t="s">
        <v>35</v>
      </c>
      <c r="E93">
        <v>805805.14535999997</v>
      </c>
      <c r="F93">
        <v>347643</v>
      </c>
      <c r="G93" t="s">
        <v>35</v>
      </c>
      <c r="H93" t="s">
        <v>15</v>
      </c>
    </row>
    <row r="94" spans="1:8" x14ac:dyDescent="0.2">
      <c r="A94" t="s">
        <v>159</v>
      </c>
      <c r="B94" t="s">
        <v>1186</v>
      </c>
      <c r="C94" t="s">
        <v>1092</v>
      </c>
      <c r="D94" t="s">
        <v>1126</v>
      </c>
      <c r="E94">
        <v>1517622.9439999999</v>
      </c>
      <c r="F94">
        <v>1352311</v>
      </c>
      <c r="G94" t="s">
        <v>1111</v>
      </c>
      <c r="H94" t="s">
        <v>15</v>
      </c>
    </row>
    <row r="95" spans="1:8" x14ac:dyDescent="0.2">
      <c r="A95" t="s">
        <v>159</v>
      </c>
      <c r="B95" t="s">
        <v>1099</v>
      </c>
      <c r="C95" t="s">
        <v>1100</v>
      </c>
      <c r="D95" t="s">
        <v>35</v>
      </c>
      <c r="E95">
        <v>1517622.9439999999</v>
      </c>
      <c r="F95">
        <v>1352311</v>
      </c>
      <c r="G95" t="s">
        <v>35</v>
      </c>
      <c r="H95" t="s">
        <v>15</v>
      </c>
    </row>
    <row r="96" spans="1:8" x14ac:dyDescent="0.2">
      <c r="A96" t="s">
        <v>135</v>
      </c>
      <c r="B96" t="s">
        <v>1187</v>
      </c>
      <c r="C96" t="s">
        <v>1092</v>
      </c>
      <c r="D96" t="s">
        <v>1126</v>
      </c>
      <c r="E96">
        <v>1370374.92</v>
      </c>
      <c r="F96">
        <v>1238252</v>
      </c>
      <c r="G96" t="s">
        <v>1111</v>
      </c>
      <c r="H96" t="s">
        <v>15</v>
      </c>
    </row>
    <row r="97" spans="1:8" x14ac:dyDescent="0.2">
      <c r="A97" t="s">
        <v>135</v>
      </c>
      <c r="B97" t="s">
        <v>1099</v>
      </c>
      <c r="C97" t="s">
        <v>1100</v>
      </c>
      <c r="D97" t="s">
        <v>35</v>
      </c>
      <c r="E97">
        <v>1370374.92</v>
      </c>
      <c r="F97">
        <v>1238252</v>
      </c>
      <c r="G97" t="s">
        <v>35</v>
      </c>
      <c r="H97" t="s">
        <v>15</v>
      </c>
    </row>
    <row r="98" spans="1:8" x14ac:dyDescent="0.2">
      <c r="A98" t="s">
        <v>48</v>
      </c>
      <c r="B98" t="s">
        <v>1188</v>
      </c>
      <c r="C98" t="s">
        <v>1092</v>
      </c>
      <c r="D98" t="s">
        <v>1061</v>
      </c>
      <c r="E98">
        <v>4273452.2520000003</v>
      </c>
      <c r="F98">
        <v>4004358</v>
      </c>
      <c r="G98" t="s">
        <v>1111</v>
      </c>
      <c r="H98" t="s">
        <v>15</v>
      </c>
    </row>
    <row r="99" spans="1:8" x14ac:dyDescent="0.2">
      <c r="A99" t="s">
        <v>48</v>
      </c>
      <c r="B99" t="s">
        <v>1189</v>
      </c>
      <c r="C99" t="s">
        <v>1092</v>
      </c>
      <c r="D99" t="s">
        <v>1061</v>
      </c>
      <c r="E99">
        <v>782678.04</v>
      </c>
      <c r="F99">
        <v>675798</v>
      </c>
      <c r="G99" t="s">
        <v>1111</v>
      </c>
      <c r="H99" t="s">
        <v>15</v>
      </c>
    </row>
    <row r="100" spans="1:8" x14ac:dyDescent="0.2">
      <c r="A100" t="s">
        <v>48</v>
      </c>
      <c r="B100" t="s">
        <v>1190</v>
      </c>
      <c r="C100" t="s">
        <v>1092</v>
      </c>
      <c r="D100" t="s">
        <v>1061</v>
      </c>
      <c r="E100">
        <v>0</v>
      </c>
      <c r="F100">
        <v>0</v>
      </c>
      <c r="G100" t="s">
        <v>1191</v>
      </c>
      <c r="H100" t="s">
        <v>15</v>
      </c>
    </row>
    <row r="101" spans="1:8" x14ac:dyDescent="0.2">
      <c r="A101" t="s">
        <v>48</v>
      </c>
      <c r="B101" t="s">
        <v>1192</v>
      </c>
      <c r="C101" t="s">
        <v>1092</v>
      </c>
      <c r="D101" t="s">
        <v>1061</v>
      </c>
      <c r="E101">
        <v>5478078.04</v>
      </c>
      <c r="F101">
        <v>4520575</v>
      </c>
      <c r="G101" t="s">
        <v>1111</v>
      </c>
      <c r="H101" t="s">
        <v>15</v>
      </c>
    </row>
    <row r="102" spans="1:8" x14ac:dyDescent="0.2">
      <c r="A102" t="s">
        <v>48</v>
      </c>
      <c r="B102" t="s">
        <v>1099</v>
      </c>
      <c r="C102" t="s">
        <v>1100</v>
      </c>
      <c r="D102" t="s">
        <v>35</v>
      </c>
      <c r="E102">
        <v>10534208.332</v>
      </c>
      <c r="F102">
        <v>9200731</v>
      </c>
      <c r="G102" t="s">
        <v>35</v>
      </c>
      <c r="H102" t="s">
        <v>15</v>
      </c>
    </row>
    <row r="103" spans="1:8" x14ac:dyDescent="0.2">
      <c r="A103" t="s">
        <v>151</v>
      </c>
      <c r="B103" t="s">
        <v>1193</v>
      </c>
      <c r="C103" t="s">
        <v>1092</v>
      </c>
      <c r="D103" t="s">
        <v>1052</v>
      </c>
      <c r="E103">
        <v>97426.523000000001</v>
      </c>
      <c r="F103">
        <v>17</v>
      </c>
      <c r="G103" t="s">
        <v>1093</v>
      </c>
      <c r="H103" t="s">
        <v>15</v>
      </c>
    </row>
    <row r="104" spans="1:8" x14ac:dyDescent="0.2">
      <c r="A104" t="s">
        <v>151</v>
      </c>
      <c r="B104" t="s">
        <v>1099</v>
      </c>
      <c r="C104" t="s">
        <v>1100</v>
      </c>
      <c r="D104" t="s">
        <v>35</v>
      </c>
      <c r="E104">
        <v>97426.523000000001</v>
      </c>
      <c r="F104">
        <v>17</v>
      </c>
      <c r="G104" t="s">
        <v>35</v>
      </c>
      <c r="H104" t="s">
        <v>15</v>
      </c>
    </row>
    <row r="105" spans="1:8" x14ac:dyDescent="0.2">
      <c r="A105" t="s">
        <v>1194</v>
      </c>
      <c r="B105" t="s">
        <v>1195</v>
      </c>
      <c r="C105" t="s">
        <v>1092</v>
      </c>
      <c r="D105" t="s">
        <v>1058</v>
      </c>
      <c r="E105">
        <v>154431.41</v>
      </c>
      <c r="F105">
        <v>4722</v>
      </c>
      <c r="G105" t="s">
        <v>1196</v>
      </c>
      <c r="H105" t="s">
        <v>15</v>
      </c>
    </row>
    <row r="106" spans="1:8" x14ac:dyDescent="0.2">
      <c r="A106" t="s">
        <v>1194</v>
      </c>
      <c r="B106" t="s">
        <v>1197</v>
      </c>
      <c r="C106" t="s">
        <v>1092</v>
      </c>
      <c r="D106" t="s">
        <v>1058</v>
      </c>
      <c r="E106">
        <v>145472.1</v>
      </c>
      <c r="F106">
        <v>3943</v>
      </c>
      <c r="G106" t="s">
        <v>1196</v>
      </c>
      <c r="H106" t="s">
        <v>15</v>
      </c>
    </row>
    <row r="107" spans="1:8" x14ac:dyDescent="0.2">
      <c r="A107" t="s">
        <v>1194</v>
      </c>
      <c r="B107" t="s">
        <v>1099</v>
      </c>
      <c r="C107" t="s">
        <v>1100</v>
      </c>
      <c r="D107" t="s">
        <v>35</v>
      </c>
      <c r="E107">
        <v>299903.51</v>
      </c>
      <c r="F107">
        <v>8665</v>
      </c>
      <c r="G107" t="s">
        <v>35</v>
      </c>
      <c r="H107" t="s">
        <v>15</v>
      </c>
    </row>
    <row r="108" spans="1:8" x14ac:dyDescent="0.2">
      <c r="A108" t="s">
        <v>1198</v>
      </c>
      <c r="B108" t="s">
        <v>1174</v>
      </c>
      <c r="C108" t="s">
        <v>1092</v>
      </c>
      <c r="D108" t="s">
        <v>1096</v>
      </c>
      <c r="E108">
        <v>73823.108999999997</v>
      </c>
      <c r="F108">
        <v>27</v>
      </c>
      <c r="G108" t="s">
        <v>1093</v>
      </c>
      <c r="H108" t="s">
        <v>15</v>
      </c>
    </row>
    <row r="109" spans="1:8" x14ac:dyDescent="0.2">
      <c r="A109" t="s">
        <v>1198</v>
      </c>
      <c r="B109" t="s">
        <v>1099</v>
      </c>
      <c r="C109" t="s">
        <v>1100</v>
      </c>
      <c r="D109" t="s">
        <v>35</v>
      </c>
      <c r="E109">
        <v>73823.108999999997</v>
      </c>
      <c r="F109">
        <v>27</v>
      </c>
      <c r="G109" t="s">
        <v>35</v>
      </c>
      <c r="H109" t="s">
        <v>15</v>
      </c>
    </row>
    <row r="110" spans="1:8" x14ac:dyDescent="0.2">
      <c r="A110" t="s">
        <v>1199</v>
      </c>
      <c r="B110" t="s">
        <v>1200</v>
      </c>
      <c r="C110" t="s">
        <v>1092</v>
      </c>
      <c r="D110" t="s">
        <v>1058</v>
      </c>
      <c r="E110">
        <v>433264.00099999999</v>
      </c>
      <c r="F110">
        <v>58</v>
      </c>
      <c r="G110" t="s">
        <v>1093</v>
      </c>
      <c r="H110" t="s">
        <v>15</v>
      </c>
    </row>
    <row r="111" spans="1:8" x14ac:dyDescent="0.2">
      <c r="A111" t="s">
        <v>1199</v>
      </c>
      <c r="B111" t="s">
        <v>1099</v>
      </c>
      <c r="C111" t="s">
        <v>1100</v>
      </c>
      <c r="D111" t="s">
        <v>35</v>
      </c>
      <c r="E111">
        <v>433264.00099999999</v>
      </c>
      <c r="F111">
        <v>58</v>
      </c>
      <c r="G111" t="s">
        <v>35</v>
      </c>
      <c r="H111" t="s">
        <v>15</v>
      </c>
    </row>
    <row r="112" spans="1:8" x14ac:dyDescent="0.2">
      <c r="A112" t="s">
        <v>1201</v>
      </c>
      <c r="B112" t="s">
        <v>1202</v>
      </c>
      <c r="C112" t="s">
        <v>1092</v>
      </c>
      <c r="D112" t="s">
        <v>1096</v>
      </c>
      <c r="E112">
        <v>176338.33100000001</v>
      </c>
      <c r="F112">
        <v>20</v>
      </c>
      <c r="G112" t="s">
        <v>1093</v>
      </c>
      <c r="H112" t="s">
        <v>15</v>
      </c>
    </row>
    <row r="113" spans="1:8" x14ac:dyDescent="0.2">
      <c r="A113" t="s">
        <v>1201</v>
      </c>
      <c r="B113" t="s">
        <v>1099</v>
      </c>
      <c r="C113" t="s">
        <v>1100</v>
      </c>
      <c r="D113" t="s">
        <v>35</v>
      </c>
      <c r="E113">
        <v>176338.33100000001</v>
      </c>
      <c r="F113">
        <v>20</v>
      </c>
      <c r="G113" t="s">
        <v>35</v>
      </c>
      <c r="H113" t="s">
        <v>15</v>
      </c>
    </row>
    <row r="114" spans="1:8" x14ac:dyDescent="0.2">
      <c r="A114" t="s">
        <v>369</v>
      </c>
      <c r="B114" t="s">
        <v>1203</v>
      </c>
      <c r="C114" t="s">
        <v>1092</v>
      </c>
      <c r="D114" t="s">
        <v>1096</v>
      </c>
      <c r="E114">
        <v>86504.885999999999</v>
      </c>
      <c r="F114">
        <v>5</v>
      </c>
      <c r="G114" t="s">
        <v>1103</v>
      </c>
      <c r="H114" t="s">
        <v>15</v>
      </c>
    </row>
    <row r="115" spans="1:8" x14ac:dyDescent="0.2">
      <c r="A115" t="s">
        <v>369</v>
      </c>
      <c r="B115" t="s">
        <v>1099</v>
      </c>
      <c r="C115" t="s">
        <v>1100</v>
      </c>
      <c r="D115" t="s">
        <v>35</v>
      </c>
      <c r="E115">
        <v>86504.885999999999</v>
      </c>
      <c r="F115">
        <v>5</v>
      </c>
      <c r="G115" t="s">
        <v>35</v>
      </c>
      <c r="H115" t="s">
        <v>15</v>
      </c>
    </row>
    <row r="116" spans="1:8" x14ac:dyDescent="0.2">
      <c r="A116" t="s">
        <v>1204</v>
      </c>
      <c r="B116" t="s">
        <v>1205</v>
      </c>
      <c r="C116" t="s">
        <v>1092</v>
      </c>
      <c r="D116" t="s">
        <v>1061</v>
      </c>
      <c r="E116">
        <v>151780.50810000001</v>
      </c>
      <c r="F116">
        <v>65</v>
      </c>
      <c r="G116" t="s">
        <v>1103</v>
      </c>
      <c r="H116" t="s">
        <v>15</v>
      </c>
    </row>
    <row r="117" spans="1:8" x14ac:dyDescent="0.2">
      <c r="A117" t="s">
        <v>1204</v>
      </c>
      <c r="B117" t="s">
        <v>1099</v>
      </c>
      <c r="C117" t="s">
        <v>1100</v>
      </c>
      <c r="D117" t="s">
        <v>35</v>
      </c>
      <c r="E117">
        <v>151780.50810000001</v>
      </c>
      <c r="F117">
        <v>65</v>
      </c>
      <c r="G117" t="s">
        <v>35</v>
      </c>
      <c r="H117" t="s">
        <v>15</v>
      </c>
    </row>
    <row r="118" spans="1:8" x14ac:dyDescent="0.2">
      <c r="A118" t="s">
        <v>215</v>
      </c>
      <c r="B118" t="s">
        <v>1206</v>
      </c>
      <c r="C118" t="s">
        <v>1092</v>
      </c>
      <c r="D118" t="s">
        <v>1061</v>
      </c>
      <c r="E118">
        <v>93871</v>
      </c>
      <c r="F118">
        <v>239</v>
      </c>
      <c r="G118" t="s">
        <v>1107</v>
      </c>
      <c r="H118" t="s">
        <v>15</v>
      </c>
    </row>
    <row r="119" spans="1:8" x14ac:dyDescent="0.2">
      <c r="A119" t="s">
        <v>215</v>
      </c>
      <c r="B119" t="s">
        <v>1207</v>
      </c>
      <c r="C119" t="s">
        <v>1092</v>
      </c>
      <c r="D119" t="s">
        <v>1061</v>
      </c>
      <c r="E119">
        <v>587254</v>
      </c>
      <c r="F119">
        <v>101</v>
      </c>
      <c r="G119" t="s">
        <v>1107</v>
      </c>
      <c r="H119" t="s">
        <v>15</v>
      </c>
    </row>
    <row r="120" spans="1:8" x14ac:dyDescent="0.2">
      <c r="A120" t="s">
        <v>215</v>
      </c>
      <c r="B120" t="s">
        <v>1208</v>
      </c>
      <c r="C120" t="s">
        <v>1092</v>
      </c>
      <c r="D120" t="s">
        <v>1061</v>
      </c>
      <c r="E120">
        <v>649465</v>
      </c>
      <c r="F120">
        <v>253770</v>
      </c>
      <c r="G120" t="s">
        <v>1109</v>
      </c>
      <c r="H120" t="s">
        <v>15</v>
      </c>
    </row>
    <row r="121" spans="1:8" x14ac:dyDescent="0.2">
      <c r="A121" t="s">
        <v>215</v>
      </c>
      <c r="B121" t="s">
        <v>1209</v>
      </c>
      <c r="C121" t="s">
        <v>1092</v>
      </c>
      <c r="D121" t="s">
        <v>1061</v>
      </c>
      <c r="E121">
        <v>632159</v>
      </c>
      <c r="F121">
        <v>16</v>
      </c>
      <c r="G121" t="s">
        <v>1107</v>
      </c>
      <c r="H121" t="s">
        <v>15</v>
      </c>
    </row>
    <row r="122" spans="1:8" x14ac:dyDescent="0.2">
      <c r="A122" t="s">
        <v>215</v>
      </c>
      <c r="B122" t="s">
        <v>1099</v>
      </c>
      <c r="C122" t="s">
        <v>1100</v>
      </c>
      <c r="D122" t="s">
        <v>35</v>
      </c>
      <c r="E122">
        <v>1962749</v>
      </c>
      <c r="F122">
        <v>254126</v>
      </c>
      <c r="G122" t="s">
        <v>35</v>
      </c>
      <c r="H122" t="s">
        <v>15</v>
      </c>
    </row>
    <row r="123" spans="1:8" x14ac:dyDescent="0.2">
      <c r="A123" t="s">
        <v>105</v>
      </c>
      <c r="B123" t="s">
        <v>1210</v>
      </c>
      <c r="C123" t="s">
        <v>1092</v>
      </c>
      <c r="D123" t="s">
        <v>1058</v>
      </c>
      <c r="E123">
        <v>87240.444527</v>
      </c>
      <c r="F123">
        <v>14</v>
      </c>
      <c r="G123" t="s">
        <v>1093</v>
      </c>
      <c r="H123" t="s">
        <v>15</v>
      </c>
    </row>
    <row r="124" spans="1:8" x14ac:dyDescent="0.2">
      <c r="A124" t="s">
        <v>105</v>
      </c>
      <c r="B124" t="s">
        <v>1099</v>
      </c>
      <c r="C124" t="s">
        <v>1100</v>
      </c>
      <c r="D124" t="s">
        <v>35</v>
      </c>
      <c r="E124">
        <v>87240.444527</v>
      </c>
      <c r="F124">
        <v>14</v>
      </c>
      <c r="G124" t="s">
        <v>35</v>
      </c>
      <c r="H124" t="s">
        <v>15</v>
      </c>
    </row>
    <row r="125" spans="1:8" x14ac:dyDescent="0.2">
      <c r="A125" t="s">
        <v>1211</v>
      </c>
      <c r="B125" t="s">
        <v>1212</v>
      </c>
      <c r="C125" t="s">
        <v>1092</v>
      </c>
      <c r="D125" t="s">
        <v>1126</v>
      </c>
      <c r="E125">
        <v>640601.55599999998</v>
      </c>
      <c r="F125">
        <v>164</v>
      </c>
      <c r="G125" t="s">
        <v>1093</v>
      </c>
      <c r="H125" t="s">
        <v>15</v>
      </c>
    </row>
    <row r="126" spans="1:8" x14ac:dyDescent="0.2">
      <c r="A126" t="s">
        <v>1211</v>
      </c>
      <c r="B126" t="s">
        <v>1099</v>
      </c>
      <c r="C126" t="s">
        <v>1100</v>
      </c>
      <c r="D126" t="s">
        <v>35</v>
      </c>
      <c r="E126">
        <v>640601.55599999998</v>
      </c>
      <c r="F126">
        <v>164</v>
      </c>
      <c r="G126" t="s">
        <v>35</v>
      </c>
      <c r="H126" t="s">
        <v>15</v>
      </c>
    </row>
    <row r="127" spans="1:8" x14ac:dyDescent="0.2">
      <c r="A127" t="s">
        <v>1213</v>
      </c>
      <c r="B127" t="s">
        <v>1214</v>
      </c>
      <c r="C127" t="s">
        <v>1092</v>
      </c>
      <c r="D127" t="s">
        <v>1215</v>
      </c>
      <c r="E127">
        <v>34131.862000000001</v>
      </c>
      <c r="F127">
        <v>0</v>
      </c>
      <c r="G127" t="s">
        <v>1103</v>
      </c>
      <c r="H127" t="s">
        <v>15</v>
      </c>
    </row>
    <row r="128" spans="1:8" x14ac:dyDescent="0.2">
      <c r="A128" t="s">
        <v>1213</v>
      </c>
      <c r="B128" t="s">
        <v>1099</v>
      </c>
      <c r="C128" t="s">
        <v>1100</v>
      </c>
      <c r="D128" t="s">
        <v>35</v>
      </c>
      <c r="E128">
        <v>34131.862000000001</v>
      </c>
      <c r="F128">
        <v>0</v>
      </c>
      <c r="G128" t="s">
        <v>35</v>
      </c>
      <c r="H128" t="s">
        <v>15</v>
      </c>
    </row>
    <row r="129" spans="1:8" x14ac:dyDescent="0.2">
      <c r="A129" t="s">
        <v>1216</v>
      </c>
      <c r="B129" t="s">
        <v>1217</v>
      </c>
      <c r="C129" t="s">
        <v>1092</v>
      </c>
      <c r="D129" t="s">
        <v>1096</v>
      </c>
      <c r="E129">
        <v>879788.98199999996</v>
      </c>
      <c r="F129">
        <v>222</v>
      </c>
      <c r="G129" t="s">
        <v>1093</v>
      </c>
      <c r="H129" t="s">
        <v>15</v>
      </c>
    </row>
    <row r="130" spans="1:8" x14ac:dyDescent="0.2">
      <c r="A130" t="s">
        <v>1216</v>
      </c>
      <c r="B130" t="s">
        <v>1099</v>
      </c>
      <c r="C130" t="s">
        <v>1100</v>
      </c>
      <c r="D130" t="s">
        <v>35</v>
      </c>
      <c r="E130">
        <v>879788.98199999996</v>
      </c>
      <c r="F130">
        <v>222</v>
      </c>
      <c r="G130" t="s">
        <v>35</v>
      </c>
      <c r="H130" t="s">
        <v>15</v>
      </c>
    </row>
    <row r="131" spans="1:8" x14ac:dyDescent="0.2">
      <c r="A131" t="s">
        <v>1218</v>
      </c>
      <c r="B131" t="s">
        <v>1219</v>
      </c>
      <c r="C131" t="s">
        <v>1092</v>
      </c>
      <c r="D131" t="s">
        <v>1058</v>
      </c>
      <c r="E131">
        <v>587100.26899999997</v>
      </c>
      <c r="F131">
        <v>151</v>
      </c>
      <c r="G131" t="s">
        <v>1103</v>
      </c>
      <c r="H131" t="s">
        <v>15</v>
      </c>
    </row>
    <row r="132" spans="1:8" x14ac:dyDescent="0.2">
      <c r="A132" t="s">
        <v>1218</v>
      </c>
      <c r="B132" t="s">
        <v>1220</v>
      </c>
      <c r="C132" t="s">
        <v>1092</v>
      </c>
      <c r="D132" t="s">
        <v>1096</v>
      </c>
      <c r="E132">
        <v>106075.659</v>
      </c>
      <c r="F132">
        <v>25</v>
      </c>
      <c r="G132" t="s">
        <v>1103</v>
      </c>
      <c r="H132" t="s">
        <v>15</v>
      </c>
    </row>
    <row r="133" spans="1:8" x14ac:dyDescent="0.2">
      <c r="A133" t="s">
        <v>1218</v>
      </c>
      <c r="B133" t="s">
        <v>1221</v>
      </c>
      <c r="C133" t="s">
        <v>1092</v>
      </c>
      <c r="D133" t="s">
        <v>1096</v>
      </c>
      <c r="E133">
        <v>0</v>
      </c>
      <c r="F133">
        <v>15</v>
      </c>
      <c r="G133" t="s">
        <v>1191</v>
      </c>
      <c r="H133" t="s">
        <v>15</v>
      </c>
    </row>
    <row r="134" spans="1:8" x14ac:dyDescent="0.2">
      <c r="A134" t="s">
        <v>1218</v>
      </c>
      <c r="B134" t="s">
        <v>1222</v>
      </c>
      <c r="C134" t="s">
        <v>1092</v>
      </c>
      <c r="D134" t="s">
        <v>1223</v>
      </c>
      <c r="E134">
        <v>116555.14</v>
      </c>
      <c r="F134">
        <v>31</v>
      </c>
      <c r="G134" t="s">
        <v>1103</v>
      </c>
      <c r="H134" t="s">
        <v>15</v>
      </c>
    </row>
    <row r="135" spans="1:8" x14ac:dyDescent="0.2">
      <c r="A135" t="s">
        <v>1218</v>
      </c>
      <c r="B135" t="s">
        <v>1224</v>
      </c>
      <c r="C135" t="s">
        <v>1092</v>
      </c>
      <c r="D135" t="s">
        <v>1058</v>
      </c>
      <c r="E135">
        <v>0</v>
      </c>
      <c r="F135">
        <v>2</v>
      </c>
      <c r="G135" t="s">
        <v>1191</v>
      </c>
      <c r="H135" t="s">
        <v>15</v>
      </c>
    </row>
    <row r="136" spans="1:8" x14ac:dyDescent="0.2">
      <c r="A136" t="s">
        <v>1218</v>
      </c>
      <c r="B136" t="s">
        <v>1225</v>
      </c>
      <c r="C136" t="s">
        <v>1092</v>
      </c>
      <c r="D136" t="s">
        <v>1058</v>
      </c>
      <c r="E136">
        <v>0</v>
      </c>
      <c r="F136">
        <v>7</v>
      </c>
      <c r="G136" t="s">
        <v>1191</v>
      </c>
      <c r="H136" t="s">
        <v>15</v>
      </c>
    </row>
    <row r="137" spans="1:8" x14ac:dyDescent="0.2">
      <c r="A137" t="s">
        <v>1218</v>
      </c>
      <c r="B137" t="s">
        <v>1226</v>
      </c>
      <c r="C137" t="s">
        <v>1092</v>
      </c>
      <c r="D137" t="s">
        <v>1058</v>
      </c>
      <c r="E137">
        <v>0</v>
      </c>
      <c r="F137">
        <v>7</v>
      </c>
      <c r="G137" t="s">
        <v>1191</v>
      </c>
      <c r="H137" t="s">
        <v>15</v>
      </c>
    </row>
    <row r="138" spans="1:8" x14ac:dyDescent="0.2">
      <c r="A138" t="s">
        <v>1218</v>
      </c>
      <c r="B138" t="s">
        <v>1099</v>
      </c>
      <c r="C138" t="s">
        <v>1100</v>
      </c>
      <c r="D138" t="s">
        <v>35</v>
      </c>
      <c r="E138">
        <v>809731.06799999997</v>
      </c>
      <c r="F138">
        <v>238</v>
      </c>
      <c r="G138" t="s">
        <v>35</v>
      </c>
      <c r="H138" t="s">
        <v>15</v>
      </c>
    </row>
    <row r="139" spans="1:8" x14ac:dyDescent="0.2">
      <c r="A139" t="s">
        <v>105</v>
      </c>
      <c r="B139" t="s">
        <v>1227</v>
      </c>
      <c r="C139" t="s">
        <v>1092</v>
      </c>
      <c r="D139" t="s">
        <v>1058</v>
      </c>
      <c r="E139">
        <v>40815.623829999997</v>
      </c>
      <c r="F139">
        <v>21468</v>
      </c>
      <c r="G139" t="s">
        <v>1228</v>
      </c>
      <c r="H139" t="s">
        <v>15</v>
      </c>
    </row>
    <row r="140" spans="1:8" x14ac:dyDescent="0.2">
      <c r="A140" t="s">
        <v>105</v>
      </c>
      <c r="B140" t="s">
        <v>1229</v>
      </c>
      <c r="C140" t="s">
        <v>1092</v>
      </c>
      <c r="D140" t="s">
        <v>1061</v>
      </c>
      <c r="E140">
        <v>93832.904467999993</v>
      </c>
      <c r="F140">
        <v>53297</v>
      </c>
      <c r="G140" t="s">
        <v>1228</v>
      </c>
      <c r="H140" t="s">
        <v>15</v>
      </c>
    </row>
    <row r="141" spans="1:8" x14ac:dyDescent="0.2">
      <c r="A141" t="s">
        <v>105</v>
      </c>
      <c r="B141" t="s">
        <v>1230</v>
      </c>
      <c r="C141" t="s">
        <v>1092</v>
      </c>
      <c r="D141" t="s">
        <v>1061</v>
      </c>
      <c r="E141">
        <v>108262.04642300001</v>
      </c>
      <c r="F141">
        <v>56189</v>
      </c>
      <c r="G141" t="s">
        <v>1228</v>
      </c>
      <c r="H141" t="s">
        <v>15</v>
      </c>
    </row>
    <row r="142" spans="1:8" x14ac:dyDescent="0.2">
      <c r="A142" t="s">
        <v>105</v>
      </c>
      <c r="B142" t="s">
        <v>1099</v>
      </c>
      <c r="C142" t="s">
        <v>1100</v>
      </c>
      <c r="D142" t="s">
        <v>35</v>
      </c>
      <c r="E142">
        <v>242910.57472100001</v>
      </c>
      <c r="F142">
        <v>130954</v>
      </c>
      <c r="G142" t="s">
        <v>35</v>
      </c>
      <c r="H142" t="s">
        <v>15</v>
      </c>
    </row>
    <row r="143" spans="1:8" x14ac:dyDescent="0.2">
      <c r="A143" t="s">
        <v>105</v>
      </c>
      <c r="B143" t="s">
        <v>1231</v>
      </c>
      <c r="C143" t="s">
        <v>1092</v>
      </c>
      <c r="D143" t="s">
        <v>1058</v>
      </c>
      <c r="E143">
        <v>35918.959009999999</v>
      </c>
      <c r="F143">
        <v>20435</v>
      </c>
      <c r="G143" t="s">
        <v>1228</v>
      </c>
      <c r="H143" t="s">
        <v>15</v>
      </c>
    </row>
    <row r="144" spans="1:8" x14ac:dyDescent="0.2">
      <c r="A144" t="s">
        <v>105</v>
      </c>
      <c r="B144" t="s">
        <v>1099</v>
      </c>
      <c r="C144" t="s">
        <v>1100</v>
      </c>
      <c r="D144" t="s">
        <v>35</v>
      </c>
      <c r="E144">
        <v>35918.959009999999</v>
      </c>
      <c r="F144">
        <v>20435</v>
      </c>
      <c r="G144" t="s">
        <v>35</v>
      </c>
      <c r="H144" t="s">
        <v>15</v>
      </c>
    </row>
    <row r="145" spans="1:8" x14ac:dyDescent="0.2">
      <c r="A145" t="s">
        <v>105</v>
      </c>
      <c r="B145" t="s">
        <v>1232</v>
      </c>
      <c r="C145" t="s">
        <v>1092</v>
      </c>
      <c r="D145" t="s">
        <v>1058</v>
      </c>
      <c r="E145">
        <v>228314.23905400001</v>
      </c>
      <c r="F145">
        <v>146960</v>
      </c>
      <c r="G145" t="s">
        <v>1228</v>
      </c>
      <c r="H145" t="s">
        <v>15</v>
      </c>
    </row>
    <row r="146" spans="1:8" x14ac:dyDescent="0.2">
      <c r="A146" t="s">
        <v>105</v>
      </c>
      <c r="B146" t="s">
        <v>1233</v>
      </c>
      <c r="C146" t="s">
        <v>1092</v>
      </c>
      <c r="D146" t="s">
        <v>1058</v>
      </c>
      <c r="E146">
        <v>137883.79234000001</v>
      </c>
      <c r="F146">
        <v>91695</v>
      </c>
      <c r="G146" t="s">
        <v>1228</v>
      </c>
      <c r="H146" t="s">
        <v>15</v>
      </c>
    </row>
    <row r="147" spans="1:8" x14ac:dyDescent="0.2">
      <c r="A147" t="s">
        <v>105</v>
      </c>
      <c r="B147" t="s">
        <v>1099</v>
      </c>
      <c r="C147" t="s">
        <v>1100</v>
      </c>
      <c r="D147" t="s">
        <v>35</v>
      </c>
      <c r="E147">
        <v>366198.03139399999</v>
      </c>
      <c r="F147">
        <v>238655</v>
      </c>
      <c r="G147" t="s">
        <v>35</v>
      </c>
      <c r="H147" t="s">
        <v>15</v>
      </c>
    </row>
    <row r="148" spans="1:8" x14ac:dyDescent="0.2">
      <c r="A148" t="s">
        <v>105</v>
      </c>
      <c r="B148" t="s">
        <v>1234</v>
      </c>
      <c r="C148" t="s">
        <v>1092</v>
      </c>
      <c r="D148" t="s">
        <v>1061</v>
      </c>
      <c r="E148">
        <v>143636.568401</v>
      </c>
      <c r="F148">
        <v>80445</v>
      </c>
      <c r="G148" t="s">
        <v>1228</v>
      </c>
      <c r="H148" t="s">
        <v>15</v>
      </c>
    </row>
    <row r="149" spans="1:8" x14ac:dyDescent="0.2">
      <c r="A149" t="s">
        <v>105</v>
      </c>
      <c r="B149" t="s">
        <v>1099</v>
      </c>
      <c r="C149" t="s">
        <v>1100</v>
      </c>
      <c r="D149" t="s">
        <v>35</v>
      </c>
      <c r="E149">
        <v>143636.568401</v>
      </c>
      <c r="F149">
        <v>80445</v>
      </c>
      <c r="G149" t="s">
        <v>35</v>
      </c>
      <c r="H149" t="s">
        <v>15</v>
      </c>
    </row>
    <row r="150" spans="1:8" x14ac:dyDescent="0.2">
      <c r="A150" t="s">
        <v>105</v>
      </c>
      <c r="B150" t="s">
        <v>1235</v>
      </c>
      <c r="C150" t="s">
        <v>1092</v>
      </c>
      <c r="D150" t="s">
        <v>1223</v>
      </c>
      <c r="E150">
        <v>13896.953</v>
      </c>
      <c r="F150">
        <v>4960</v>
      </c>
      <c r="G150" t="s">
        <v>1236</v>
      </c>
      <c r="H150" t="s">
        <v>15</v>
      </c>
    </row>
    <row r="151" spans="1:8" x14ac:dyDescent="0.2">
      <c r="A151" t="s">
        <v>105</v>
      </c>
      <c r="B151" t="s">
        <v>1099</v>
      </c>
      <c r="C151" t="s">
        <v>1100</v>
      </c>
      <c r="D151" t="s">
        <v>35</v>
      </c>
      <c r="E151">
        <v>13896.953</v>
      </c>
      <c r="F151">
        <v>4960</v>
      </c>
      <c r="G151" t="s">
        <v>35</v>
      </c>
      <c r="H151" t="s">
        <v>15</v>
      </c>
    </row>
    <row r="152" spans="1:8" x14ac:dyDescent="0.2">
      <c r="A152" t="s">
        <v>105</v>
      </c>
      <c r="B152" t="s">
        <v>1237</v>
      </c>
      <c r="C152" t="s">
        <v>1092</v>
      </c>
      <c r="D152" t="s">
        <v>1058</v>
      </c>
      <c r="E152">
        <v>3906.8379</v>
      </c>
      <c r="F152">
        <v>288</v>
      </c>
      <c r="G152" t="s">
        <v>1238</v>
      </c>
      <c r="H152" t="s">
        <v>15</v>
      </c>
    </row>
    <row r="153" spans="1:8" x14ac:dyDescent="0.2">
      <c r="A153" t="s">
        <v>105</v>
      </c>
      <c r="B153" t="s">
        <v>1239</v>
      </c>
      <c r="C153" t="s">
        <v>1092</v>
      </c>
      <c r="D153" t="s">
        <v>1058</v>
      </c>
      <c r="E153">
        <v>780.29629999999997</v>
      </c>
      <c r="F153">
        <v>75</v>
      </c>
      <c r="G153" t="s">
        <v>1238</v>
      </c>
      <c r="H153" t="s">
        <v>15</v>
      </c>
    </row>
    <row r="154" spans="1:8" x14ac:dyDescent="0.2">
      <c r="A154" t="s">
        <v>105</v>
      </c>
      <c r="B154" t="s">
        <v>1240</v>
      </c>
      <c r="C154" t="s">
        <v>1092</v>
      </c>
      <c r="D154" t="s">
        <v>1058</v>
      </c>
      <c r="E154">
        <v>6097.0869419999999</v>
      </c>
      <c r="F154">
        <v>483</v>
      </c>
      <c r="G154" t="s">
        <v>1238</v>
      </c>
      <c r="H154" t="s">
        <v>15</v>
      </c>
    </row>
    <row r="155" spans="1:8" x14ac:dyDescent="0.2">
      <c r="A155" t="s">
        <v>105</v>
      </c>
      <c r="B155" t="s">
        <v>1241</v>
      </c>
      <c r="C155" t="s">
        <v>1092</v>
      </c>
      <c r="D155" t="s">
        <v>1058</v>
      </c>
      <c r="E155">
        <v>21513.876390000001</v>
      </c>
      <c r="F155">
        <v>1673</v>
      </c>
      <c r="G155" t="s">
        <v>1238</v>
      </c>
      <c r="H155" t="s">
        <v>15</v>
      </c>
    </row>
    <row r="156" spans="1:8" x14ac:dyDescent="0.2">
      <c r="A156" t="s">
        <v>105</v>
      </c>
      <c r="B156" t="s">
        <v>1242</v>
      </c>
      <c r="C156" t="s">
        <v>1092</v>
      </c>
      <c r="D156" t="s">
        <v>1058</v>
      </c>
      <c r="E156">
        <v>117953.09474099999</v>
      </c>
      <c r="F156">
        <v>9589</v>
      </c>
      <c r="G156" t="s">
        <v>1238</v>
      </c>
      <c r="H156" t="s">
        <v>15</v>
      </c>
    </row>
    <row r="157" spans="1:8" x14ac:dyDescent="0.2">
      <c r="A157" t="s">
        <v>105</v>
      </c>
      <c r="B157" t="s">
        <v>1099</v>
      </c>
      <c r="C157" t="s">
        <v>1100</v>
      </c>
      <c r="D157" t="s">
        <v>35</v>
      </c>
      <c r="E157">
        <v>150251.19227299999</v>
      </c>
      <c r="F157">
        <v>12108</v>
      </c>
      <c r="G157" t="s">
        <v>35</v>
      </c>
      <c r="H157" t="s">
        <v>15</v>
      </c>
    </row>
    <row r="158" spans="1:8" x14ac:dyDescent="0.2">
      <c r="A158" t="s">
        <v>105</v>
      </c>
      <c r="B158" t="s">
        <v>1243</v>
      </c>
      <c r="C158" t="s">
        <v>1092</v>
      </c>
      <c r="D158" t="s">
        <v>1061</v>
      </c>
      <c r="E158">
        <v>15223.000167</v>
      </c>
      <c r="F158">
        <v>1161</v>
      </c>
      <c r="G158" t="s">
        <v>1238</v>
      </c>
      <c r="H158" t="s">
        <v>15</v>
      </c>
    </row>
    <row r="159" spans="1:8" x14ac:dyDescent="0.2">
      <c r="A159" t="s">
        <v>105</v>
      </c>
      <c r="B159" t="s">
        <v>1099</v>
      </c>
      <c r="C159" t="s">
        <v>1100</v>
      </c>
      <c r="D159" t="s">
        <v>35</v>
      </c>
      <c r="E159">
        <v>15223.000167</v>
      </c>
      <c r="F159">
        <v>1161</v>
      </c>
      <c r="G159" t="s">
        <v>35</v>
      </c>
      <c r="H159" t="s">
        <v>15</v>
      </c>
    </row>
    <row r="160" spans="1:8" x14ac:dyDescent="0.2">
      <c r="A160" t="s">
        <v>105</v>
      </c>
      <c r="B160" t="s">
        <v>1244</v>
      </c>
      <c r="C160" t="s">
        <v>1092</v>
      </c>
      <c r="D160" t="s">
        <v>1052</v>
      </c>
      <c r="E160">
        <v>4036.866</v>
      </c>
      <c r="F160">
        <v>785</v>
      </c>
      <c r="G160" t="s">
        <v>1238</v>
      </c>
      <c r="H160" t="s">
        <v>15</v>
      </c>
    </row>
    <row r="161" spans="1:8" x14ac:dyDescent="0.2">
      <c r="A161" t="s">
        <v>105</v>
      </c>
      <c r="B161" t="s">
        <v>1245</v>
      </c>
      <c r="C161" t="s">
        <v>1092</v>
      </c>
      <c r="D161" t="s">
        <v>1052</v>
      </c>
      <c r="E161">
        <v>16005.872600000001</v>
      </c>
      <c r="F161">
        <v>1222</v>
      </c>
      <c r="G161" t="s">
        <v>1238</v>
      </c>
      <c r="H161" t="s">
        <v>15</v>
      </c>
    </row>
    <row r="162" spans="1:8" x14ac:dyDescent="0.2">
      <c r="A162" t="s">
        <v>105</v>
      </c>
      <c r="B162" t="s">
        <v>1099</v>
      </c>
      <c r="C162" t="s">
        <v>1100</v>
      </c>
      <c r="D162" t="s">
        <v>35</v>
      </c>
      <c r="E162">
        <v>20042.738600000001</v>
      </c>
      <c r="F162">
        <v>2007</v>
      </c>
      <c r="G162" t="s">
        <v>35</v>
      </c>
      <c r="H162" t="s">
        <v>15</v>
      </c>
    </row>
    <row r="163" spans="1:8" x14ac:dyDescent="0.2">
      <c r="A163" t="s">
        <v>105</v>
      </c>
      <c r="B163" t="s">
        <v>1246</v>
      </c>
      <c r="C163" t="s">
        <v>1092</v>
      </c>
      <c r="D163" t="s">
        <v>1096</v>
      </c>
      <c r="E163">
        <v>0</v>
      </c>
      <c r="F163">
        <v>0</v>
      </c>
      <c r="G163" t="s">
        <v>1238</v>
      </c>
      <c r="H163" t="s">
        <v>15</v>
      </c>
    </row>
    <row r="164" spans="1:8" x14ac:dyDescent="0.2">
      <c r="A164" t="s">
        <v>105</v>
      </c>
      <c r="B164" t="s">
        <v>1247</v>
      </c>
      <c r="C164" t="s">
        <v>1092</v>
      </c>
      <c r="D164" t="s">
        <v>1096</v>
      </c>
      <c r="E164">
        <v>213.64573200000001</v>
      </c>
      <c r="F164">
        <v>19</v>
      </c>
      <c r="G164" t="s">
        <v>1238</v>
      </c>
      <c r="H164" t="s">
        <v>15</v>
      </c>
    </row>
    <row r="165" spans="1:8" x14ac:dyDescent="0.2">
      <c r="A165" t="s">
        <v>105</v>
      </c>
      <c r="B165" t="s">
        <v>1248</v>
      </c>
      <c r="C165" t="s">
        <v>1092</v>
      </c>
      <c r="D165" t="s">
        <v>1096</v>
      </c>
      <c r="E165">
        <v>4728.5028419999999</v>
      </c>
      <c r="F165">
        <v>363</v>
      </c>
      <c r="G165" t="s">
        <v>1238</v>
      </c>
      <c r="H165" t="s">
        <v>15</v>
      </c>
    </row>
    <row r="166" spans="1:8" x14ac:dyDescent="0.2">
      <c r="A166" t="s">
        <v>105</v>
      </c>
      <c r="B166" t="s">
        <v>1249</v>
      </c>
      <c r="C166" t="s">
        <v>1092</v>
      </c>
      <c r="D166" t="s">
        <v>1096</v>
      </c>
      <c r="E166">
        <v>53413.296981</v>
      </c>
      <c r="F166">
        <v>3519</v>
      </c>
      <c r="G166" t="s">
        <v>1238</v>
      </c>
      <c r="H166" t="s">
        <v>15</v>
      </c>
    </row>
    <row r="167" spans="1:8" x14ac:dyDescent="0.2">
      <c r="A167" t="s">
        <v>105</v>
      </c>
      <c r="B167" t="s">
        <v>1250</v>
      </c>
      <c r="C167" t="s">
        <v>1092</v>
      </c>
      <c r="D167" t="s">
        <v>1096</v>
      </c>
      <c r="E167">
        <v>0</v>
      </c>
      <c r="F167">
        <v>0</v>
      </c>
      <c r="G167" t="s">
        <v>1238</v>
      </c>
      <c r="H167" t="s">
        <v>15</v>
      </c>
    </row>
    <row r="168" spans="1:8" x14ac:dyDescent="0.2">
      <c r="A168" t="s">
        <v>105</v>
      </c>
      <c r="B168" t="s">
        <v>1251</v>
      </c>
      <c r="C168" t="s">
        <v>1092</v>
      </c>
      <c r="D168" t="s">
        <v>1096</v>
      </c>
      <c r="E168">
        <v>0</v>
      </c>
      <c r="F168">
        <v>0</v>
      </c>
      <c r="G168" t="s">
        <v>1238</v>
      </c>
      <c r="H168" t="s">
        <v>15</v>
      </c>
    </row>
    <row r="169" spans="1:8" x14ac:dyDescent="0.2">
      <c r="A169" t="s">
        <v>105</v>
      </c>
      <c r="B169" t="s">
        <v>1099</v>
      </c>
      <c r="C169" t="s">
        <v>1100</v>
      </c>
      <c r="D169" t="s">
        <v>35</v>
      </c>
      <c r="E169">
        <v>58355.445554999998</v>
      </c>
      <c r="F169">
        <v>3901</v>
      </c>
      <c r="G169" t="s">
        <v>35</v>
      </c>
      <c r="H169" t="s">
        <v>15</v>
      </c>
    </row>
    <row r="170" spans="1:8" x14ac:dyDescent="0.2">
      <c r="A170" t="s">
        <v>105</v>
      </c>
      <c r="B170" t="s">
        <v>1252</v>
      </c>
      <c r="C170" t="s">
        <v>1092</v>
      </c>
      <c r="D170" t="s">
        <v>1223</v>
      </c>
      <c r="E170">
        <v>292912.41338899999</v>
      </c>
      <c r="F170">
        <v>153074</v>
      </c>
      <c r="G170" t="s">
        <v>1109</v>
      </c>
      <c r="H170" t="s">
        <v>15</v>
      </c>
    </row>
    <row r="171" spans="1:8" x14ac:dyDescent="0.2">
      <c r="A171" t="s">
        <v>105</v>
      </c>
      <c r="B171" t="s">
        <v>1253</v>
      </c>
      <c r="C171" t="s">
        <v>1092</v>
      </c>
      <c r="D171" t="s">
        <v>1223</v>
      </c>
      <c r="E171">
        <v>215646.34845399999</v>
      </c>
      <c r="F171">
        <v>100836</v>
      </c>
      <c r="G171" t="s">
        <v>1109</v>
      </c>
      <c r="H171" t="s">
        <v>15</v>
      </c>
    </row>
    <row r="172" spans="1:8" x14ac:dyDescent="0.2">
      <c r="A172" t="s">
        <v>105</v>
      </c>
      <c r="B172" t="s">
        <v>1099</v>
      </c>
      <c r="C172" t="s">
        <v>1100</v>
      </c>
      <c r="D172" t="s">
        <v>35</v>
      </c>
      <c r="E172">
        <v>508558.76184300001</v>
      </c>
      <c r="F172">
        <v>253910</v>
      </c>
      <c r="G172" t="s">
        <v>35</v>
      </c>
      <c r="H172" t="s">
        <v>15</v>
      </c>
    </row>
    <row r="173" spans="1:8" x14ac:dyDescent="0.2">
      <c r="A173" t="s">
        <v>105</v>
      </c>
      <c r="B173" t="s">
        <v>1254</v>
      </c>
      <c r="C173" t="s">
        <v>1092</v>
      </c>
      <c r="D173" t="s">
        <v>1126</v>
      </c>
      <c r="E173">
        <v>142675.66391100001</v>
      </c>
      <c r="F173">
        <v>80902</v>
      </c>
      <c r="G173" t="s">
        <v>1109</v>
      </c>
      <c r="H173" t="s">
        <v>15</v>
      </c>
    </row>
    <row r="174" spans="1:8" x14ac:dyDescent="0.2">
      <c r="A174" t="s">
        <v>105</v>
      </c>
      <c r="B174" t="s">
        <v>1255</v>
      </c>
      <c r="C174" t="s">
        <v>1092</v>
      </c>
      <c r="D174" t="s">
        <v>1126</v>
      </c>
      <c r="E174">
        <v>34509.715464000001</v>
      </c>
      <c r="F174">
        <v>21034</v>
      </c>
      <c r="G174" t="s">
        <v>1109</v>
      </c>
      <c r="H174" t="s">
        <v>15</v>
      </c>
    </row>
    <row r="175" spans="1:8" x14ac:dyDescent="0.2">
      <c r="A175" t="s">
        <v>105</v>
      </c>
      <c r="B175" t="s">
        <v>1256</v>
      </c>
      <c r="C175" t="s">
        <v>1092</v>
      </c>
      <c r="D175" t="s">
        <v>1126</v>
      </c>
      <c r="E175">
        <v>14956.381411</v>
      </c>
      <c r="F175">
        <v>9331</v>
      </c>
      <c r="G175" t="s">
        <v>1109</v>
      </c>
      <c r="H175" t="s">
        <v>15</v>
      </c>
    </row>
    <row r="176" spans="1:8" x14ac:dyDescent="0.2">
      <c r="A176" t="s">
        <v>105</v>
      </c>
      <c r="B176" t="s">
        <v>1257</v>
      </c>
      <c r="C176" t="s">
        <v>1092</v>
      </c>
      <c r="D176" t="s">
        <v>1126</v>
      </c>
      <c r="E176">
        <v>11483.988660000001</v>
      </c>
      <c r="F176">
        <v>7543</v>
      </c>
      <c r="G176" t="s">
        <v>1109</v>
      </c>
      <c r="H176" t="s">
        <v>15</v>
      </c>
    </row>
    <row r="177" spans="1:8" x14ac:dyDescent="0.2">
      <c r="A177" t="s">
        <v>105</v>
      </c>
      <c r="B177" t="s">
        <v>1258</v>
      </c>
      <c r="C177" t="s">
        <v>1092</v>
      </c>
      <c r="D177" t="s">
        <v>1126</v>
      </c>
      <c r="E177">
        <v>2866.5381440000001</v>
      </c>
      <c r="F177">
        <v>2123</v>
      </c>
      <c r="G177" t="s">
        <v>1236</v>
      </c>
      <c r="H177" t="s">
        <v>15</v>
      </c>
    </row>
    <row r="178" spans="1:8" x14ac:dyDescent="0.2">
      <c r="A178" t="s">
        <v>105</v>
      </c>
      <c r="B178" t="s">
        <v>1099</v>
      </c>
      <c r="C178" t="s">
        <v>1100</v>
      </c>
      <c r="D178" t="s">
        <v>35</v>
      </c>
      <c r="E178">
        <v>206492.28758999999</v>
      </c>
      <c r="F178">
        <v>120933</v>
      </c>
      <c r="G178" t="s">
        <v>35</v>
      </c>
      <c r="H178" t="s">
        <v>15</v>
      </c>
    </row>
    <row r="179" spans="1:8" x14ac:dyDescent="0.2">
      <c r="A179" t="s">
        <v>105</v>
      </c>
      <c r="B179" t="s">
        <v>1259</v>
      </c>
      <c r="C179" t="s">
        <v>1092</v>
      </c>
      <c r="D179" t="s">
        <v>1061</v>
      </c>
      <c r="E179">
        <v>130160.31869299999</v>
      </c>
      <c r="F179">
        <v>72247</v>
      </c>
      <c r="G179" t="s">
        <v>1228</v>
      </c>
      <c r="H179" t="s">
        <v>15</v>
      </c>
    </row>
    <row r="180" spans="1:8" x14ac:dyDescent="0.2">
      <c r="A180" t="s">
        <v>105</v>
      </c>
      <c r="B180" t="s">
        <v>1260</v>
      </c>
      <c r="C180" t="s">
        <v>1092</v>
      </c>
      <c r="D180" t="s">
        <v>1061</v>
      </c>
      <c r="E180">
        <v>88294.458369</v>
      </c>
      <c r="F180">
        <v>50317</v>
      </c>
      <c r="G180" t="s">
        <v>1228</v>
      </c>
      <c r="H180" t="s">
        <v>15</v>
      </c>
    </row>
    <row r="181" spans="1:8" x14ac:dyDescent="0.2">
      <c r="A181" t="s">
        <v>105</v>
      </c>
      <c r="B181" t="s">
        <v>1261</v>
      </c>
      <c r="C181" t="s">
        <v>1092</v>
      </c>
      <c r="D181" t="s">
        <v>1061</v>
      </c>
      <c r="E181">
        <v>419433.94617000001</v>
      </c>
      <c r="F181">
        <v>242988</v>
      </c>
      <c r="G181" t="s">
        <v>1228</v>
      </c>
      <c r="H181" t="s">
        <v>15</v>
      </c>
    </row>
    <row r="182" spans="1:8" x14ac:dyDescent="0.2">
      <c r="A182" t="s">
        <v>105</v>
      </c>
      <c r="B182" t="s">
        <v>1099</v>
      </c>
      <c r="C182" t="s">
        <v>1100</v>
      </c>
      <c r="D182" t="s">
        <v>35</v>
      </c>
      <c r="E182">
        <v>637888.72323200002</v>
      </c>
      <c r="F182">
        <v>365552</v>
      </c>
      <c r="G182" t="s">
        <v>35</v>
      </c>
      <c r="H182" t="s">
        <v>15</v>
      </c>
    </row>
    <row r="183" spans="1:8" x14ac:dyDescent="0.2">
      <c r="A183" t="s">
        <v>71</v>
      </c>
      <c r="B183" t="s">
        <v>1262</v>
      </c>
      <c r="C183" t="s">
        <v>1092</v>
      </c>
      <c r="D183" t="s">
        <v>1126</v>
      </c>
      <c r="E183">
        <v>0</v>
      </c>
      <c r="F183">
        <v>1</v>
      </c>
      <c r="G183" t="s">
        <v>1191</v>
      </c>
      <c r="H183" t="s">
        <v>15</v>
      </c>
    </row>
    <row r="184" spans="1:8" x14ac:dyDescent="0.2">
      <c r="A184" t="s">
        <v>71</v>
      </c>
      <c r="B184" t="s">
        <v>1263</v>
      </c>
      <c r="C184" t="s">
        <v>1092</v>
      </c>
      <c r="D184" t="s">
        <v>1126</v>
      </c>
      <c r="E184">
        <v>1773.0360000000001</v>
      </c>
      <c r="F184">
        <v>33</v>
      </c>
      <c r="G184" t="s">
        <v>1093</v>
      </c>
      <c r="H184" t="s">
        <v>15</v>
      </c>
    </row>
    <row r="185" spans="1:8" x14ac:dyDescent="0.2">
      <c r="A185" t="s">
        <v>71</v>
      </c>
      <c r="B185" t="s">
        <v>1264</v>
      </c>
      <c r="C185" t="s">
        <v>1092</v>
      </c>
      <c r="D185" t="s">
        <v>1126</v>
      </c>
      <c r="E185">
        <v>807310.67747400003</v>
      </c>
      <c r="F185">
        <v>307892</v>
      </c>
      <c r="G185" t="s">
        <v>1109</v>
      </c>
      <c r="H185" t="s">
        <v>15</v>
      </c>
    </row>
    <row r="186" spans="1:8" x14ac:dyDescent="0.2">
      <c r="A186" t="s">
        <v>71</v>
      </c>
      <c r="B186" t="s">
        <v>1265</v>
      </c>
      <c r="C186" t="s">
        <v>1092</v>
      </c>
      <c r="D186" t="s">
        <v>1126</v>
      </c>
      <c r="E186">
        <v>966990.14007199998</v>
      </c>
      <c r="F186">
        <v>920053</v>
      </c>
      <c r="G186" t="s">
        <v>1111</v>
      </c>
      <c r="H186" t="s">
        <v>15</v>
      </c>
    </row>
    <row r="187" spans="1:8" x14ac:dyDescent="0.2">
      <c r="A187" t="s">
        <v>71</v>
      </c>
      <c r="B187" t="s">
        <v>1266</v>
      </c>
      <c r="C187" t="s">
        <v>1092</v>
      </c>
      <c r="D187" t="s">
        <v>1126</v>
      </c>
      <c r="E187">
        <v>3214.2646500000001</v>
      </c>
      <c r="F187">
        <v>1264</v>
      </c>
      <c r="G187" t="s">
        <v>1236</v>
      </c>
      <c r="H187" t="s">
        <v>15</v>
      </c>
    </row>
    <row r="188" spans="1:8" x14ac:dyDescent="0.2">
      <c r="A188" t="s">
        <v>71</v>
      </c>
      <c r="B188" t="s">
        <v>1267</v>
      </c>
      <c r="C188" t="s">
        <v>1092</v>
      </c>
      <c r="D188" t="s">
        <v>1126</v>
      </c>
      <c r="E188">
        <v>5405.47415</v>
      </c>
      <c r="F188">
        <v>2434</v>
      </c>
      <c r="G188" t="s">
        <v>1236</v>
      </c>
      <c r="H188" t="s">
        <v>15</v>
      </c>
    </row>
    <row r="189" spans="1:8" x14ac:dyDescent="0.2">
      <c r="A189" t="s">
        <v>71</v>
      </c>
      <c r="B189" t="s">
        <v>1268</v>
      </c>
      <c r="C189" t="s">
        <v>1092</v>
      </c>
      <c r="D189" t="s">
        <v>1126</v>
      </c>
      <c r="E189">
        <v>2143.6379999999999</v>
      </c>
      <c r="F189">
        <v>0</v>
      </c>
      <c r="G189" t="s">
        <v>1093</v>
      </c>
      <c r="H189" t="s">
        <v>15</v>
      </c>
    </row>
    <row r="190" spans="1:8" x14ac:dyDescent="0.2">
      <c r="A190" t="s">
        <v>71</v>
      </c>
      <c r="B190" t="s">
        <v>1269</v>
      </c>
      <c r="C190" t="s">
        <v>1092</v>
      </c>
      <c r="D190" t="s">
        <v>1126</v>
      </c>
      <c r="E190">
        <v>8621.3050800000001</v>
      </c>
      <c r="F190">
        <v>8159</v>
      </c>
      <c r="G190" t="s">
        <v>1109</v>
      </c>
      <c r="H190" t="s">
        <v>15</v>
      </c>
    </row>
    <row r="191" spans="1:8" x14ac:dyDescent="0.2">
      <c r="A191" t="s">
        <v>71</v>
      </c>
      <c r="B191" t="s">
        <v>1270</v>
      </c>
      <c r="C191" t="s">
        <v>1092</v>
      </c>
      <c r="D191" t="s">
        <v>1126</v>
      </c>
      <c r="E191">
        <v>0</v>
      </c>
      <c r="F191">
        <v>609</v>
      </c>
      <c r="G191" t="s">
        <v>1191</v>
      </c>
      <c r="H191" t="s">
        <v>15</v>
      </c>
    </row>
    <row r="192" spans="1:8" x14ac:dyDescent="0.2">
      <c r="A192" t="s">
        <v>71</v>
      </c>
      <c r="B192" t="s">
        <v>1271</v>
      </c>
      <c r="C192" t="s">
        <v>1092</v>
      </c>
      <c r="D192" t="s">
        <v>1126</v>
      </c>
      <c r="E192">
        <v>861202.54544899997</v>
      </c>
      <c r="F192">
        <v>455259</v>
      </c>
      <c r="G192" t="s">
        <v>1109</v>
      </c>
      <c r="H192" t="s">
        <v>15</v>
      </c>
    </row>
    <row r="193" spans="1:8" x14ac:dyDescent="0.2">
      <c r="A193" t="s">
        <v>71</v>
      </c>
      <c r="B193" t="s">
        <v>1272</v>
      </c>
      <c r="C193" t="s">
        <v>1092</v>
      </c>
      <c r="D193" t="s">
        <v>1126</v>
      </c>
      <c r="E193">
        <v>3200546.0575390002</v>
      </c>
      <c r="F193">
        <v>3091936</v>
      </c>
      <c r="G193" t="s">
        <v>1111</v>
      </c>
      <c r="H193" t="s">
        <v>15</v>
      </c>
    </row>
    <row r="194" spans="1:8" x14ac:dyDescent="0.2">
      <c r="A194" t="s">
        <v>71</v>
      </c>
      <c r="B194" t="s">
        <v>1273</v>
      </c>
      <c r="C194" t="s">
        <v>1092</v>
      </c>
      <c r="D194" t="s">
        <v>1126</v>
      </c>
      <c r="E194">
        <v>5987.6234370000002</v>
      </c>
      <c r="F194">
        <v>4537</v>
      </c>
      <c r="G194" t="s">
        <v>1109</v>
      </c>
      <c r="H194" t="s">
        <v>15</v>
      </c>
    </row>
    <row r="195" spans="1:8" x14ac:dyDescent="0.2">
      <c r="A195" t="s">
        <v>71</v>
      </c>
      <c r="B195" t="s">
        <v>1274</v>
      </c>
      <c r="C195" t="s">
        <v>1092</v>
      </c>
      <c r="D195" t="s">
        <v>1126</v>
      </c>
      <c r="E195">
        <v>551161.70949000004</v>
      </c>
      <c r="F195">
        <v>569715</v>
      </c>
      <c r="G195" t="s">
        <v>1109</v>
      </c>
      <c r="H195" t="s">
        <v>15</v>
      </c>
    </row>
    <row r="196" spans="1:8" x14ac:dyDescent="0.2">
      <c r="A196" t="s">
        <v>71</v>
      </c>
      <c r="B196" t="s">
        <v>1275</v>
      </c>
      <c r="C196" t="s">
        <v>1092</v>
      </c>
      <c r="D196" t="s">
        <v>1126</v>
      </c>
      <c r="E196">
        <v>0</v>
      </c>
      <c r="F196">
        <v>0</v>
      </c>
      <c r="G196" t="s">
        <v>1191</v>
      </c>
      <c r="H196" t="s">
        <v>15</v>
      </c>
    </row>
    <row r="197" spans="1:8" x14ac:dyDescent="0.2">
      <c r="A197" t="s">
        <v>71</v>
      </c>
      <c r="B197" t="s">
        <v>1099</v>
      </c>
      <c r="C197" t="s">
        <v>1100</v>
      </c>
      <c r="D197" t="s">
        <v>35</v>
      </c>
      <c r="E197">
        <v>6414356.4713409999</v>
      </c>
      <c r="F197">
        <v>5361892</v>
      </c>
      <c r="G197" t="s">
        <v>35</v>
      </c>
      <c r="H197" t="s">
        <v>15</v>
      </c>
    </row>
    <row r="198" spans="1:8" x14ac:dyDescent="0.2">
      <c r="A198" t="s">
        <v>589</v>
      </c>
      <c r="B198" t="s">
        <v>1276</v>
      </c>
      <c r="C198" t="s">
        <v>1092</v>
      </c>
      <c r="D198" t="s">
        <v>1126</v>
      </c>
      <c r="E198">
        <v>503.04950000000002</v>
      </c>
      <c r="F198">
        <v>363</v>
      </c>
      <c r="G198" t="s">
        <v>1236</v>
      </c>
      <c r="H198" t="s">
        <v>15</v>
      </c>
    </row>
    <row r="199" spans="1:8" x14ac:dyDescent="0.2">
      <c r="A199" t="s">
        <v>589</v>
      </c>
      <c r="B199" t="s">
        <v>1099</v>
      </c>
      <c r="C199" t="s">
        <v>1100</v>
      </c>
      <c r="D199" t="s">
        <v>35</v>
      </c>
      <c r="E199">
        <v>503.04950000000002</v>
      </c>
      <c r="F199">
        <v>363</v>
      </c>
      <c r="G199" t="s">
        <v>35</v>
      </c>
      <c r="H199" t="s">
        <v>15</v>
      </c>
    </row>
    <row r="200" spans="1:8" x14ac:dyDescent="0.2">
      <c r="A200" t="s">
        <v>1277</v>
      </c>
      <c r="B200" t="s">
        <v>1278</v>
      </c>
      <c r="C200" t="s">
        <v>1092</v>
      </c>
      <c r="D200" t="s">
        <v>1052</v>
      </c>
      <c r="E200">
        <v>211795.83609999999</v>
      </c>
      <c r="F200">
        <v>14</v>
      </c>
      <c r="G200" t="s">
        <v>1103</v>
      </c>
      <c r="H200" t="s">
        <v>15</v>
      </c>
    </row>
    <row r="201" spans="1:8" x14ac:dyDescent="0.2">
      <c r="A201" t="s">
        <v>1277</v>
      </c>
      <c r="B201" t="s">
        <v>1279</v>
      </c>
      <c r="C201" t="s">
        <v>1092</v>
      </c>
      <c r="D201" t="s">
        <v>1052</v>
      </c>
      <c r="E201">
        <v>228341.97779999999</v>
      </c>
      <c r="F201">
        <v>14</v>
      </c>
      <c r="G201" t="s">
        <v>1103</v>
      </c>
      <c r="H201" t="s">
        <v>15</v>
      </c>
    </row>
    <row r="202" spans="1:8" x14ac:dyDescent="0.2">
      <c r="A202" t="s">
        <v>1277</v>
      </c>
      <c r="B202" t="s">
        <v>1280</v>
      </c>
      <c r="C202" t="s">
        <v>1092</v>
      </c>
      <c r="D202" t="s">
        <v>1096</v>
      </c>
      <c r="E202">
        <v>28219.43734</v>
      </c>
      <c r="F202">
        <v>14</v>
      </c>
      <c r="G202" t="s">
        <v>1103</v>
      </c>
      <c r="H202" t="s">
        <v>15</v>
      </c>
    </row>
    <row r="203" spans="1:8" x14ac:dyDescent="0.2">
      <c r="A203" t="s">
        <v>1277</v>
      </c>
      <c r="B203" t="s">
        <v>1099</v>
      </c>
      <c r="C203" t="s">
        <v>1100</v>
      </c>
      <c r="D203" t="s">
        <v>35</v>
      </c>
      <c r="E203">
        <v>468357.25124000001</v>
      </c>
      <c r="F203">
        <v>42</v>
      </c>
      <c r="G203" t="s">
        <v>35</v>
      </c>
      <c r="H203" t="s">
        <v>15</v>
      </c>
    </row>
    <row r="204" spans="1:8" x14ac:dyDescent="0.2">
      <c r="A204" t="s">
        <v>105</v>
      </c>
      <c r="B204" t="s">
        <v>1281</v>
      </c>
      <c r="C204" t="s">
        <v>1092</v>
      </c>
      <c r="D204" t="s">
        <v>1126</v>
      </c>
      <c r="E204">
        <v>1972.7835050000001</v>
      </c>
      <c r="F204">
        <v>1420</v>
      </c>
      <c r="G204" t="s">
        <v>1236</v>
      </c>
      <c r="H204" t="s">
        <v>15</v>
      </c>
    </row>
    <row r="205" spans="1:8" x14ac:dyDescent="0.2">
      <c r="A205" t="s">
        <v>105</v>
      </c>
      <c r="B205" t="s">
        <v>1282</v>
      </c>
      <c r="C205" t="s">
        <v>1092</v>
      </c>
      <c r="D205" t="s">
        <v>1126</v>
      </c>
      <c r="E205">
        <v>1798.3505150000001</v>
      </c>
      <c r="F205">
        <v>1330</v>
      </c>
      <c r="G205" t="s">
        <v>1236</v>
      </c>
      <c r="H205" t="s">
        <v>15</v>
      </c>
    </row>
    <row r="206" spans="1:8" x14ac:dyDescent="0.2">
      <c r="A206" t="s">
        <v>105</v>
      </c>
      <c r="B206" t="s">
        <v>1283</v>
      </c>
      <c r="C206" t="s">
        <v>1092</v>
      </c>
      <c r="D206" t="s">
        <v>1126</v>
      </c>
      <c r="E206">
        <v>3346.4948450000002</v>
      </c>
      <c r="F206">
        <v>2442</v>
      </c>
      <c r="G206" t="s">
        <v>1236</v>
      </c>
      <c r="H206" t="s">
        <v>15</v>
      </c>
    </row>
    <row r="207" spans="1:8" x14ac:dyDescent="0.2">
      <c r="A207" t="s">
        <v>105</v>
      </c>
      <c r="B207" t="s">
        <v>1284</v>
      </c>
      <c r="C207" t="s">
        <v>1092</v>
      </c>
      <c r="D207" t="s">
        <v>1052</v>
      </c>
      <c r="E207">
        <v>14462.878000000001</v>
      </c>
      <c r="F207">
        <v>3727</v>
      </c>
      <c r="G207" t="s">
        <v>1093</v>
      </c>
      <c r="H207" t="s">
        <v>15</v>
      </c>
    </row>
    <row r="208" spans="1:8" x14ac:dyDescent="0.2">
      <c r="A208" t="s">
        <v>105</v>
      </c>
      <c r="B208" t="s">
        <v>1285</v>
      </c>
      <c r="C208" t="s">
        <v>1092</v>
      </c>
      <c r="D208" t="s">
        <v>1126</v>
      </c>
      <c r="E208">
        <v>2140.6185569999998</v>
      </c>
      <c r="F208">
        <v>1552</v>
      </c>
      <c r="G208" t="s">
        <v>1236</v>
      </c>
      <c r="H208" t="s">
        <v>15</v>
      </c>
    </row>
    <row r="209" spans="1:8" x14ac:dyDescent="0.2">
      <c r="A209" t="s">
        <v>105</v>
      </c>
      <c r="B209" t="s">
        <v>1286</v>
      </c>
      <c r="C209" t="s">
        <v>1092</v>
      </c>
      <c r="D209" t="s">
        <v>1126</v>
      </c>
      <c r="E209">
        <v>7993.187629</v>
      </c>
      <c r="F209">
        <v>5500</v>
      </c>
      <c r="G209" t="s">
        <v>1109</v>
      </c>
      <c r="H209" t="s">
        <v>15</v>
      </c>
    </row>
    <row r="210" spans="1:8" x14ac:dyDescent="0.2">
      <c r="A210" t="s">
        <v>105</v>
      </c>
      <c r="B210" t="s">
        <v>1287</v>
      </c>
      <c r="C210" t="s">
        <v>1092</v>
      </c>
      <c r="D210" t="s">
        <v>1126</v>
      </c>
      <c r="E210">
        <v>2596.0824739999998</v>
      </c>
      <c r="F210">
        <v>1966</v>
      </c>
      <c r="G210" t="s">
        <v>1236</v>
      </c>
      <c r="H210" t="s">
        <v>15</v>
      </c>
    </row>
    <row r="211" spans="1:8" x14ac:dyDescent="0.2">
      <c r="A211" t="s">
        <v>105</v>
      </c>
      <c r="B211" t="s">
        <v>1099</v>
      </c>
      <c r="C211" t="s">
        <v>1100</v>
      </c>
      <c r="D211" t="s">
        <v>35</v>
      </c>
      <c r="E211">
        <v>34310.395525</v>
      </c>
      <c r="F211">
        <v>17937</v>
      </c>
      <c r="G211" t="s">
        <v>35</v>
      </c>
      <c r="H211" t="s">
        <v>15</v>
      </c>
    </row>
    <row r="212" spans="1:8" x14ac:dyDescent="0.2">
      <c r="A212" t="s">
        <v>301</v>
      </c>
      <c r="B212" t="s">
        <v>1288</v>
      </c>
      <c r="C212" t="s">
        <v>1092</v>
      </c>
      <c r="D212" t="s">
        <v>1061</v>
      </c>
      <c r="E212">
        <v>6591.8320000000003</v>
      </c>
      <c r="F212">
        <v>4393</v>
      </c>
      <c r="G212" t="s">
        <v>1236</v>
      </c>
      <c r="H212" t="s">
        <v>15</v>
      </c>
    </row>
    <row r="213" spans="1:8" x14ac:dyDescent="0.2">
      <c r="A213" t="s">
        <v>301</v>
      </c>
      <c r="B213" t="s">
        <v>1289</v>
      </c>
      <c r="C213" t="s">
        <v>1092</v>
      </c>
      <c r="D213" t="s">
        <v>1061</v>
      </c>
      <c r="E213">
        <v>3439.21</v>
      </c>
      <c r="F213">
        <v>2372</v>
      </c>
      <c r="G213" t="s">
        <v>1236</v>
      </c>
      <c r="H213" t="s">
        <v>15</v>
      </c>
    </row>
    <row r="214" spans="1:8" x14ac:dyDescent="0.2">
      <c r="A214" t="s">
        <v>301</v>
      </c>
      <c r="B214" t="s">
        <v>1290</v>
      </c>
      <c r="C214" t="s">
        <v>1092</v>
      </c>
      <c r="D214" t="s">
        <v>1061</v>
      </c>
      <c r="E214">
        <v>17500.41</v>
      </c>
      <c r="F214">
        <v>11576</v>
      </c>
      <c r="G214" t="s">
        <v>1236</v>
      </c>
      <c r="H214" t="s">
        <v>15</v>
      </c>
    </row>
    <row r="215" spans="1:8" x14ac:dyDescent="0.2">
      <c r="A215" t="s">
        <v>301</v>
      </c>
      <c r="B215" t="s">
        <v>1291</v>
      </c>
      <c r="C215" t="s">
        <v>1092</v>
      </c>
      <c r="D215" t="s">
        <v>1061</v>
      </c>
      <c r="E215">
        <v>5894.4775</v>
      </c>
      <c r="F215">
        <v>7440</v>
      </c>
      <c r="G215" t="s">
        <v>1109</v>
      </c>
      <c r="H215" t="s">
        <v>15</v>
      </c>
    </row>
    <row r="216" spans="1:8" x14ac:dyDescent="0.2">
      <c r="A216" t="s">
        <v>301</v>
      </c>
      <c r="B216" t="s">
        <v>1292</v>
      </c>
      <c r="C216" t="s">
        <v>1092</v>
      </c>
      <c r="D216" t="s">
        <v>1061</v>
      </c>
      <c r="E216">
        <v>1315.4</v>
      </c>
      <c r="F216">
        <v>873</v>
      </c>
      <c r="G216" t="s">
        <v>1236</v>
      </c>
      <c r="H216" t="s">
        <v>15</v>
      </c>
    </row>
    <row r="217" spans="1:8" x14ac:dyDescent="0.2">
      <c r="A217" t="s">
        <v>301</v>
      </c>
      <c r="B217" t="s">
        <v>1293</v>
      </c>
      <c r="C217" t="s">
        <v>1092</v>
      </c>
      <c r="D217" t="s">
        <v>1061</v>
      </c>
      <c r="E217">
        <v>1535.64</v>
      </c>
      <c r="F217">
        <v>980</v>
      </c>
      <c r="G217" t="s">
        <v>1236</v>
      </c>
      <c r="H217" t="s">
        <v>15</v>
      </c>
    </row>
    <row r="218" spans="1:8" x14ac:dyDescent="0.2">
      <c r="A218" t="s">
        <v>301</v>
      </c>
      <c r="B218" t="s">
        <v>1294</v>
      </c>
      <c r="C218" t="s">
        <v>1092</v>
      </c>
      <c r="D218" t="s">
        <v>1061</v>
      </c>
      <c r="E218">
        <v>1311.5519999999999</v>
      </c>
      <c r="F218">
        <v>962</v>
      </c>
      <c r="G218" t="s">
        <v>1236</v>
      </c>
      <c r="H218" t="s">
        <v>15</v>
      </c>
    </row>
    <row r="219" spans="1:8" x14ac:dyDescent="0.2">
      <c r="A219" t="s">
        <v>301</v>
      </c>
      <c r="B219" t="s">
        <v>1295</v>
      </c>
      <c r="C219" t="s">
        <v>1092</v>
      </c>
      <c r="D219" t="s">
        <v>1061</v>
      </c>
      <c r="E219">
        <v>3112.9319999999998</v>
      </c>
      <c r="F219">
        <v>2184</v>
      </c>
      <c r="G219" t="s">
        <v>1236</v>
      </c>
      <c r="H219" t="s">
        <v>15</v>
      </c>
    </row>
    <row r="220" spans="1:8" x14ac:dyDescent="0.2">
      <c r="A220" t="s">
        <v>301</v>
      </c>
      <c r="B220" t="s">
        <v>1296</v>
      </c>
      <c r="C220" t="s">
        <v>1092</v>
      </c>
      <c r="D220" t="s">
        <v>1061</v>
      </c>
      <c r="E220">
        <v>2392.4079999999999</v>
      </c>
      <c r="F220">
        <v>1516</v>
      </c>
      <c r="G220" t="s">
        <v>1236</v>
      </c>
      <c r="H220" t="s">
        <v>15</v>
      </c>
    </row>
    <row r="221" spans="1:8" x14ac:dyDescent="0.2">
      <c r="A221" t="s">
        <v>301</v>
      </c>
      <c r="B221" t="s">
        <v>1297</v>
      </c>
      <c r="C221" t="s">
        <v>1092</v>
      </c>
      <c r="D221" t="s">
        <v>1061</v>
      </c>
      <c r="E221">
        <v>2220.09</v>
      </c>
      <c r="F221">
        <v>1523</v>
      </c>
      <c r="G221" t="s">
        <v>1236</v>
      </c>
      <c r="H221" t="s">
        <v>15</v>
      </c>
    </row>
    <row r="222" spans="1:8" x14ac:dyDescent="0.2">
      <c r="A222" t="s">
        <v>301</v>
      </c>
      <c r="B222" t="s">
        <v>1298</v>
      </c>
      <c r="C222" t="s">
        <v>1092</v>
      </c>
      <c r="D222" t="s">
        <v>1061</v>
      </c>
      <c r="E222">
        <v>1091.07</v>
      </c>
      <c r="F222">
        <v>777</v>
      </c>
      <c r="G222" t="s">
        <v>1236</v>
      </c>
      <c r="H222" t="s">
        <v>15</v>
      </c>
    </row>
    <row r="223" spans="1:8" x14ac:dyDescent="0.2">
      <c r="A223" t="s">
        <v>301</v>
      </c>
      <c r="B223" t="s">
        <v>1299</v>
      </c>
      <c r="C223" t="s">
        <v>1092</v>
      </c>
      <c r="D223" t="s">
        <v>1061</v>
      </c>
      <c r="E223">
        <v>1866.846</v>
      </c>
      <c r="F223">
        <v>1198</v>
      </c>
      <c r="G223" t="s">
        <v>1236</v>
      </c>
      <c r="H223" t="s">
        <v>15</v>
      </c>
    </row>
    <row r="224" spans="1:8" x14ac:dyDescent="0.2">
      <c r="A224" t="s">
        <v>301</v>
      </c>
      <c r="B224" t="s">
        <v>1300</v>
      </c>
      <c r="C224" t="s">
        <v>1092</v>
      </c>
      <c r="D224" t="s">
        <v>1061</v>
      </c>
      <c r="E224">
        <v>1655.99</v>
      </c>
      <c r="F224">
        <v>1168</v>
      </c>
      <c r="G224" t="s">
        <v>1236</v>
      </c>
      <c r="H224" t="s">
        <v>15</v>
      </c>
    </row>
    <row r="225" spans="1:8" x14ac:dyDescent="0.2">
      <c r="A225" t="s">
        <v>301</v>
      </c>
      <c r="B225" t="s">
        <v>1301</v>
      </c>
      <c r="C225" t="s">
        <v>1092</v>
      </c>
      <c r="D225" t="s">
        <v>1061</v>
      </c>
      <c r="E225">
        <v>1058.0239999999999</v>
      </c>
      <c r="F225">
        <v>760</v>
      </c>
      <c r="G225" t="s">
        <v>1236</v>
      </c>
      <c r="H225" t="s">
        <v>15</v>
      </c>
    </row>
    <row r="226" spans="1:8" x14ac:dyDescent="0.2">
      <c r="A226" t="s">
        <v>301</v>
      </c>
      <c r="B226" t="s">
        <v>1302</v>
      </c>
      <c r="C226" t="s">
        <v>1092</v>
      </c>
      <c r="D226" t="s">
        <v>1061</v>
      </c>
      <c r="E226">
        <v>2062.9817899999998</v>
      </c>
      <c r="F226">
        <v>0</v>
      </c>
      <c r="G226" t="s">
        <v>1103</v>
      </c>
      <c r="H226" t="s">
        <v>15</v>
      </c>
    </row>
    <row r="227" spans="1:8" x14ac:dyDescent="0.2">
      <c r="A227" t="s">
        <v>301</v>
      </c>
      <c r="B227" t="s">
        <v>1303</v>
      </c>
      <c r="C227" t="s">
        <v>1092</v>
      </c>
      <c r="D227" t="s">
        <v>1061</v>
      </c>
      <c r="E227">
        <v>7500.902</v>
      </c>
      <c r="F227">
        <v>4745</v>
      </c>
      <c r="G227" t="s">
        <v>1236</v>
      </c>
      <c r="H227" t="s">
        <v>15</v>
      </c>
    </row>
    <row r="228" spans="1:8" x14ac:dyDescent="0.2">
      <c r="A228" t="s">
        <v>301</v>
      </c>
      <c r="B228" t="s">
        <v>1304</v>
      </c>
      <c r="C228" t="s">
        <v>1092</v>
      </c>
      <c r="D228" t="s">
        <v>1061</v>
      </c>
      <c r="E228">
        <v>1119.8488</v>
      </c>
      <c r="F228">
        <v>733</v>
      </c>
      <c r="G228" t="s">
        <v>1236</v>
      </c>
      <c r="H228" t="s">
        <v>15</v>
      </c>
    </row>
    <row r="229" spans="1:8" x14ac:dyDescent="0.2">
      <c r="A229" t="s">
        <v>301</v>
      </c>
      <c r="B229" t="s">
        <v>1305</v>
      </c>
      <c r="C229" t="s">
        <v>1092</v>
      </c>
      <c r="D229" t="s">
        <v>1061</v>
      </c>
      <c r="E229">
        <v>912.84614999999997</v>
      </c>
      <c r="F229">
        <v>643</v>
      </c>
      <c r="G229" t="s">
        <v>1236</v>
      </c>
      <c r="H229" t="s">
        <v>15</v>
      </c>
    </row>
    <row r="230" spans="1:8" x14ac:dyDescent="0.2">
      <c r="A230" t="s">
        <v>301</v>
      </c>
      <c r="B230" t="s">
        <v>1306</v>
      </c>
      <c r="C230" t="s">
        <v>1092</v>
      </c>
      <c r="D230" t="s">
        <v>1061</v>
      </c>
      <c r="E230">
        <v>1245.6037200000001</v>
      </c>
      <c r="F230">
        <v>0</v>
      </c>
      <c r="G230" t="s">
        <v>1103</v>
      </c>
      <c r="H230" t="s">
        <v>15</v>
      </c>
    </row>
    <row r="231" spans="1:8" x14ac:dyDescent="0.2">
      <c r="A231" t="s">
        <v>301</v>
      </c>
      <c r="B231" t="s">
        <v>1307</v>
      </c>
      <c r="C231" t="s">
        <v>1092</v>
      </c>
      <c r="D231" t="s">
        <v>1061</v>
      </c>
      <c r="E231">
        <v>7002.5469999999996</v>
      </c>
      <c r="F231">
        <v>4886</v>
      </c>
      <c r="G231" t="s">
        <v>1236</v>
      </c>
      <c r="H231" t="s">
        <v>15</v>
      </c>
    </row>
    <row r="232" spans="1:8" x14ac:dyDescent="0.2">
      <c r="A232" t="s">
        <v>301</v>
      </c>
      <c r="B232" t="s">
        <v>1308</v>
      </c>
      <c r="C232" t="s">
        <v>1092</v>
      </c>
      <c r="D232" t="s">
        <v>1061</v>
      </c>
      <c r="E232">
        <v>959.59900000000005</v>
      </c>
      <c r="F232">
        <v>714</v>
      </c>
      <c r="G232" t="s">
        <v>1236</v>
      </c>
      <c r="H232" t="s">
        <v>15</v>
      </c>
    </row>
    <row r="233" spans="1:8" x14ac:dyDescent="0.2">
      <c r="A233" t="s">
        <v>301</v>
      </c>
      <c r="B233" t="s">
        <v>1309</v>
      </c>
      <c r="C233" t="s">
        <v>1092</v>
      </c>
      <c r="D233" t="s">
        <v>1061</v>
      </c>
      <c r="E233">
        <v>1297.0250000000001</v>
      </c>
      <c r="F233">
        <v>860</v>
      </c>
      <c r="G233" t="s">
        <v>1236</v>
      </c>
      <c r="H233" t="s">
        <v>15</v>
      </c>
    </row>
    <row r="234" spans="1:8" x14ac:dyDescent="0.2">
      <c r="A234" t="s">
        <v>301</v>
      </c>
      <c r="B234" t="s">
        <v>1310</v>
      </c>
      <c r="C234" t="s">
        <v>1092</v>
      </c>
      <c r="D234" t="s">
        <v>1061</v>
      </c>
      <c r="E234">
        <v>5553.1109999999999</v>
      </c>
      <c r="F234">
        <v>3664</v>
      </c>
      <c r="G234" t="s">
        <v>1236</v>
      </c>
      <c r="H234" t="s">
        <v>15</v>
      </c>
    </row>
    <row r="235" spans="1:8" x14ac:dyDescent="0.2">
      <c r="A235" t="s">
        <v>301</v>
      </c>
      <c r="B235" t="s">
        <v>1311</v>
      </c>
      <c r="C235" t="s">
        <v>1092</v>
      </c>
      <c r="D235" t="s">
        <v>1061</v>
      </c>
      <c r="E235">
        <v>2541.9369999999999</v>
      </c>
      <c r="F235">
        <v>1662</v>
      </c>
      <c r="G235" t="s">
        <v>1236</v>
      </c>
      <c r="H235" t="s">
        <v>15</v>
      </c>
    </row>
    <row r="236" spans="1:8" x14ac:dyDescent="0.2">
      <c r="A236" t="s">
        <v>301</v>
      </c>
      <c r="B236" t="s">
        <v>1312</v>
      </c>
      <c r="C236" t="s">
        <v>1092</v>
      </c>
      <c r="D236" t="s">
        <v>1061</v>
      </c>
      <c r="E236">
        <v>3203.41</v>
      </c>
      <c r="F236">
        <v>2157</v>
      </c>
      <c r="G236" t="s">
        <v>1236</v>
      </c>
      <c r="H236" t="s">
        <v>15</v>
      </c>
    </row>
    <row r="237" spans="1:8" x14ac:dyDescent="0.2">
      <c r="A237" t="s">
        <v>301</v>
      </c>
      <c r="B237" t="s">
        <v>1313</v>
      </c>
      <c r="C237" t="s">
        <v>1092</v>
      </c>
      <c r="D237" t="s">
        <v>1061</v>
      </c>
      <c r="E237">
        <v>6033.5861199999999</v>
      </c>
      <c r="F237">
        <v>0</v>
      </c>
      <c r="G237" t="s">
        <v>1103</v>
      </c>
      <c r="H237" t="s">
        <v>15</v>
      </c>
    </row>
    <row r="238" spans="1:8" x14ac:dyDescent="0.2">
      <c r="A238" t="s">
        <v>301</v>
      </c>
      <c r="B238" t="s">
        <v>1314</v>
      </c>
      <c r="C238" t="s">
        <v>1092</v>
      </c>
      <c r="D238" t="s">
        <v>1061</v>
      </c>
      <c r="E238">
        <v>1174.434</v>
      </c>
      <c r="F238">
        <v>868</v>
      </c>
      <c r="G238" t="s">
        <v>1236</v>
      </c>
      <c r="H238" t="s">
        <v>15</v>
      </c>
    </row>
    <row r="239" spans="1:8" x14ac:dyDescent="0.2">
      <c r="A239" t="s">
        <v>301</v>
      </c>
      <c r="B239" t="s">
        <v>1315</v>
      </c>
      <c r="C239" t="s">
        <v>1092</v>
      </c>
      <c r="D239" t="s">
        <v>1061</v>
      </c>
      <c r="E239">
        <v>1950.35</v>
      </c>
      <c r="F239">
        <v>1245</v>
      </c>
      <c r="G239" t="s">
        <v>1236</v>
      </c>
      <c r="H239" t="s">
        <v>15</v>
      </c>
    </row>
    <row r="240" spans="1:8" x14ac:dyDescent="0.2">
      <c r="A240" t="s">
        <v>301</v>
      </c>
      <c r="B240" t="s">
        <v>1316</v>
      </c>
      <c r="C240" t="s">
        <v>1092</v>
      </c>
      <c r="D240" t="s">
        <v>1061</v>
      </c>
      <c r="E240">
        <v>2057.473</v>
      </c>
      <c r="F240">
        <v>1438</v>
      </c>
      <c r="G240" t="s">
        <v>1236</v>
      </c>
      <c r="H240" t="s">
        <v>15</v>
      </c>
    </row>
    <row r="241" spans="1:8" x14ac:dyDescent="0.2">
      <c r="A241" t="s">
        <v>301</v>
      </c>
      <c r="B241" t="s">
        <v>1317</v>
      </c>
      <c r="C241" t="s">
        <v>1092</v>
      </c>
      <c r="D241" t="s">
        <v>1061</v>
      </c>
      <c r="E241">
        <v>9163.1669999999995</v>
      </c>
      <c r="F241">
        <v>6433</v>
      </c>
      <c r="G241" t="s">
        <v>1236</v>
      </c>
      <c r="H241" t="s">
        <v>15</v>
      </c>
    </row>
    <row r="242" spans="1:8" x14ac:dyDescent="0.2">
      <c r="A242" t="s">
        <v>301</v>
      </c>
      <c r="B242" t="s">
        <v>1318</v>
      </c>
      <c r="C242" t="s">
        <v>1092</v>
      </c>
      <c r="D242" t="s">
        <v>1061</v>
      </c>
      <c r="E242">
        <v>3404.5</v>
      </c>
      <c r="F242">
        <v>2302</v>
      </c>
      <c r="G242" t="s">
        <v>1236</v>
      </c>
      <c r="H242" t="s">
        <v>15</v>
      </c>
    </row>
    <row r="243" spans="1:8" x14ac:dyDescent="0.2">
      <c r="A243" t="s">
        <v>301</v>
      </c>
      <c r="B243" t="s">
        <v>1319</v>
      </c>
      <c r="C243" t="s">
        <v>1092</v>
      </c>
      <c r="D243" t="s">
        <v>1061</v>
      </c>
      <c r="E243">
        <v>6518.0013499999995</v>
      </c>
      <c r="F243">
        <v>0</v>
      </c>
      <c r="G243" t="s">
        <v>1103</v>
      </c>
      <c r="H243" t="s">
        <v>15</v>
      </c>
    </row>
    <row r="244" spans="1:8" x14ac:dyDescent="0.2">
      <c r="A244" t="s">
        <v>301</v>
      </c>
      <c r="B244" t="s">
        <v>1320</v>
      </c>
      <c r="C244" t="s">
        <v>1092</v>
      </c>
      <c r="D244" t="s">
        <v>1061</v>
      </c>
      <c r="E244">
        <v>1847.2629999999999</v>
      </c>
      <c r="F244">
        <v>1292</v>
      </c>
      <c r="G244" t="s">
        <v>1236</v>
      </c>
      <c r="H244" t="s">
        <v>15</v>
      </c>
    </row>
    <row r="245" spans="1:8" x14ac:dyDescent="0.2">
      <c r="A245" t="s">
        <v>301</v>
      </c>
      <c r="B245" t="s">
        <v>1321</v>
      </c>
      <c r="C245" t="s">
        <v>1092</v>
      </c>
      <c r="D245" t="s">
        <v>1061</v>
      </c>
      <c r="E245">
        <v>576.44500000000005</v>
      </c>
      <c r="F245">
        <v>416</v>
      </c>
      <c r="G245" t="s">
        <v>1236</v>
      </c>
      <c r="H245" t="s">
        <v>15</v>
      </c>
    </row>
    <row r="246" spans="1:8" x14ac:dyDescent="0.2">
      <c r="A246" t="s">
        <v>301</v>
      </c>
      <c r="B246" t="s">
        <v>1322</v>
      </c>
      <c r="C246" t="s">
        <v>1092</v>
      </c>
      <c r="D246" t="s">
        <v>1061</v>
      </c>
      <c r="E246">
        <v>28554.344000000001</v>
      </c>
      <c r="F246">
        <v>19012</v>
      </c>
      <c r="G246" t="s">
        <v>1236</v>
      </c>
      <c r="H246" t="s">
        <v>15</v>
      </c>
    </row>
    <row r="247" spans="1:8" x14ac:dyDescent="0.2">
      <c r="A247" t="s">
        <v>301</v>
      </c>
      <c r="B247" t="s">
        <v>1323</v>
      </c>
      <c r="C247" t="s">
        <v>1092</v>
      </c>
      <c r="D247" t="s">
        <v>1061</v>
      </c>
      <c r="E247">
        <v>1251.271</v>
      </c>
      <c r="F247">
        <v>974</v>
      </c>
      <c r="G247" t="s">
        <v>1236</v>
      </c>
      <c r="H247" t="s">
        <v>15</v>
      </c>
    </row>
    <row r="248" spans="1:8" x14ac:dyDescent="0.2">
      <c r="A248" t="s">
        <v>301</v>
      </c>
      <c r="B248" t="s">
        <v>1324</v>
      </c>
      <c r="C248" t="s">
        <v>1092</v>
      </c>
      <c r="D248" t="s">
        <v>1061</v>
      </c>
      <c r="E248">
        <v>4899.317</v>
      </c>
      <c r="F248">
        <v>3343</v>
      </c>
      <c r="G248" t="s">
        <v>1236</v>
      </c>
      <c r="H248" t="s">
        <v>15</v>
      </c>
    </row>
    <row r="249" spans="1:8" x14ac:dyDescent="0.2">
      <c r="A249" t="s">
        <v>301</v>
      </c>
      <c r="B249" t="s">
        <v>1325</v>
      </c>
      <c r="C249" t="s">
        <v>1092</v>
      </c>
      <c r="D249" t="s">
        <v>1096</v>
      </c>
      <c r="E249">
        <v>2600.1792999999998</v>
      </c>
      <c r="F249">
        <v>0</v>
      </c>
      <c r="G249" t="s">
        <v>1103</v>
      </c>
      <c r="H249" t="s">
        <v>15</v>
      </c>
    </row>
    <row r="250" spans="1:8" x14ac:dyDescent="0.2">
      <c r="A250" t="s">
        <v>301</v>
      </c>
      <c r="B250" t="s">
        <v>1326</v>
      </c>
      <c r="C250" t="s">
        <v>1092</v>
      </c>
      <c r="D250" t="s">
        <v>1061</v>
      </c>
      <c r="E250">
        <v>1277.72</v>
      </c>
      <c r="F250">
        <v>842</v>
      </c>
      <c r="G250" t="s">
        <v>1236</v>
      </c>
      <c r="H250" t="s">
        <v>15</v>
      </c>
    </row>
    <row r="251" spans="1:8" x14ac:dyDescent="0.2">
      <c r="A251" t="s">
        <v>301</v>
      </c>
      <c r="B251" t="s">
        <v>1327</v>
      </c>
      <c r="C251" t="s">
        <v>1092</v>
      </c>
      <c r="D251" t="s">
        <v>1061</v>
      </c>
      <c r="E251">
        <v>1798.046</v>
      </c>
      <c r="F251">
        <v>1202</v>
      </c>
      <c r="G251" t="s">
        <v>1236</v>
      </c>
      <c r="H251" t="s">
        <v>15</v>
      </c>
    </row>
    <row r="252" spans="1:8" x14ac:dyDescent="0.2">
      <c r="A252" t="s">
        <v>301</v>
      </c>
      <c r="B252" t="s">
        <v>1328</v>
      </c>
      <c r="C252" t="s">
        <v>1092</v>
      </c>
      <c r="D252" t="s">
        <v>1061</v>
      </c>
      <c r="E252">
        <v>1627.1590000000001</v>
      </c>
      <c r="F252">
        <v>1148</v>
      </c>
      <c r="G252" t="s">
        <v>1236</v>
      </c>
      <c r="H252" t="s">
        <v>15</v>
      </c>
    </row>
    <row r="253" spans="1:8" x14ac:dyDescent="0.2">
      <c r="A253" t="s">
        <v>301</v>
      </c>
      <c r="B253" t="s">
        <v>1099</v>
      </c>
      <c r="C253" t="s">
        <v>1100</v>
      </c>
      <c r="D253" t="s">
        <v>35</v>
      </c>
      <c r="E253">
        <v>159118.94873</v>
      </c>
      <c r="F253">
        <v>98301</v>
      </c>
      <c r="G253" t="s">
        <v>35</v>
      </c>
      <c r="H253" t="s">
        <v>15</v>
      </c>
    </row>
    <row r="254" spans="1:8" x14ac:dyDescent="0.2">
      <c r="A254" t="s">
        <v>38</v>
      </c>
      <c r="B254" t="s">
        <v>1329</v>
      </c>
      <c r="C254" t="s">
        <v>1092</v>
      </c>
      <c r="D254" t="s">
        <v>1096</v>
      </c>
      <c r="E254">
        <v>0</v>
      </c>
      <c r="F254">
        <v>0</v>
      </c>
      <c r="G254" t="s">
        <v>1191</v>
      </c>
      <c r="H254" t="s">
        <v>15</v>
      </c>
    </row>
    <row r="255" spans="1:8" x14ac:dyDescent="0.2">
      <c r="A255" t="s">
        <v>38</v>
      </c>
      <c r="B255" t="s">
        <v>1330</v>
      </c>
      <c r="C255" t="s">
        <v>1092</v>
      </c>
      <c r="D255" t="s">
        <v>1052</v>
      </c>
      <c r="E255">
        <v>51908.45</v>
      </c>
      <c r="F255">
        <v>43999</v>
      </c>
      <c r="G255" t="s">
        <v>1109</v>
      </c>
      <c r="H255" t="s">
        <v>15</v>
      </c>
    </row>
    <row r="256" spans="1:8" x14ac:dyDescent="0.2">
      <c r="A256" t="s">
        <v>38</v>
      </c>
      <c r="B256" t="s">
        <v>1331</v>
      </c>
      <c r="C256" t="s">
        <v>1092</v>
      </c>
      <c r="D256" t="s">
        <v>1096</v>
      </c>
      <c r="E256">
        <v>45132.792000000001</v>
      </c>
      <c r="F256">
        <v>34838</v>
      </c>
      <c r="G256" t="s">
        <v>1109</v>
      </c>
      <c r="H256" t="s">
        <v>15</v>
      </c>
    </row>
    <row r="257" spans="1:8" x14ac:dyDescent="0.2">
      <c r="A257" t="s">
        <v>38</v>
      </c>
      <c r="B257" t="s">
        <v>1332</v>
      </c>
      <c r="C257" t="s">
        <v>1092</v>
      </c>
      <c r="D257" t="s">
        <v>1058</v>
      </c>
      <c r="E257">
        <v>6633318.21</v>
      </c>
      <c r="F257">
        <v>5663394</v>
      </c>
      <c r="G257" t="s">
        <v>1111</v>
      </c>
      <c r="H257" t="s">
        <v>15</v>
      </c>
    </row>
    <row r="258" spans="1:8" x14ac:dyDescent="0.2">
      <c r="A258" t="s">
        <v>38</v>
      </c>
      <c r="B258" t="s">
        <v>1333</v>
      </c>
      <c r="C258" t="s">
        <v>1092</v>
      </c>
      <c r="D258" t="s">
        <v>1096</v>
      </c>
      <c r="E258">
        <v>252911.35500000001</v>
      </c>
      <c r="F258">
        <v>136733</v>
      </c>
      <c r="G258" t="s">
        <v>1109</v>
      </c>
      <c r="H258" t="s">
        <v>15</v>
      </c>
    </row>
    <row r="259" spans="1:8" x14ac:dyDescent="0.2">
      <c r="A259" t="s">
        <v>38</v>
      </c>
      <c r="B259" t="s">
        <v>1334</v>
      </c>
      <c r="C259" t="s">
        <v>1092</v>
      </c>
      <c r="D259" t="s">
        <v>1058</v>
      </c>
      <c r="E259">
        <v>606146.44446999999</v>
      </c>
      <c r="F259">
        <v>249798</v>
      </c>
      <c r="G259" t="s">
        <v>1109</v>
      </c>
      <c r="H259" t="s">
        <v>15</v>
      </c>
    </row>
    <row r="260" spans="1:8" x14ac:dyDescent="0.2">
      <c r="A260" t="s">
        <v>38</v>
      </c>
      <c r="B260" t="s">
        <v>1335</v>
      </c>
      <c r="C260" t="s">
        <v>1092</v>
      </c>
      <c r="D260" t="s">
        <v>1096</v>
      </c>
      <c r="E260">
        <v>2450.0630000000001</v>
      </c>
      <c r="F260">
        <v>0</v>
      </c>
      <c r="G260" t="s">
        <v>1103</v>
      </c>
      <c r="H260" t="s">
        <v>15</v>
      </c>
    </row>
    <row r="261" spans="1:8" x14ac:dyDescent="0.2">
      <c r="A261" t="s">
        <v>38</v>
      </c>
      <c r="B261" t="s">
        <v>1336</v>
      </c>
      <c r="C261" t="s">
        <v>1092</v>
      </c>
      <c r="D261" t="s">
        <v>1096</v>
      </c>
      <c r="E261">
        <v>8006205</v>
      </c>
      <c r="F261">
        <v>10344727</v>
      </c>
      <c r="G261" t="s">
        <v>1128</v>
      </c>
      <c r="H261" t="s">
        <v>15</v>
      </c>
    </row>
    <row r="262" spans="1:8" x14ac:dyDescent="0.2">
      <c r="A262" t="s">
        <v>38</v>
      </c>
      <c r="B262" t="s">
        <v>1099</v>
      </c>
      <c r="C262" t="s">
        <v>1100</v>
      </c>
      <c r="D262" t="s">
        <v>35</v>
      </c>
      <c r="E262">
        <v>15598072.314470001</v>
      </c>
      <c r="F262">
        <v>16473489</v>
      </c>
      <c r="G262" t="s">
        <v>35</v>
      </c>
      <c r="H262" t="s">
        <v>15</v>
      </c>
    </row>
    <row r="263" spans="1:8" x14ac:dyDescent="0.2">
      <c r="A263" t="s">
        <v>629</v>
      </c>
      <c r="B263" t="s">
        <v>1337</v>
      </c>
      <c r="C263" t="s">
        <v>1092</v>
      </c>
      <c r="D263" t="s">
        <v>1058</v>
      </c>
      <c r="E263">
        <v>0</v>
      </c>
      <c r="F263">
        <v>0</v>
      </c>
      <c r="G263" t="s">
        <v>1236</v>
      </c>
      <c r="H263" t="s">
        <v>15</v>
      </c>
    </row>
    <row r="264" spans="1:8" x14ac:dyDescent="0.2">
      <c r="A264" t="s">
        <v>629</v>
      </c>
      <c r="B264" t="s">
        <v>1099</v>
      </c>
      <c r="C264" t="s">
        <v>1100</v>
      </c>
      <c r="D264" t="s">
        <v>35</v>
      </c>
      <c r="E264">
        <v>0</v>
      </c>
      <c r="F264">
        <v>0</v>
      </c>
      <c r="G264" t="s">
        <v>35</v>
      </c>
      <c r="H264" t="s">
        <v>15</v>
      </c>
    </row>
    <row r="265" spans="1:8" x14ac:dyDescent="0.2">
      <c r="A265" t="s">
        <v>1338</v>
      </c>
      <c r="B265" t="s">
        <v>1339</v>
      </c>
      <c r="C265" t="s">
        <v>1092</v>
      </c>
      <c r="D265" t="s">
        <v>1061</v>
      </c>
      <c r="E265">
        <v>297190.45500000002</v>
      </c>
      <c r="F265">
        <v>58</v>
      </c>
      <c r="G265" t="s">
        <v>1103</v>
      </c>
      <c r="H265" t="s">
        <v>15</v>
      </c>
    </row>
    <row r="266" spans="1:8" x14ac:dyDescent="0.2">
      <c r="A266" t="s">
        <v>1338</v>
      </c>
      <c r="B266" t="s">
        <v>1099</v>
      </c>
      <c r="C266" t="s">
        <v>1100</v>
      </c>
      <c r="D266" t="s">
        <v>35</v>
      </c>
      <c r="E266">
        <v>297190.45500000002</v>
      </c>
      <c r="F266">
        <v>58</v>
      </c>
      <c r="G266" t="s">
        <v>35</v>
      </c>
      <c r="H266" t="s">
        <v>15</v>
      </c>
    </row>
    <row r="267" spans="1:8" x14ac:dyDescent="0.2">
      <c r="A267" t="s">
        <v>1340</v>
      </c>
      <c r="B267" t="s">
        <v>1341</v>
      </c>
      <c r="C267" t="s">
        <v>1092</v>
      </c>
      <c r="D267" t="s">
        <v>1126</v>
      </c>
      <c r="E267">
        <v>27689.9</v>
      </c>
      <c r="F267">
        <v>19633</v>
      </c>
      <c r="G267" t="s">
        <v>1109</v>
      </c>
      <c r="H267" t="s">
        <v>15</v>
      </c>
    </row>
    <row r="268" spans="1:8" x14ac:dyDescent="0.2">
      <c r="A268" t="s">
        <v>1340</v>
      </c>
      <c r="B268" t="s">
        <v>1099</v>
      </c>
      <c r="C268" t="s">
        <v>1100</v>
      </c>
      <c r="D268" t="s">
        <v>35</v>
      </c>
      <c r="E268">
        <v>27689.9</v>
      </c>
      <c r="F268">
        <v>19633</v>
      </c>
      <c r="G268" t="s">
        <v>35</v>
      </c>
      <c r="H268" t="s">
        <v>15</v>
      </c>
    </row>
    <row r="269" spans="1:8" x14ac:dyDescent="0.2">
      <c r="A269" t="s">
        <v>1342</v>
      </c>
      <c r="B269" t="s">
        <v>1343</v>
      </c>
      <c r="C269" t="s">
        <v>1092</v>
      </c>
      <c r="D269" t="s">
        <v>1058</v>
      </c>
      <c r="E269">
        <v>272477.48499999999</v>
      </c>
      <c r="F269">
        <v>0</v>
      </c>
      <c r="G269" t="s">
        <v>1103</v>
      </c>
      <c r="H269" t="s">
        <v>15</v>
      </c>
    </row>
    <row r="270" spans="1:8" x14ac:dyDescent="0.2">
      <c r="A270" t="s">
        <v>1342</v>
      </c>
      <c r="B270" t="s">
        <v>1099</v>
      </c>
      <c r="C270" t="s">
        <v>1100</v>
      </c>
      <c r="D270" t="s">
        <v>35</v>
      </c>
      <c r="E270">
        <v>272477.48499999999</v>
      </c>
      <c r="F270">
        <v>0</v>
      </c>
      <c r="G270" t="s">
        <v>35</v>
      </c>
      <c r="H270" t="s">
        <v>15</v>
      </c>
    </row>
    <row r="271" spans="1:8" x14ac:dyDescent="0.2">
      <c r="A271" t="s">
        <v>840</v>
      </c>
      <c r="B271" t="s">
        <v>1344</v>
      </c>
      <c r="C271" t="s">
        <v>1092</v>
      </c>
      <c r="D271" t="s">
        <v>1126</v>
      </c>
      <c r="E271">
        <v>630742.92647900002</v>
      </c>
      <c r="F271">
        <v>316859</v>
      </c>
      <c r="G271" t="s">
        <v>1109</v>
      </c>
      <c r="H271" t="s">
        <v>15</v>
      </c>
    </row>
    <row r="272" spans="1:8" x14ac:dyDescent="0.2">
      <c r="A272" t="s">
        <v>840</v>
      </c>
      <c r="B272" t="s">
        <v>1099</v>
      </c>
      <c r="C272" t="s">
        <v>1100</v>
      </c>
      <c r="D272" t="s">
        <v>35</v>
      </c>
      <c r="E272">
        <v>630742.92647900002</v>
      </c>
      <c r="F272">
        <v>316859</v>
      </c>
      <c r="G272" t="s">
        <v>35</v>
      </c>
      <c r="H272" t="s">
        <v>15</v>
      </c>
    </row>
    <row r="273" spans="1:8" x14ac:dyDescent="0.2">
      <c r="A273" t="s">
        <v>1345</v>
      </c>
      <c r="B273" t="s">
        <v>1346</v>
      </c>
      <c r="C273" t="s">
        <v>1092</v>
      </c>
      <c r="D273" t="s">
        <v>1061</v>
      </c>
      <c r="E273">
        <v>99535.521999999997</v>
      </c>
      <c r="F273">
        <v>0</v>
      </c>
      <c r="G273" t="s">
        <v>1103</v>
      </c>
      <c r="H273" t="s">
        <v>15</v>
      </c>
    </row>
    <row r="274" spans="1:8" x14ac:dyDescent="0.2">
      <c r="A274" t="s">
        <v>1345</v>
      </c>
      <c r="B274" t="s">
        <v>1099</v>
      </c>
      <c r="C274" t="s">
        <v>1100</v>
      </c>
      <c r="D274" t="s">
        <v>35</v>
      </c>
      <c r="E274">
        <v>99535.521999999997</v>
      </c>
      <c r="F274">
        <v>0</v>
      </c>
      <c r="G274" t="s">
        <v>35</v>
      </c>
      <c r="H274" t="s">
        <v>15</v>
      </c>
    </row>
    <row r="275" spans="1:8" x14ac:dyDescent="0.2">
      <c r="A275" t="s">
        <v>1347</v>
      </c>
      <c r="B275" t="s">
        <v>1348</v>
      </c>
      <c r="C275" t="s">
        <v>1092</v>
      </c>
      <c r="D275" t="s">
        <v>1058</v>
      </c>
      <c r="E275">
        <v>112262.47500000001</v>
      </c>
      <c r="F275">
        <v>0</v>
      </c>
      <c r="G275" t="s">
        <v>1103</v>
      </c>
      <c r="H275" t="s">
        <v>15</v>
      </c>
    </row>
    <row r="276" spans="1:8" x14ac:dyDescent="0.2">
      <c r="A276" t="s">
        <v>1347</v>
      </c>
      <c r="B276" t="s">
        <v>1349</v>
      </c>
      <c r="C276" t="s">
        <v>1092</v>
      </c>
      <c r="D276" t="s">
        <v>1061</v>
      </c>
      <c r="E276">
        <v>109889.14049999999</v>
      </c>
      <c r="F276">
        <v>0</v>
      </c>
      <c r="G276" t="s">
        <v>1103</v>
      </c>
      <c r="H276" t="s">
        <v>15</v>
      </c>
    </row>
    <row r="277" spans="1:8" x14ac:dyDescent="0.2">
      <c r="A277" t="s">
        <v>1347</v>
      </c>
      <c r="B277" t="s">
        <v>1099</v>
      </c>
      <c r="C277" t="s">
        <v>1100</v>
      </c>
      <c r="D277" t="s">
        <v>35</v>
      </c>
      <c r="E277">
        <v>222151.61550000001</v>
      </c>
      <c r="F277">
        <v>0</v>
      </c>
      <c r="G277" t="s">
        <v>35</v>
      </c>
      <c r="H277" t="s">
        <v>15</v>
      </c>
    </row>
    <row r="278" spans="1:8" x14ac:dyDescent="0.2">
      <c r="A278" t="s">
        <v>1350</v>
      </c>
      <c r="B278" t="s">
        <v>1351</v>
      </c>
      <c r="C278" t="s">
        <v>1092</v>
      </c>
      <c r="D278" t="s">
        <v>1061</v>
      </c>
      <c r="E278">
        <v>160945.13099999999</v>
      </c>
      <c r="F278">
        <v>58</v>
      </c>
      <c r="G278" t="s">
        <v>1103</v>
      </c>
      <c r="H278" t="s">
        <v>15</v>
      </c>
    </row>
    <row r="279" spans="1:8" x14ac:dyDescent="0.2">
      <c r="A279" t="s">
        <v>1350</v>
      </c>
      <c r="B279" t="s">
        <v>1352</v>
      </c>
      <c r="C279" t="s">
        <v>1092</v>
      </c>
      <c r="D279" t="s">
        <v>1096</v>
      </c>
      <c r="E279">
        <v>121929.87</v>
      </c>
      <c r="F279">
        <v>169</v>
      </c>
      <c r="G279" t="s">
        <v>1103</v>
      </c>
      <c r="H279" t="s">
        <v>15</v>
      </c>
    </row>
    <row r="280" spans="1:8" x14ac:dyDescent="0.2">
      <c r="A280" t="s">
        <v>1350</v>
      </c>
      <c r="B280" t="s">
        <v>1099</v>
      </c>
      <c r="C280" t="s">
        <v>1100</v>
      </c>
      <c r="D280" t="s">
        <v>35</v>
      </c>
      <c r="E280">
        <v>282875.00099999999</v>
      </c>
      <c r="F280">
        <v>227</v>
      </c>
      <c r="G280" t="s">
        <v>35</v>
      </c>
      <c r="H280" t="s">
        <v>15</v>
      </c>
    </row>
    <row r="281" spans="1:8" x14ac:dyDescent="0.2">
      <c r="A281" t="s">
        <v>63</v>
      </c>
      <c r="B281" t="s">
        <v>1353</v>
      </c>
      <c r="C281" t="s">
        <v>1092</v>
      </c>
      <c r="D281" t="s">
        <v>1061</v>
      </c>
      <c r="E281">
        <v>782678.04</v>
      </c>
      <c r="F281">
        <v>675798</v>
      </c>
      <c r="G281" t="s">
        <v>1111</v>
      </c>
      <c r="H281" t="s">
        <v>15</v>
      </c>
    </row>
    <row r="282" spans="1:8" x14ac:dyDescent="0.2">
      <c r="A282" t="s">
        <v>63</v>
      </c>
      <c r="B282" t="s">
        <v>1354</v>
      </c>
      <c r="C282" t="s">
        <v>1092</v>
      </c>
      <c r="D282" t="s">
        <v>1061</v>
      </c>
      <c r="E282">
        <v>5872354.8600000003</v>
      </c>
      <c r="F282">
        <v>4890774</v>
      </c>
      <c r="G282" t="s">
        <v>1111</v>
      </c>
      <c r="H282" t="s">
        <v>15</v>
      </c>
    </row>
    <row r="283" spans="1:8" x14ac:dyDescent="0.2">
      <c r="A283" t="s">
        <v>63</v>
      </c>
      <c r="B283" t="s">
        <v>1099</v>
      </c>
      <c r="C283" t="s">
        <v>1100</v>
      </c>
      <c r="D283" t="s">
        <v>35</v>
      </c>
      <c r="E283">
        <v>6655032.9000000004</v>
      </c>
      <c r="F283">
        <v>5566572</v>
      </c>
      <c r="G283" t="s">
        <v>35</v>
      </c>
      <c r="H283" t="s">
        <v>15</v>
      </c>
    </row>
    <row r="284" spans="1:8" x14ac:dyDescent="0.2">
      <c r="A284" t="s">
        <v>1355</v>
      </c>
      <c r="B284" t="s">
        <v>1356</v>
      </c>
      <c r="C284" t="s">
        <v>1092</v>
      </c>
      <c r="D284" t="s">
        <v>1096</v>
      </c>
      <c r="E284">
        <v>230660.52</v>
      </c>
      <c r="F284">
        <v>79</v>
      </c>
      <c r="G284" t="s">
        <v>1093</v>
      </c>
      <c r="H284" t="s">
        <v>15</v>
      </c>
    </row>
    <row r="285" spans="1:8" x14ac:dyDescent="0.2">
      <c r="A285" t="s">
        <v>1355</v>
      </c>
      <c r="B285" t="s">
        <v>1357</v>
      </c>
      <c r="C285" t="s">
        <v>1092</v>
      </c>
      <c r="D285" t="s">
        <v>1096</v>
      </c>
      <c r="E285">
        <v>495867.71039999998</v>
      </c>
      <c r="F285">
        <v>124</v>
      </c>
      <c r="G285" t="s">
        <v>1093</v>
      </c>
      <c r="H285" t="s">
        <v>15</v>
      </c>
    </row>
    <row r="286" spans="1:8" x14ac:dyDescent="0.2">
      <c r="A286" t="s">
        <v>1355</v>
      </c>
      <c r="B286" t="s">
        <v>1358</v>
      </c>
      <c r="C286" t="s">
        <v>1092</v>
      </c>
      <c r="D286" t="s">
        <v>1058</v>
      </c>
      <c r="E286">
        <v>179630.33199999999</v>
      </c>
      <c r="F286">
        <v>67</v>
      </c>
      <c r="G286" t="s">
        <v>1093</v>
      </c>
      <c r="H286" t="s">
        <v>15</v>
      </c>
    </row>
    <row r="287" spans="1:8" x14ac:dyDescent="0.2">
      <c r="A287" t="s">
        <v>1355</v>
      </c>
      <c r="B287" t="s">
        <v>1359</v>
      </c>
      <c r="C287" t="s">
        <v>1092</v>
      </c>
      <c r="D287" t="s">
        <v>1058</v>
      </c>
      <c r="E287">
        <v>0</v>
      </c>
      <c r="F287">
        <v>867</v>
      </c>
      <c r="G287" t="s">
        <v>1093</v>
      </c>
      <c r="H287" t="s">
        <v>15</v>
      </c>
    </row>
    <row r="288" spans="1:8" x14ac:dyDescent="0.2">
      <c r="A288" t="s">
        <v>1355</v>
      </c>
      <c r="B288" t="s">
        <v>1360</v>
      </c>
      <c r="C288" t="s">
        <v>1092</v>
      </c>
      <c r="D288" t="s">
        <v>1126</v>
      </c>
      <c r="E288">
        <v>0</v>
      </c>
      <c r="F288">
        <v>831</v>
      </c>
      <c r="G288" t="s">
        <v>1103</v>
      </c>
      <c r="H288" t="s">
        <v>15</v>
      </c>
    </row>
    <row r="289" spans="1:8" x14ac:dyDescent="0.2">
      <c r="A289" t="s">
        <v>1355</v>
      </c>
      <c r="B289" t="s">
        <v>1361</v>
      </c>
      <c r="C289" t="s">
        <v>1092</v>
      </c>
      <c r="D289" t="s">
        <v>1096</v>
      </c>
      <c r="E289">
        <v>371.22699999999998</v>
      </c>
      <c r="F289">
        <v>429</v>
      </c>
      <c r="G289" t="s">
        <v>1093</v>
      </c>
      <c r="H289" t="s">
        <v>15</v>
      </c>
    </row>
    <row r="290" spans="1:8" x14ac:dyDescent="0.2">
      <c r="A290" t="s">
        <v>1355</v>
      </c>
      <c r="B290" t="s">
        <v>1362</v>
      </c>
      <c r="C290" t="s">
        <v>1092</v>
      </c>
      <c r="D290" t="s">
        <v>1215</v>
      </c>
      <c r="E290">
        <v>0</v>
      </c>
      <c r="F290">
        <v>1</v>
      </c>
      <c r="G290" t="s">
        <v>1191</v>
      </c>
      <c r="H290" t="s">
        <v>15</v>
      </c>
    </row>
    <row r="291" spans="1:8" x14ac:dyDescent="0.2">
      <c r="A291" t="s">
        <v>1355</v>
      </c>
      <c r="B291" t="s">
        <v>1363</v>
      </c>
      <c r="C291" t="s">
        <v>1092</v>
      </c>
      <c r="D291" t="s">
        <v>1096</v>
      </c>
      <c r="E291">
        <v>0</v>
      </c>
      <c r="F291">
        <v>657</v>
      </c>
      <c r="G291" t="s">
        <v>1093</v>
      </c>
      <c r="H291" t="s">
        <v>15</v>
      </c>
    </row>
    <row r="292" spans="1:8" x14ac:dyDescent="0.2">
      <c r="A292" t="s">
        <v>1355</v>
      </c>
      <c r="B292" t="s">
        <v>1099</v>
      </c>
      <c r="C292" t="s">
        <v>1100</v>
      </c>
      <c r="D292" t="s">
        <v>35</v>
      </c>
      <c r="E292">
        <v>906529.78940000001</v>
      </c>
      <c r="F292">
        <v>3055</v>
      </c>
      <c r="G292" t="s">
        <v>35</v>
      </c>
      <c r="H292" t="s">
        <v>15</v>
      </c>
    </row>
    <row r="293" spans="1:8" x14ac:dyDescent="0.2">
      <c r="A293" t="s">
        <v>1364</v>
      </c>
      <c r="B293" t="s">
        <v>1365</v>
      </c>
      <c r="C293" t="s">
        <v>1092</v>
      </c>
      <c r="D293" t="s">
        <v>1126</v>
      </c>
      <c r="E293">
        <v>28776.399600000001</v>
      </c>
      <c r="F293">
        <v>19164</v>
      </c>
      <c r="G293" t="s">
        <v>1109</v>
      </c>
      <c r="H293" t="s">
        <v>15</v>
      </c>
    </row>
    <row r="294" spans="1:8" x14ac:dyDescent="0.2">
      <c r="A294" t="s">
        <v>1364</v>
      </c>
      <c r="B294" t="s">
        <v>1099</v>
      </c>
      <c r="C294" t="s">
        <v>1100</v>
      </c>
      <c r="D294" t="s">
        <v>35</v>
      </c>
      <c r="E294">
        <v>28776.399600000001</v>
      </c>
      <c r="F294">
        <v>19164</v>
      </c>
      <c r="G294" t="s">
        <v>35</v>
      </c>
      <c r="H294" t="s">
        <v>15</v>
      </c>
    </row>
    <row r="295" spans="1:8" x14ac:dyDescent="0.2">
      <c r="A295" t="s">
        <v>1366</v>
      </c>
      <c r="B295" t="s">
        <v>1367</v>
      </c>
      <c r="C295" t="s">
        <v>1092</v>
      </c>
      <c r="D295" t="s">
        <v>1058</v>
      </c>
      <c r="E295">
        <v>145623.66076699999</v>
      </c>
      <c r="F295">
        <v>17</v>
      </c>
      <c r="G295" t="s">
        <v>1103</v>
      </c>
      <c r="H295" t="s">
        <v>15</v>
      </c>
    </row>
    <row r="296" spans="1:8" x14ac:dyDescent="0.2">
      <c r="A296" t="s">
        <v>1366</v>
      </c>
      <c r="B296" t="s">
        <v>1099</v>
      </c>
      <c r="C296" t="s">
        <v>1100</v>
      </c>
      <c r="D296" t="s">
        <v>35</v>
      </c>
      <c r="E296">
        <v>145623.66076699999</v>
      </c>
      <c r="F296">
        <v>17</v>
      </c>
      <c r="G296" t="s">
        <v>35</v>
      </c>
      <c r="H296" t="s">
        <v>15</v>
      </c>
    </row>
    <row r="297" spans="1:8" x14ac:dyDescent="0.2">
      <c r="A297" t="s">
        <v>1368</v>
      </c>
      <c r="B297" t="s">
        <v>1369</v>
      </c>
      <c r="C297" t="s">
        <v>1092</v>
      </c>
      <c r="D297" t="s">
        <v>1061</v>
      </c>
      <c r="E297">
        <v>27392.858400000001</v>
      </c>
      <c r="F297">
        <v>0</v>
      </c>
      <c r="G297" t="s">
        <v>1103</v>
      </c>
      <c r="H297" t="s">
        <v>15</v>
      </c>
    </row>
    <row r="298" spans="1:8" x14ac:dyDescent="0.2">
      <c r="A298" t="s">
        <v>1368</v>
      </c>
      <c r="B298" t="s">
        <v>1099</v>
      </c>
      <c r="C298" t="s">
        <v>1100</v>
      </c>
      <c r="D298" t="s">
        <v>35</v>
      </c>
      <c r="E298">
        <v>27392.858400000001</v>
      </c>
      <c r="F298">
        <v>0</v>
      </c>
      <c r="G298" t="s">
        <v>35</v>
      </c>
      <c r="H298" t="s">
        <v>15</v>
      </c>
    </row>
    <row r="299" spans="1:8" x14ac:dyDescent="0.2">
      <c r="A299" t="s">
        <v>1370</v>
      </c>
      <c r="B299" t="s">
        <v>1371</v>
      </c>
      <c r="C299" t="s">
        <v>1092</v>
      </c>
      <c r="D299" t="s">
        <v>1058</v>
      </c>
      <c r="E299">
        <v>61777.713524999999</v>
      </c>
      <c r="F299">
        <v>0</v>
      </c>
      <c r="G299" t="s">
        <v>1107</v>
      </c>
      <c r="H299" t="s">
        <v>15</v>
      </c>
    </row>
    <row r="300" spans="1:8" x14ac:dyDescent="0.2">
      <c r="A300" t="s">
        <v>1370</v>
      </c>
      <c r="B300" t="s">
        <v>1372</v>
      </c>
      <c r="C300" t="s">
        <v>1092</v>
      </c>
      <c r="D300" t="s">
        <v>1058</v>
      </c>
      <c r="E300">
        <v>9669.4029750000009</v>
      </c>
      <c r="F300">
        <v>0</v>
      </c>
      <c r="G300" t="s">
        <v>1107</v>
      </c>
      <c r="H300" t="s">
        <v>15</v>
      </c>
    </row>
    <row r="301" spans="1:8" x14ac:dyDescent="0.2">
      <c r="A301" t="s">
        <v>1370</v>
      </c>
      <c r="B301" t="s">
        <v>1099</v>
      </c>
      <c r="C301" t="s">
        <v>1100</v>
      </c>
      <c r="D301" t="s">
        <v>35</v>
      </c>
      <c r="E301">
        <v>71447.116500000004</v>
      </c>
      <c r="F301">
        <v>0</v>
      </c>
      <c r="G301" t="s">
        <v>35</v>
      </c>
      <c r="H301" t="s">
        <v>15</v>
      </c>
    </row>
    <row r="302" spans="1:8" x14ac:dyDescent="0.2">
      <c r="A302" t="s">
        <v>481</v>
      </c>
      <c r="B302" t="s">
        <v>1373</v>
      </c>
      <c r="C302" t="s">
        <v>1092</v>
      </c>
      <c r="D302" t="s">
        <v>1064</v>
      </c>
      <c r="E302">
        <v>268277.59999999998</v>
      </c>
      <c r="F302">
        <v>7</v>
      </c>
      <c r="G302" t="s">
        <v>1107</v>
      </c>
      <c r="H302" t="s">
        <v>15</v>
      </c>
    </row>
    <row r="303" spans="1:8" x14ac:dyDescent="0.2">
      <c r="A303" t="s">
        <v>481</v>
      </c>
      <c r="B303" t="s">
        <v>1374</v>
      </c>
      <c r="C303" t="s">
        <v>1092</v>
      </c>
      <c r="D303" t="s">
        <v>1064</v>
      </c>
      <c r="E303">
        <v>69066.731</v>
      </c>
      <c r="F303">
        <v>6</v>
      </c>
      <c r="G303" t="s">
        <v>1107</v>
      </c>
      <c r="H303" t="s">
        <v>15</v>
      </c>
    </row>
    <row r="304" spans="1:8" x14ac:dyDescent="0.2">
      <c r="A304" t="s">
        <v>481</v>
      </c>
      <c r="B304" t="s">
        <v>1375</v>
      </c>
      <c r="C304" t="s">
        <v>1092</v>
      </c>
      <c r="D304" t="s">
        <v>1064</v>
      </c>
      <c r="E304">
        <v>188179.05600000001</v>
      </c>
      <c r="F304">
        <v>14</v>
      </c>
      <c r="G304" t="s">
        <v>1107</v>
      </c>
      <c r="H304" t="s">
        <v>15</v>
      </c>
    </row>
    <row r="305" spans="1:8" x14ac:dyDescent="0.2">
      <c r="A305" t="s">
        <v>481</v>
      </c>
      <c r="B305" t="s">
        <v>1376</v>
      </c>
      <c r="C305" t="s">
        <v>1092</v>
      </c>
      <c r="D305" t="s">
        <v>1064</v>
      </c>
      <c r="E305">
        <v>255847.9</v>
      </c>
      <c r="F305">
        <v>134</v>
      </c>
      <c r="G305" t="s">
        <v>1107</v>
      </c>
      <c r="H305" t="s">
        <v>15</v>
      </c>
    </row>
    <row r="306" spans="1:8" x14ac:dyDescent="0.2">
      <c r="A306" t="s">
        <v>481</v>
      </c>
      <c r="B306" t="s">
        <v>1377</v>
      </c>
      <c r="C306" t="s">
        <v>1092</v>
      </c>
      <c r="D306" t="s">
        <v>1064</v>
      </c>
      <c r="E306">
        <v>69493.562000000005</v>
      </c>
      <c r="F306">
        <v>2</v>
      </c>
      <c r="G306" t="s">
        <v>1107</v>
      </c>
      <c r="H306" t="s">
        <v>15</v>
      </c>
    </row>
    <row r="307" spans="1:8" x14ac:dyDescent="0.2">
      <c r="A307" t="s">
        <v>481</v>
      </c>
      <c r="B307" t="s">
        <v>1378</v>
      </c>
      <c r="C307" t="s">
        <v>1092</v>
      </c>
      <c r="D307" t="s">
        <v>1064</v>
      </c>
      <c r="E307">
        <v>180918.39999999999</v>
      </c>
      <c r="F307">
        <v>6</v>
      </c>
      <c r="G307" t="s">
        <v>1107</v>
      </c>
      <c r="H307" t="s">
        <v>15</v>
      </c>
    </row>
    <row r="308" spans="1:8" x14ac:dyDescent="0.2">
      <c r="A308" t="s">
        <v>481</v>
      </c>
      <c r="B308" t="s">
        <v>1379</v>
      </c>
      <c r="C308" t="s">
        <v>1092</v>
      </c>
      <c r="D308" t="s">
        <v>1064</v>
      </c>
      <c r="E308">
        <v>90400.817999999999</v>
      </c>
      <c r="F308">
        <v>11</v>
      </c>
      <c r="G308" t="s">
        <v>1107</v>
      </c>
      <c r="H308" t="s">
        <v>15</v>
      </c>
    </row>
    <row r="309" spans="1:8" x14ac:dyDescent="0.2">
      <c r="A309" t="s">
        <v>481</v>
      </c>
      <c r="B309" t="s">
        <v>1380</v>
      </c>
      <c r="C309" t="s">
        <v>1092</v>
      </c>
      <c r="D309" t="s">
        <v>1064</v>
      </c>
      <c r="E309">
        <v>780793</v>
      </c>
      <c r="F309">
        <v>23</v>
      </c>
      <c r="G309" t="s">
        <v>1107</v>
      </c>
      <c r="H309" t="s">
        <v>15</v>
      </c>
    </row>
    <row r="310" spans="1:8" x14ac:dyDescent="0.2">
      <c r="A310" t="s">
        <v>481</v>
      </c>
      <c r="B310" t="s">
        <v>1381</v>
      </c>
      <c r="C310" t="s">
        <v>1092</v>
      </c>
      <c r="D310" t="s">
        <v>1064</v>
      </c>
      <c r="E310">
        <v>567268.30000000005</v>
      </c>
      <c r="F310">
        <v>28</v>
      </c>
      <c r="G310" t="s">
        <v>1107</v>
      </c>
      <c r="H310" t="s">
        <v>15</v>
      </c>
    </row>
    <row r="311" spans="1:8" x14ac:dyDescent="0.2">
      <c r="A311" t="s">
        <v>481</v>
      </c>
      <c r="B311" t="s">
        <v>1382</v>
      </c>
      <c r="C311" t="s">
        <v>1092</v>
      </c>
      <c r="D311" t="s">
        <v>1064</v>
      </c>
      <c r="E311">
        <v>76085.8</v>
      </c>
      <c r="F311">
        <v>9</v>
      </c>
      <c r="G311" t="s">
        <v>1107</v>
      </c>
      <c r="H311" t="s">
        <v>15</v>
      </c>
    </row>
    <row r="312" spans="1:8" x14ac:dyDescent="0.2">
      <c r="A312" t="s">
        <v>481</v>
      </c>
      <c r="B312" t="s">
        <v>1383</v>
      </c>
      <c r="C312" t="s">
        <v>1092</v>
      </c>
      <c r="D312" t="s">
        <v>1064</v>
      </c>
      <c r="E312">
        <v>6179.2</v>
      </c>
      <c r="F312">
        <v>0</v>
      </c>
      <c r="G312" t="s">
        <v>1107</v>
      </c>
      <c r="H312" t="s">
        <v>15</v>
      </c>
    </row>
    <row r="313" spans="1:8" x14ac:dyDescent="0.2">
      <c r="A313" t="s">
        <v>481</v>
      </c>
      <c r="B313" t="s">
        <v>1384</v>
      </c>
      <c r="C313" t="s">
        <v>1092</v>
      </c>
      <c r="D313" t="s">
        <v>1064</v>
      </c>
      <c r="E313">
        <v>33296.800000000003</v>
      </c>
      <c r="F313">
        <v>1</v>
      </c>
      <c r="G313" t="s">
        <v>1107</v>
      </c>
      <c r="H313" t="s">
        <v>15</v>
      </c>
    </row>
    <row r="314" spans="1:8" x14ac:dyDescent="0.2">
      <c r="A314" t="s">
        <v>481</v>
      </c>
      <c r="B314" t="s">
        <v>1385</v>
      </c>
      <c r="C314" t="s">
        <v>1092</v>
      </c>
      <c r="D314" t="s">
        <v>1064</v>
      </c>
      <c r="E314">
        <v>160560.20000000001</v>
      </c>
      <c r="F314">
        <v>14</v>
      </c>
      <c r="G314" t="s">
        <v>1107</v>
      </c>
      <c r="H314" t="s">
        <v>15</v>
      </c>
    </row>
    <row r="315" spans="1:8" x14ac:dyDescent="0.2">
      <c r="A315" t="s">
        <v>481</v>
      </c>
      <c r="B315" t="s">
        <v>1386</v>
      </c>
      <c r="C315" t="s">
        <v>1092</v>
      </c>
      <c r="D315" t="s">
        <v>1064</v>
      </c>
      <c r="E315">
        <v>371057.9</v>
      </c>
      <c r="F315">
        <v>17</v>
      </c>
      <c r="G315" t="s">
        <v>1107</v>
      </c>
      <c r="H315" t="s">
        <v>15</v>
      </c>
    </row>
    <row r="316" spans="1:8" x14ac:dyDescent="0.2">
      <c r="A316" t="s">
        <v>481</v>
      </c>
      <c r="B316" t="s">
        <v>1387</v>
      </c>
      <c r="C316" t="s">
        <v>1092</v>
      </c>
      <c r="D316" t="s">
        <v>1064</v>
      </c>
      <c r="E316">
        <v>292257.90000000002</v>
      </c>
      <c r="F316">
        <v>121</v>
      </c>
      <c r="G316" t="s">
        <v>1107</v>
      </c>
      <c r="H316" t="s">
        <v>15</v>
      </c>
    </row>
    <row r="317" spans="1:8" x14ac:dyDescent="0.2">
      <c r="A317" t="s">
        <v>481</v>
      </c>
      <c r="B317" t="s">
        <v>1388</v>
      </c>
      <c r="C317" t="s">
        <v>1092</v>
      </c>
      <c r="D317" t="s">
        <v>1064</v>
      </c>
      <c r="E317">
        <v>119884.254</v>
      </c>
      <c r="F317">
        <v>6</v>
      </c>
      <c r="G317" t="s">
        <v>1107</v>
      </c>
      <c r="H317" t="s">
        <v>15</v>
      </c>
    </row>
    <row r="318" spans="1:8" x14ac:dyDescent="0.2">
      <c r="A318" t="s">
        <v>481</v>
      </c>
      <c r="B318" t="s">
        <v>1389</v>
      </c>
      <c r="C318" t="s">
        <v>1092</v>
      </c>
      <c r="D318" t="s">
        <v>1064</v>
      </c>
      <c r="E318">
        <v>84875.9</v>
      </c>
      <c r="F318">
        <v>8</v>
      </c>
      <c r="G318" t="s">
        <v>1107</v>
      </c>
      <c r="H318" t="s">
        <v>15</v>
      </c>
    </row>
    <row r="319" spans="1:8" x14ac:dyDescent="0.2">
      <c r="A319" t="s">
        <v>481</v>
      </c>
      <c r="B319" t="s">
        <v>1390</v>
      </c>
      <c r="C319" t="s">
        <v>1092</v>
      </c>
      <c r="D319" t="s">
        <v>1064</v>
      </c>
      <c r="E319">
        <v>5213.8999999999996</v>
      </c>
      <c r="F319">
        <v>0</v>
      </c>
      <c r="G319" t="s">
        <v>1107</v>
      </c>
      <c r="H319" t="s">
        <v>15</v>
      </c>
    </row>
    <row r="320" spans="1:8" x14ac:dyDescent="0.2">
      <c r="A320" t="s">
        <v>481</v>
      </c>
      <c r="B320" t="s">
        <v>1391</v>
      </c>
      <c r="C320" t="s">
        <v>1092</v>
      </c>
      <c r="D320" t="s">
        <v>1064</v>
      </c>
      <c r="E320">
        <v>1312018</v>
      </c>
      <c r="F320">
        <v>8</v>
      </c>
      <c r="G320" t="s">
        <v>1107</v>
      </c>
      <c r="H320" t="s">
        <v>15</v>
      </c>
    </row>
    <row r="321" spans="1:8" x14ac:dyDescent="0.2">
      <c r="A321" t="s">
        <v>481</v>
      </c>
      <c r="B321" t="s">
        <v>1392</v>
      </c>
      <c r="C321" t="s">
        <v>1092</v>
      </c>
      <c r="D321" t="s">
        <v>1064</v>
      </c>
      <c r="E321">
        <v>759347.478</v>
      </c>
      <c r="F321">
        <v>74</v>
      </c>
      <c r="G321" t="s">
        <v>1107</v>
      </c>
      <c r="H321" t="s">
        <v>15</v>
      </c>
    </row>
    <row r="322" spans="1:8" x14ac:dyDescent="0.2">
      <c r="A322" t="s">
        <v>481</v>
      </c>
      <c r="B322" t="s">
        <v>1393</v>
      </c>
      <c r="C322" t="s">
        <v>1092</v>
      </c>
      <c r="D322" t="s">
        <v>1064</v>
      </c>
      <c r="E322">
        <v>115148.899</v>
      </c>
      <c r="F322">
        <v>7</v>
      </c>
      <c r="G322" t="s">
        <v>1107</v>
      </c>
      <c r="H322" t="s">
        <v>15</v>
      </c>
    </row>
    <row r="323" spans="1:8" x14ac:dyDescent="0.2">
      <c r="A323" t="s">
        <v>481</v>
      </c>
      <c r="B323" t="s">
        <v>1394</v>
      </c>
      <c r="C323" t="s">
        <v>1092</v>
      </c>
      <c r="D323" t="s">
        <v>1064</v>
      </c>
      <c r="E323">
        <v>553189.1</v>
      </c>
      <c r="F323">
        <v>944</v>
      </c>
      <c r="G323" t="s">
        <v>1107</v>
      </c>
      <c r="H323" t="s">
        <v>15</v>
      </c>
    </row>
    <row r="324" spans="1:8" x14ac:dyDescent="0.2">
      <c r="A324" t="s">
        <v>481</v>
      </c>
      <c r="B324" t="s">
        <v>1395</v>
      </c>
      <c r="C324" t="s">
        <v>1092</v>
      </c>
      <c r="D324" t="s">
        <v>1064</v>
      </c>
      <c r="E324">
        <v>0</v>
      </c>
      <c r="F324">
        <v>0</v>
      </c>
      <c r="G324" t="s">
        <v>1107</v>
      </c>
      <c r="H324" t="s">
        <v>15</v>
      </c>
    </row>
    <row r="325" spans="1:8" x14ac:dyDescent="0.2">
      <c r="A325" t="s">
        <v>481</v>
      </c>
      <c r="B325" t="s">
        <v>1396</v>
      </c>
      <c r="C325" t="s">
        <v>1092</v>
      </c>
      <c r="D325" t="s">
        <v>1064</v>
      </c>
      <c r="E325">
        <v>344370.9</v>
      </c>
      <c r="F325">
        <v>0</v>
      </c>
      <c r="G325" t="s">
        <v>1107</v>
      </c>
      <c r="H325" t="s">
        <v>15</v>
      </c>
    </row>
    <row r="326" spans="1:8" x14ac:dyDescent="0.2">
      <c r="A326" t="s">
        <v>481</v>
      </c>
      <c r="B326" t="s">
        <v>1397</v>
      </c>
      <c r="C326" t="s">
        <v>1092</v>
      </c>
      <c r="D326" t="s">
        <v>1064</v>
      </c>
      <c r="E326">
        <v>211796.2</v>
      </c>
      <c r="F326">
        <v>24</v>
      </c>
      <c r="G326" t="s">
        <v>1107</v>
      </c>
      <c r="H326" t="s">
        <v>15</v>
      </c>
    </row>
    <row r="327" spans="1:8" x14ac:dyDescent="0.2">
      <c r="A327" t="s">
        <v>481</v>
      </c>
      <c r="B327" t="s">
        <v>1398</v>
      </c>
      <c r="C327" t="s">
        <v>1092</v>
      </c>
      <c r="D327" t="s">
        <v>1064</v>
      </c>
      <c r="E327">
        <v>376376.6</v>
      </c>
      <c r="F327">
        <v>31</v>
      </c>
      <c r="G327" t="s">
        <v>1107</v>
      </c>
      <c r="H327" t="s">
        <v>15</v>
      </c>
    </row>
    <row r="328" spans="1:8" x14ac:dyDescent="0.2">
      <c r="A328" t="s">
        <v>481</v>
      </c>
      <c r="B328" t="s">
        <v>1399</v>
      </c>
      <c r="C328" t="s">
        <v>1092</v>
      </c>
      <c r="D328" t="s">
        <v>1064</v>
      </c>
      <c r="E328">
        <v>216516.21100000001</v>
      </c>
      <c r="F328">
        <v>0</v>
      </c>
      <c r="G328" t="s">
        <v>1107</v>
      </c>
      <c r="H328" t="s">
        <v>15</v>
      </c>
    </row>
    <row r="329" spans="1:8" x14ac:dyDescent="0.2">
      <c r="A329" t="s">
        <v>481</v>
      </c>
      <c r="B329" t="s">
        <v>1400</v>
      </c>
      <c r="C329" t="s">
        <v>1092</v>
      </c>
      <c r="D329" t="s">
        <v>1064</v>
      </c>
      <c r="E329">
        <v>81927.5</v>
      </c>
      <c r="F329">
        <v>6</v>
      </c>
      <c r="G329" t="s">
        <v>1107</v>
      </c>
      <c r="H329" t="s">
        <v>15</v>
      </c>
    </row>
    <row r="330" spans="1:8" x14ac:dyDescent="0.2">
      <c r="A330" t="s">
        <v>481</v>
      </c>
      <c r="B330" t="s">
        <v>1401</v>
      </c>
      <c r="C330" t="s">
        <v>1092</v>
      </c>
      <c r="D330" t="s">
        <v>1064</v>
      </c>
      <c r="E330">
        <v>5191.6679999999997</v>
      </c>
      <c r="F330">
        <v>1769</v>
      </c>
      <c r="G330" t="s">
        <v>1093</v>
      </c>
      <c r="H330" t="s">
        <v>15</v>
      </c>
    </row>
    <row r="331" spans="1:8" x14ac:dyDescent="0.2">
      <c r="A331" t="s">
        <v>481</v>
      </c>
      <c r="B331" t="s">
        <v>1402</v>
      </c>
      <c r="C331" t="s">
        <v>1092</v>
      </c>
      <c r="D331" t="s">
        <v>1064</v>
      </c>
      <c r="E331">
        <v>14612.835999999999</v>
      </c>
      <c r="F331">
        <v>6924</v>
      </c>
      <c r="G331" t="s">
        <v>1236</v>
      </c>
      <c r="H331" t="s">
        <v>15</v>
      </c>
    </row>
    <row r="332" spans="1:8" x14ac:dyDescent="0.2">
      <c r="A332" t="s">
        <v>481</v>
      </c>
      <c r="B332" t="s">
        <v>1403</v>
      </c>
      <c r="C332" t="s">
        <v>1092</v>
      </c>
      <c r="D332" t="s">
        <v>1064</v>
      </c>
      <c r="E332">
        <v>233139.78</v>
      </c>
      <c r="F332">
        <v>112140</v>
      </c>
      <c r="G332" t="s">
        <v>1109</v>
      </c>
      <c r="H332" t="s">
        <v>15</v>
      </c>
    </row>
    <row r="333" spans="1:8" x14ac:dyDescent="0.2">
      <c r="A333" t="s">
        <v>481</v>
      </c>
      <c r="B333" t="s">
        <v>1099</v>
      </c>
      <c r="C333" t="s">
        <v>1100</v>
      </c>
      <c r="D333" t="s">
        <v>35</v>
      </c>
      <c r="E333">
        <v>7843292.3930000002</v>
      </c>
      <c r="F333">
        <v>122334</v>
      </c>
      <c r="G333" t="s">
        <v>35</v>
      </c>
      <c r="H333" t="s">
        <v>15</v>
      </c>
    </row>
    <row r="334" spans="1:8" x14ac:dyDescent="0.2">
      <c r="A334" t="s">
        <v>874</v>
      </c>
      <c r="B334" t="s">
        <v>1404</v>
      </c>
      <c r="C334" t="s">
        <v>1092</v>
      </c>
      <c r="D334" t="s">
        <v>1126</v>
      </c>
      <c r="E334">
        <v>260761.6974</v>
      </c>
      <c r="F334">
        <v>81</v>
      </c>
      <c r="G334" t="s">
        <v>1093</v>
      </c>
      <c r="H334" t="s">
        <v>15</v>
      </c>
    </row>
    <row r="335" spans="1:8" x14ac:dyDescent="0.2">
      <c r="A335" t="s">
        <v>874</v>
      </c>
      <c r="B335" t="s">
        <v>1405</v>
      </c>
      <c r="C335" t="s">
        <v>1092</v>
      </c>
      <c r="D335" t="s">
        <v>1058</v>
      </c>
      <c r="E335">
        <v>420061.57140000002</v>
      </c>
      <c r="F335">
        <v>89</v>
      </c>
      <c r="G335" t="s">
        <v>1103</v>
      </c>
      <c r="H335" t="s">
        <v>15</v>
      </c>
    </row>
    <row r="336" spans="1:8" x14ac:dyDescent="0.2">
      <c r="A336" t="s">
        <v>874</v>
      </c>
      <c r="B336" t="s">
        <v>1406</v>
      </c>
      <c r="C336" t="s">
        <v>1092</v>
      </c>
      <c r="D336" t="s">
        <v>1058</v>
      </c>
      <c r="E336">
        <v>281169.77</v>
      </c>
      <c r="F336">
        <v>92</v>
      </c>
      <c r="G336" t="s">
        <v>1093</v>
      </c>
      <c r="H336" t="s">
        <v>15</v>
      </c>
    </row>
    <row r="337" spans="1:8" x14ac:dyDescent="0.2">
      <c r="A337" t="s">
        <v>874</v>
      </c>
      <c r="B337" t="s">
        <v>1407</v>
      </c>
      <c r="C337" t="s">
        <v>1092</v>
      </c>
      <c r="D337" t="s">
        <v>1052</v>
      </c>
      <c r="E337">
        <v>43296.722999999998</v>
      </c>
      <c r="F337">
        <v>23494</v>
      </c>
      <c r="G337" t="s">
        <v>1109</v>
      </c>
      <c r="H337" t="s">
        <v>15</v>
      </c>
    </row>
    <row r="338" spans="1:8" x14ac:dyDescent="0.2">
      <c r="A338" t="s">
        <v>874</v>
      </c>
      <c r="B338" t="s">
        <v>1408</v>
      </c>
      <c r="C338" t="s">
        <v>1092</v>
      </c>
      <c r="D338" t="s">
        <v>1058</v>
      </c>
      <c r="E338">
        <v>301357.614</v>
      </c>
      <c r="F338">
        <v>194</v>
      </c>
      <c r="G338" t="s">
        <v>1093</v>
      </c>
      <c r="H338" t="s">
        <v>15</v>
      </c>
    </row>
    <row r="339" spans="1:8" x14ac:dyDescent="0.2">
      <c r="A339" t="s">
        <v>874</v>
      </c>
      <c r="B339" t="s">
        <v>1409</v>
      </c>
      <c r="C339" t="s">
        <v>1092</v>
      </c>
      <c r="D339" t="s">
        <v>1052</v>
      </c>
      <c r="E339">
        <v>0</v>
      </c>
      <c r="F339">
        <v>5</v>
      </c>
      <c r="G339" t="s">
        <v>1191</v>
      </c>
      <c r="H339" t="s">
        <v>15</v>
      </c>
    </row>
    <row r="340" spans="1:8" x14ac:dyDescent="0.2">
      <c r="A340" t="s">
        <v>874</v>
      </c>
      <c r="B340" t="s">
        <v>1410</v>
      </c>
      <c r="C340" t="s">
        <v>1092</v>
      </c>
      <c r="D340" t="s">
        <v>1052</v>
      </c>
      <c r="E340">
        <v>490743.3357</v>
      </c>
      <c r="F340">
        <v>133</v>
      </c>
      <c r="G340" t="s">
        <v>1093</v>
      </c>
      <c r="H340" t="s">
        <v>15</v>
      </c>
    </row>
    <row r="341" spans="1:8" x14ac:dyDescent="0.2">
      <c r="A341" t="s">
        <v>874</v>
      </c>
      <c r="B341" t="s">
        <v>1411</v>
      </c>
      <c r="C341" t="s">
        <v>1092</v>
      </c>
      <c r="D341" t="s">
        <v>1052</v>
      </c>
      <c r="E341">
        <v>758101.83799999999</v>
      </c>
      <c r="F341">
        <v>228</v>
      </c>
      <c r="G341" t="s">
        <v>1093</v>
      </c>
      <c r="H341" t="s">
        <v>15</v>
      </c>
    </row>
    <row r="342" spans="1:8" x14ac:dyDescent="0.2">
      <c r="A342" t="s">
        <v>874</v>
      </c>
      <c r="B342" t="s">
        <v>1412</v>
      </c>
      <c r="C342" t="s">
        <v>1092</v>
      </c>
      <c r="D342" t="s">
        <v>1058</v>
      </c>
      <c r="E342">
        <v>48340.250999999997</v>
      </c>
      <c r="F342">
        <v>34995</v>
      </c>
      <c r="G342" t="s">
        <v>1109</v>
      </c>
      <c r="H342" t="s">
        <v>15</v>
      </c>
    </row>
    <row r="343" spans="1:8" x14ac:dyDescent="0.2">
      <c r="A343" t="s">
        <v>874</v>
      </c>
      <c r="B343" t="s">
        <v>1413</v>
      </c>
      <c r="C343" t="s">
        <v>1092</v>
      </c>
      <c r="D343" t="s">
        <v>1058</v>
      </c>
      <c r="E343">
        <v>114054.95209999999</v>
      </c>
      <c r="F343">
        <v>58</v>
      </c>
      <c r="G343" t="s">
        <v>1093</v>
      </c>
      <c r="H343" t="s">
        <v>15</v>
      </c>
    </row>
    <row r="344" spans="1:8" x14ac:dyDescent="0.2">
      <c r="A344" t="s">
        <v>874</v>
      </c>
      <c r="B344" t="s">
        <v>1099</v>
      </c>
      <c r="C344" t="s">
        <v>1100</v>
      </c>
      <c r="D344" t="s">
        <v>35</v>
      </c>
      <c r="E344">
        <v>2717887.7525999998</v>
      </c>
      <c r="F344">
        <v>59369</v>
      </c>
      <c r="G344" t="s">
        <v>35</v>
      </c>
      <c r="H344" t="s">
        <v>15</v>
      </c>
    </row>
    <row r="345" spans="1:8" x14ac:dyDescent="0.2">
      <c r="A345" t="s">
        <v>1414</v>
      </c>
      <c r="B345" t="s">
        <v>1415</v>
      </c>
      <c r="C345" t="s">
        <v>1092</v>
      </c>
      <c r="D345" t="s">
        <v>1061</v>
      </c>
      <c r="E345">
        <v>250663.864</v>
      </c>
      <c r="F345">
        <v>45</v>
      </c>
      <c r="G345" t="s">
        <v>1103</v>
      </c>
      <c r="H345" t="s">
        <v>15</v>
      </c>
    </row>
    <row r="346" spans="1:8" x14ac:dyDescent="0.2">
      <c r="A346" t="s">
        <v>1414</v>
      </c>
      <c r="B346" t="s">
        <v>1099</v>
      </c>
      <c r="C346" t="s">
        <v>1100</v>
      </c>
      <c r="D346" t="s">
        <v>35</v>
      </c>
      <c r="E346">
        <v>250663.864</v>
      </c>
      <c r="F346">
        <v>45</v>
      </c>
      <c r="G346" t="s">
        <v>35</v>
      </c>
      <c r="H346" t="s">
        <v>15</v>
      </c>
    </row>
    <row r="347" spans="1:8" x14ac:dyDescent="0.2">
      <c r="A347" t="s">
        <v>1416</v>
      </c>
      <c r="B347" t="s">
        <v>1417</v>
      </c>
      <c r="C347" t="s">
        <v>1092</v>
      </c>
      <c r="D347" t="s">
        <v>1061</v>
      </c>
      <c r="E347">
        <v>176949.15400000001</v>
      </c>
      <c r="F347">
        <v>54</v>
      </c>
      <c r="G347" t="s">
        <v>1093</v>
      </c>
      <c r="H347" t="s">
        <v>15</v>
      </c>
    </row>
    <row r="348" spans="1:8" x14ac:dyDescent="0.2">
      <c r="A348" t="s">
        <v>1416</v>
      </c>
      <c r="B348" t="s">
        <v>1099</v>
      </c>
      <c r="C348" t="s">
        <v>1100</v>
      </c>
      <c r="D348" t="s">
        <v>35</v>
      </c>
      <c r="E348">
        <v>176949.15400000001</v>
      </c>
      <c r="F348">
        <v>54</v>
      </c>
      <c r="G348" t="s">
        <v>35</v>
      </c>
      <c r="H348" t="s">
        <v>15</v>
      </c>
    </row>
    <row r="349" spans="1:8" x14ac:dyDescent="0.2">
      <c r="A349" t="s">
        <v>1418</v>
      </c>
      <c r="B349" t="s">
        <v>1419</v>
      </c>
      <c r="C349" t="s">
        <v>1092</v>
      </c>
      <c r="D349" t="s">
        <v>1096</v>
      </c>
      <c r="E349">
        <v>125508.667</v>
      </c>
      <c r="F349">
        <v>0</v>
      </c>
      <c r="G349" t="s">
        <v>1103</v>
      </c>
      <c r="H349" t="s">
        <v>15</v>
      </c>
    </row>
    <row r="350" spans="1:8" x14ac:dyDescent="0.2">
      <c r="A350" t="s">
        <v>1418</v>
      </c>
      <c r="B350" t="s">
        <v>1099</v>
      </c>
      <c r="C350" t="s">
        <v>1100</v>
      </c>
      <c r="D350" t="s">
        <v>35</v>
      </c>
      <c r="E350">
        <v>125508.667</v>
      </c>
      <c r="F350">
        <v>0</v>
      </c>
      <c r="G350" t="s">
        <v>35</v>
      </c>
      <c r="H350" t="s">
        <v>15</v>
      </c>
    </row>
    <row r="351" spans="1:8" x14ac:dyDescent="0.2">
      <c r="A351" t="s">
        <v>1420</v>
      </c>
      <c r="B351" t="s">
        <v>1421</v>
      </c>
      <c r="C351" t="s">
        <v>1092</v>
      </c>
      <c r="D351" t="s">
        <v>1096</v>
      </c>
      <c r="E351">
        <v>470269.210058</v>
      </c>
      <c r="F351">
        <v>130</v>
      </c>
      <c r="G351" t="s">
        <v>1093</v>
      </c>
      <c r="H351" t="s">
        <v>15</v>
      </c>
    </row>
    <row r="352" spans="1:8" x14ac:dyDescent="0.2">
      <c r="A352" t="s">
        <v>1420</v>
      </c>
      <c r="B352" t="s">
        <v>1099</v>
      </c>
      <c r="C352" t="s">
        <v>1100</v>
      </c>
      <c r="D352" t="s">
        <v>35</v>
      </c>
      <c r="E352">
        <v>470269.210058</v>
      </c>
      <c r="F352">
        <v>130</v>
      </c>
      <c r="G352" t="s">
        <v>35</v>
      </c>
      <c r="H352" t="s">
        <v>15</v>
      </c>
    </row>
    <row r="353" spans="1:8" x14ac:dyDescent="0.2">
      <c r="A353" t="s">
        <v>105</v>
      </c>
      <c r="B353" t="s">
        <v>1422</v>
      </c>
      <c r="C353" t="s">
        <v>1092</v>
      </c>
      <c r="D353" t="s">
        <v>1126</v>
      </c>
      <c r="E353">
        <v>0</v>
      </c>
      <c r="F353">
        <v>0</v>
      </c>
      <c r="G353" t="s">
        <v>1236</v>
      </c>
      <c r="H353" t="s">
        <v>15</v>
      </c>
    </row>
    <row r="354" spans="1:8" x14ac:dyDescent="0.2">
      <c r="A354" t="s">
        <v>105</v>
      </c>
      <c r="B354" t="s">
        <v>1423</v>
      </c>
      <c r="C354" t="s">
        <v>1092</v>
      </c>
      <c r="D354" t="s">
        <v>1126</v>
      </c>
      <c r="E354">
        <v>23882.071188999998</v>
      </c>
      <c r="F354">
        <v>1840</v>
      </c>
      <c r="G354" t="s">
        <v>1238</v>
      </c>
      <c r="H354" t="s">
        <v>15</v>
      </c>
    </row>
    <row r="355" spans="1:8" x14ac:dyDescent="0.2">
      <c r="A355" t="s">
        <v>105</v>
      </c>
      <c r="B355" t="s">
        <v>1424</v>
      </c>
      <c r="C355" t="s">
        <v>1092</v>
      </c>
      <c r="D355" t="s">
        <v>1126</v>
      </c>
      <c r="E355">
        <v>28099.163496000001</v>
      </c>
      <c r="F355">
        <v>2162</v>
      </c>
      <c r="G355" t="s">
        <v>1238</v>
      </c>
      <c r="H355" t="s">
        <v>15</v>
      </c>
    </row>
    <row r="356" spans="1:8" x14ac:dyDescent="0.2">
      <c r="A356" t="s">
        <v>105</v>
      </c>
      <c r="B356" t="s">
        <v>1099</v>
      </c>
      <c r="C356" t="s">
        <v>1100</v>
      </c>
      <c r="D356" t="s">
        <v>35</v>
      </c>
      <c r="E356">
        <v>51981.234685000003</v>
      </c>
      <c r="F356">
        <v>4002</v>
      </c>
      <c r="G356" t="s">
        <v>35</v>
      </c>
      <c r="H356" t="s">
        <v>15</v>
      </c>
    </row>
    <row r="357" spans="1:8" x14ac:dyDescent="0.2">
      <c r="A357" t="s">
        <v>1425</v>
      </c>
      <c r="B357" t="s">
        <v>1426</v>
      </c>
      <c r="C357" t="s">
        <v>1092</v>
      </c>
      <c r="D357" t="s">
        <v>1061</v>
      </c>
      <c r="E357">
        <v>8005.6139999999996</v>
      </c>
      <c r="F357">
        <v>715</v>
      </c>
      <c r="G357" t="s">
        <v>1238</v>
      </c>
      <c r="H357" t="s">
        <v>15</v>
      </c>
    </row>
    <row r="358" spans="1:8" x14ac:dyDescent="0.2">
      <c r="A358" t="s">
        <v>1425</v>
      </c>
      <c r="B358" t="s">
        <v>1427</v>
      </c>
      <c r="C358" t="s">
        <v>1092</v>
      </c>
      <c r="D358" t="s">
        <v>1061</v>
      </c>
      <c r="E358">
        <v>5323.4780000000001</v>
      </c>
      <c r="F358">
        <v>626</v>
      </c>
      <c r="G358" t="s">
        <v>1238</v>
      </c>
      <c r="H358" t="s">
        <v>15</v>
      </c>
    </row>
    <row r="359" spans="1:8" x14ac:dyDescent="0.2">
      <c r="A359" t="s">
        <v>1425</v>
      </c>
      <c r="B359" t="s">
        <v>1428</v>
      </c>
      <c r="C359" t="s">
        <v>1092</v>
      </c>
      <c r="D359" t="s">
        <v>1061</v>
      </c>
      <c r="E359">
        <v>14499.627</v>
      </c>
      <c r="F359">
        <v>1333</v>
      </c>
      <c r="G359" t="s">
        <v>1238</v>
      </c>
      <c r="H359" t="s">
        <v>15</v>
      </c>
    </row>
    <row r="360" spans="1:8" x14ac:dyDescent="0.2">
      <c r="A360" t="s">
        <v>1425</v>
      </c>
      <c r="B360" t="s">
        <v>1429</v>
      </c>
      <c r="C360" t="s">
        <v>1092</v>
      </c>
      <c r="D360" t="s">
        <v>1061</v>
      </c>
      <c r="E360">
        <v>13157.977000000001</v>
      </c>
      <c r="F360">
        <v>991</v>
      </c>
      <c r="G360" t="s">
        <v>1238</v>
      </c>
      <c r="H360" t="s">
        <v>15</v>
      </c>
    </row>
    <row r="361" spans="1:8" x14ac:dyDescent="0.2">
      <c r="A361" t="s">
        <v>1425</v>
      </c>
      <c r="B361" t="s">
        <v>1430</v>
      </c>
      <c r="C361" t="s">
        <v>1092</v>
      </c>
      <c r="D361" t="s">
        <v>1061</v>
      </c>
      <c r="E361">
        <v>11515.308000000001</v>
      </c>
      <c r="F361">
        <v>1296</v>
      </c>
      <c r="G361" t="s">
        <v>1238</v>
      </c>
      <c r="H361" t="s">
        <v>15</v>
      </c>
    </row>
    <row r="362" spans="1:8" x14ac:dyDescent="0.2">
      <c r="A362" t="s">
        <v>1425</v>
      </c>
      <c r="B362" t="s">
        <v>1431</v>
      </c>
      <c r="C362" t="s">
        <v>1092</v>
      </c>
      <c r="D362" t="s">
        <v>1215</v>
      </c>
      <c r="E362">
        <v>35651.847000000002</v>
      </c>
      <c r="F362">
        <v>4349</v>
      </c>
      <c r="G362" t="s">
        <v>1238</v>
      </c>
      <c r="H362" t="s">
        <v>15</v>
      </c>
    </row>
    <row r="363" spans="1:8" x14ac:dyDescent="0.2">
      <c r="A363" t="s">
        <v>1425</v>
      </c>
      <c r="B363" t="s">
        <v>1432</v>
      </c>
      <c r="C363" t="s">
        <v>1092</v>
      </c>
      <c r="D363" t="s">
        <v>1061</v>
      </c>
      <c r="E363">
        <v>4625.018</v>
      </c>
      <c r="F363">
        <v>451</v>
      </c>
      <c r="G363" t="s">
        <v>1238</v>
      </c>
      <c r="H363" t="s">
        <v>15</v>
      </c>
    </row>
    <row r="364" spans="1:8" x14ac:dyDescent="0.2">
      <c r="A364" t="s">
        <v>1425</v>
      </c>
      <c r="B364" t="s">
        <v>1099</v>
      </c>
      <c r="C364" t="s">
        <v>1100</v>
      </c>
      <c r="D364" t="s">
        <v>35</v>
      </c>
      <c r="E364">
        <v>92778.869000000006</v>
      </c>
      <c r="F364">
        <v>9761</v>
      </c>
      <c r="G364" t="s">
        <v>35</v>
      </c>
      <c r="H364" t="s">
        <v>15</v>
      </c>
    </row>
    <row r="365" spans="1:8" x14ac:dyDescent="0.2">
      <c r="A365" t="s">
        <v>1433</v>
      </c>
      <c r="B365" t="s">
        <v>1434</v>
      </c>
      <c r="C365" t="s">
        <v>1092</v>
      </c>
      <c r="D365" t="s">
        <v>1061</v>
      </c>
      <c r="E365">
        <v>102566.436</v>
      </c>
      <c r="F365">
        <v>36</v>
      </c>
      <c r="G365" t="s">
        <v>1103</v>
      </c>
      <c r="H365" t="s">
        <v>15</v>
      </c>
    </row>
    <row r="366" spans="1:8" x14ac:dyDescent="0.2">
      <c r="A366" t="s">
        <v>1433</v>
      </c>
      <c r="B366" t="s">
        <v>1099</v>
      </c>
      <c r="C366" t="s">
        <v>1100</v>
      </c>
      <c r="D366" t="s">
        <v>35</v>
      </c>
      <c r="E366">
        <v>102566.436</v>
      </c>
      <c r="F366">
        <v>36</v>
      </c>
      <c r="G366" t="s">
        <v>35</v>
      </c>
      <c r="H366" t="s">
        <v>15</v>
      </c>
    </row>
    <row r="367" spans="1:8" x14ac:dyDescent="0.2">
      <c r="A367" t="s">
        <v>1435</v>
      </c>
      <c r="B367" t="s">
        <v>1436</v>
      </c>
      <c r="C367" t="s">
        <v>1092</v>
      </c>
      <c r="D367" t="s">
        <v>1061</v>
      </c>
      <c r="E367">
        <v>168595.44</v>
      </c>
      <c r="F367">
        <v>57</v>
      </c>
      <c r="G367" t="s">
        <v>1103</v>
      </c>
      <c r="H367" t="s">
        <v>15</v>
      </c>
    </row>
    <row r="368" spans="1:8" x14ac:dyDescent="0.2">
      <c r="A368" t="s">
        <v>1435</v>
      </c>
      <c r="B368" t="s">
        <v>1099</v>
      </c>
      <c r="C368" t="s">
        <v>1100</v>
      </c>
      <c r="D368" t="s">
        <v>35</v>
      </c>
      <c r="E368">
        <v>168595.44</v>
      </c>
      <c r="F368">
        <v>57</v>
      </c>
      <c r="G368" t="s">
        <v>35</v>
      </c>
      <c r="H368" t="s">
        <v>15</v>
      </c>
    </row>
    <row r="369" spans="1:8" x14ac:dyDescent="0.2">
      <c r="A369" t="s">
        <v>1437</v>
      </c>
      <c r="B369" t="s">
        <v>1438</v>
      </c>
      <c r="C369" t="s">
        <v>1092</v>
      </c>
      <c r="D369" t="s">
        <v>1052</v>
      </c>
      <c r="E369">
        <v>610325.06955000001</v>
      </c>
      <c r="F369">
        <v>39</v>
      </c>
      <c r="G369" t="s">
        <v>1093</v>
      </c>
      <c r="H369" t="s">
        <v>15</v>
      </c>
    </row>
    <row r="370" spans="1:8" x14ac:dyDescent="0.2">
      <c r="A370" t="s">
        <v>1437</v>
      </c>
      <c r="B370" t="s">
        <v>1099</v>
      </c>
      <c r="C370" t="s">
        <v>1100</v>
      </c>
      <c r="D370" t="s">
        <v>35</v>
      </c>
      <c r="E370">
        <v>610325.06955000001</v>
      </c>
      <c r="F370">
        <v>39</v>
      </c>
      <c r="G370" t="s">
        <v>35</v>
      </c>
      <c r="H370" t="s">
        <v>15</v>
      </c>
    </row>
    <row r="371" spans="1:8" x14ac:dyDescent="0.2">
      <c r="A371" t="s">
        <v>543</v>
      </c>
      <c r="B371" t="s">
        <v>1439</v>
      </c>
      <c r="C371" t="s">
        <v>1092</v>
      </c>
      <c r="D371" t="s">
        <v>1058</v>
      </c>
      <c r="E371">
        <v>6764.0360000000001</v>
      </c>
      <c r="F371">
        <v>519</v>
      </c>
      <c r="G371" t="s">
        <v>1238</v>
      </c>
      <c r="H371" t="s">
        <v>15</v>
      </c>
    </row>
    <row r="372" spans="1:8" x14ac:dyDescent="0.2">
      <c r="A372" t="s">
        <v>543</v>
      </c>
      <c r="B372" t="s">
        <v>1440</v>
      </c>
      <c r="C372" t="s">
        <v>1092</v>
      </c>
      <c r="D372" t="s">
        <v>1058</v>
      </c>
      <c r="E372">
        <v>982.70600000000002</v>
      </c>
      <c r="F372">
        <v>0</v>
      </c>
      <c r="G372" t="s">
        <v>1103</v>
      </c>
      <c r="H372" t="s">
        <v>15</v>
      </c>
    </row>
    <row r="373" spans="1:8" x14ac:dyDescent="0.2">
      <c r="A373" t="s">
        <v>543</v>
      </c>
      <c r="B373" t="s">
        <v>1441</v>
      </c>
      <c r="C373" t="s">
        <v>1092</v>
      </c>
      <c r="D373" t="s">
        <v>1058</v>
      </c>
      <c r="E373">
        <v>3503.9720000000002</v>
      </c>
      <c r="F373">
        <v>265</v>
      </c>
      <c r="G373" t="s">
        <v>1238</v>
      </c>
      <c r="H373" t="s">
        <v>15</v>
      </c>
    </row>
    <row r="374" spans="1:8" x14ac:dyDescent="0.2">
      <c r="A374" t="s">
        <v>543</v>
      </c>
      <c r="B374" t="s">
        <v>1442</v>
      </c>
      <c r="C374" t="s">
        <v>1092</v>
      </c>
      <c r="D374" t="s">
        <v>1096</v>
      </c>
      <c r="E374">
        <v>11353.254000000001</v>
      </c>
      <c r="F374">
        <v>872</v>
      </c>
      <c r="G374" t="s">
        <v>1238</v>
      </c>
      <c r="H374" t="s">
        <v>15</v>
      </c>
    </row>
    <row r="375" spans="1:8" x14ac:dyDescent="0.2">
      <c r="A375" t="s">
        <v>543</v>
      </c>
      <c r="B375" t="s">
        <v>1443</v>
      </c>
      <c r="C375" t="s">
        <v>1092</v>
      </c>
      <c r="D375" t="s">
        <v>1096</v>
      </c>
      <c r="E375">
        <v>4232.3040000000001</v>
      </c>
      <c r="F375">
        <v>303</v>
      </c>
      <c r="G375" t="s">
        <v>1238</v>
      </c>
      <c r="H375" t="s">
        <v>15</v>
      </c>
    </row>
    <row r="376" spans="1:8" x14ac:dyDescent="0.2">
      <c r="A376" t="s">
        <v>543</v>
      </c>
      <c r="B376" t="s">
        <v>1444</v>
      </c>
      <c r="C376" t="s">
        <v>1092</v>
      </c>
      <c r="D376" t="s">
        <v>1061</v>
      </c>
      <c r="E376">
        <v>6810.5730000000003</v>
      </c>
      <c r="F376">
        <v>487</v>
      </c>
      <c r="G376" t="s">
        <v>1238</v>
      </c>
      <c r="H376" t="s">
        <v>15</v>
      </c>
    </row>
    <row r="377" spans="1:8" x14ac:dyDescent="0.2">
      <c r="A377" t="s">
        <v>543</v>
      </c>
      <c r="B377" t="s">
        <v>1445</v>
      </c>
      <c r="C377" t="s">
        <v>1092</v>
      </c>
      <c r="D377" t="s">
        <v>1064</v>
      </c>
      <c r="E377">
        <v>15393.418</v>
      </c>
      <c r="F377">
        <v>1090</v>
      </c>
      <c r="G377" t="s">
        <v>1238</v>
      </c>
      <c r="H377" t="s">
        <v>15</v>
      </c>
    </row>
    <row r="378" spans="1:8" x14ac:dyDescent="0.2">
      <c r="A378" t="s">
        <v>543</v>
      </c>
      <c r="B378" t="s">
        <v>1446</v>
      </c>
      <c r="C378" t="s">
        <v>1092</v>
      </c>
      <c r="D378" t="s">
        <v>1223</v>
      </c>
      <c r="E378">
        <v>9177.5020000000004</v>
      </c>
      <c r="F378">
        <v>645</v>
      </c>
      <c r="G378" t="s">
        <v>1238</v>
      </c>
      <c r="H378" t="s">
        <v>15</v>
      </c>
    </row>
    <row r="379" spans="1:8" x14ac:dyDescent="0.2">
      <c r="A379" t="s">
        <v>543</v>
      </c>
      <c r="B379" t="s">
        <v>1447</v>
      </c>
      <c r="C379" t="s">
        <v>1092</v>
      </c>
      <c r="D379" t="s">
        <v>1096</v>
      </c>
      <c r="E379">
        <v>9103.4159999999993</v>
      </c>
      <c r="F379">
        <v>637</v>
      </c>
      <c r="G379" t="s">
        <v>1238</v>
      </c>
      <c r="H379" t="s">
        <v>15</v>
      </c>
    </row>
    <row r="380" spans="1:8" x14ac:dyDescent="0.2">
      <c r="A380" t="s">
        <v>543</v>
      </c>
      <c r="B380" t="s">
        <v>1448</v>
      </c>
      <c r="C380" t="s">
        <v>1092</v>
      </c>
      <c r="D380" t="s">
        <v>1058</v>
      </c>
      <c r="E380">
        <v>34902.28</v>
      </c>
      <c r="F380">
        <v>2527</v>
      </c>
      <c r="G380" t="s">
        <v>1238</v>
      </c>
      <c r="H380" t="s">
        <v>15</v>
      </c>
    </row>
    <row r="381" spans="1:8" x14ac:dyDescent="0.2">
      <c r="A381" t="s">
        <v>543</v>
      </c>
      <c r="B381" t="s">
        <v>1449</v>
      </c>
      <c r="C381" t="s">
        <v>1092</v>
      </c>
      <c r="D381" t="s">
        <v>1064</v>
      </c>
      <c r="E381">
        <v>7553.0739999999996</v>
      </c>
      <c r="F381">
        <v>535</v>
      </c>
      <c r="G381" t="s">
        <v>1109</v>
      </c>
      <c r="H381" t="s">
        <v>15</v>
      </c>
    </row>
    <row r="382" spans="1:8" x14ac:dyDescent="0.2">
      <c r="A382" t="s">
        <v>543</v>
      </c>
      <c r="B382" t="s">
        <v>1450</v>
      </c>
      <c r="C382" t="s">
        <v>1092</v>
      </c>
      <c r="D382" t="s">
        <v>1096</v>
      </c>
      <c r="E382">
        <v>70611.634999999995</v>
      </c>
      <c r="F382">
        <v>5115</v>
      </c>
      <c r="G382" t="s">
        <v>1238</v>
      </c>
      <c r="H382" t="s">
        <v>15</v>
      </c>
    </row>
    <row r="383" spans="1:8" x14ac:dyDescent="0.2">
      <c r="A383" t="s">
        <v>543</v>
      </c>
      <c r="B383" t="s">
        <v>1451</v>
      </c>
      <c r="C383" t="s">
        <v>1092</v>
      </c>
      <c r="D383" t="s">
        <v>1126</v>
      </c>
      <c r="E383">
        <v>15531.645</v>
      </c>
      <c r="F383">
        <v>1048</v>
      </c>
      <c r="G383" t="s">
        <v>1238</v>
      </c>
      <c r="H383" t="s">
        <v>15</v>
      </c>
    </row>
    <row r="384" spans="1:8" x14ac:dyDescent="0.2">
      <c r="A384" t="s">
        <v>543</v>
      </c>
      <c r="B384" t="s">
        <v>1452</v>
      </c>
      <c r="C384" t="s">
        <v>1092</v>
      </c>
      <c r="D384" t="s">
        <v>1061</v>
      </c>
      <c r="E384">
        <v>2785.2510000000002</v>
      </c>
      <c r="F384">
        <v>211</v>
      </c>
      <c r="G384" t="s">
        <v>1238</v>
      </c>
      <c r="H384" t="s">
        <v>15</v>
      </c>
    </row>
    <row r="385" spans="1:8" x14ac:dyDescent="0.2">
      <c r="A385" t="s">
        <v>543</v>
      </c>
      <c r="B385" t="s">
        <v>1453</v>
      </c>
      <c r="C385" t="s">
        <v>1092</v>
      </c>
      <c r="D385" t="s">
        <v>1064</v>
      </c>
      <c r="E385">
        <v>4684.6949999999997</v>
      </c>
      <c r="F385">
        <v>344</v>
      </c>
      <c r="G385" t="s">
        <v>1238</v>
      </c>
      <c r="H385" t="s">
        <v>15</v>
      </c>
    </row>
    <row r="386" spans="1:8" x14ac:dyDescent="0.2">
      <c r="A386" t="s">
        <v>543</v>
      </c>
      <c r="B386" t="s">
        <v>1454</v>
      </c>
      <c r="C386" t="s">
        <v>1092</v>
      </c>
      <c r="D386" t="s">
        <v>1096</v>
      </c>
      <c r="E386">
        <v>4022.42</v>
      </c>
      <c r="F386">
        <v>308</v>
      </c>
      <c r="G386" t="s">
        <v>1238</v>
      </c>
      <c r="H386" t="s">
        <v>15</v>
      </c>
    </row>
    <row r="387" spans="1:8" x14ac:dyDescent="0.2">
      <c r="A387" t="s">
        <v>543</v>
      </c>
      <c r="B387" t="s">
        <v>1455</v>
      </c>
      <c r="C387" t="s">
        <v>1092</v>
      </c>
      <c r="D387" t="s">
        <v>1052</v>
      </c>
      <c r="E387">
        <v>8081.9570000000003</v>
      </c>
      <c r="F387">
        <v>582</v>
      </c>
      <c r="G387" t="s">
        <v>1238</v>
      </c>
      <c r="H387" t="s">
        <v>15</v>
      </c>
    </row>
    <row r="388" spans="1:8" x14ac:dyDescent="0.2">
      <c r="A388" t="s">
        <v>543</v>
      </c>
      <c r="B388" t="s">
        <v>1456</v>
      </c>
      <c r="C388" t="s">
        <v>1092</v>
      </c>
      <c r="D388" t="s">
        <v>1052</v>
      </c>
      <c r="E388">
        <v>1178.9190000000001</v>
      </c>
      <c r="F388">
        <v>0</v>
      </c>
      <c r="G388" t="s">
        <v>1103</v>
      </c>
      <c r="H388" t="s">
        <v>15</v>
      </c>
    </row>
    <row r="389" spans="1:8" x14ac:dyDescent="0.2">
      <c r="A389" t="s">
        <v>543</v>
      </c>
      <c r="B389" t="s">
        <v>1457</v>
      </c>
      <c r="C389" t="s">
        <v>1092</v>
      </c>
      <c r="D389" t="s">
        <v>1058</v>
      </c>
      <c r="E389">
        <v>24741.677</v>
      </c>
      <c r="F389">
        <v>1872</v>
      </c>
      <c r="G389" t="s">
        <v>1238</v>
      </c>
      <c r="H389" t="s">
        <v>15</v>
      </c>
    </row>
    <row r="390" spans="1:8" x14ac:dyDescent="0.2">
      <c r="A390" t="s">
        <v>543</v>
      </c>
      <c r="B390" t="s">
        <v>1458</v>
      </c>
      <c r="C390" t="s">
        <v>1092</v>
      </c>
      <c r="D390" t="s">
        <v>1058</v>
      </c>
      <c r="E390">
        <v>8574.6329999999998</v>
      </c>
      <c r="F390">
        <v>643</v>
      </c>
      <c r="G390" t="s">
        <v>1238</v>
      </c>
      <c r="H390" t="s">
        <v>15</v>
      </c>
    </row>
    <row r="391" spans="1:8" x14ac:dyDescent="0.2">
      <c r="A391" t="s">
        <v>543</v>
      </c>
      <c r="B391" t="s">
        <v>1459</v>
      </c>
      <c r="C391" t="s">
        <v>1092</v>
      </c>
      <c r="D391" t="s">
        <v>1061</v>
      </c>
      <c r="E391">
        <v>6613.0959999999995</v>
      </c>
      <c r="F391">
        <v>475</v>
      </c>
      <c r="G391" t="s">
        <v>1238</v>
      </c>
      <c r="H391" t="s">
        <v>15</v>
      </c>
    </row>
    <row r="392" spans="1:8" x14ac:dyDescent="0.2">
      <c r="A392" t="s">
        <v>543</v>
      </c>
      <c r="B392" t="s">
        <v>1460</v>
      </c>
      <c r="C392" t="s">
        <v>1092</v>
      </c>
      <c r="D392" t="s">
        <v>1064</v>
      </c>
      <c r="E392">
        <v>9192.616</v>
      </c>
      <c r="F392">
        <v>659</v>
      </c>
      <c r="G392" t="s">
        <v>1238</v>
      </c>
      <c r="H392" t="s">
        <v>15</v>
      </c>
    </row>
    <row r="393" spans="1:8" x14ac:dyDescent="0.2">
      <c r="A393" t="s">
        <v>543</v>
      </c>
      <c r="B393" t="s">
        <v>1461</v>
      </c>
      <c r="C393" t="s">
        <v>1092</v>
      </c>
      <c r="D393" t="s">
        <v>1061</v>
      </c>
      <c r="E393">
        <v>62953.567000000003</v>
      </c>
      <c r="F393">
        <v>4977</v>
      </c>
      <c r="G393" t="s">
        <v>1238</v>
      </c>
      <c r="H393" t="s">
        <v>15</v>
      </c>
    </row>
    <row r="394" spans="1:8" x14ac:dyDescent="0.2">
      <c r="A394" t="s">
        <v>543</v>
      </c>
      <c r="B394" t="s">
        <v>1462</v>
      </c>
      <c r="C394" t="s">
        <v>1092</v>
      </c>
      <c r="D394" t="s">
        <v>1126</v>
      </c>
      <c r="E394">
        <v>7987.0959999999995</v>
      </c>
      <c r="F394">
        <v>646</v>
      </c>
      <c r="G394" t="s">
        <v>1238</v>
      </c>
      <c r="H394" t="s">
        <v>15</v>
      </c>
    </row>
    <row r="395" spans="1:8" x14ac:dyDescent="0.2">
      <c r="A395" t="s">
        <v>543</v>
      </c>
      <c r="B395" t="s">
        <v>1463</v>
      </c>
      <c r="C395" t="s">
        <v>1092</v>
      </c>
      <c r="D395" t="s">
        <v>1052</v>
      </c>
      <c r="E395">
        <v>17865.404999999999</v>
      </c>
      <c r="F395">
        <v>1370</v>
      </c>
      <c r="G395" t="s">
        <v>1238</v>
      </c>
      <c r="H395" t="s">
        <v>15</v>
      </c>
    </row>
    <row r="396" spans="1:8" x14ac:dyDescent="0.2">
      <c r="A396" t="s">
        <v>543</v>
      </c>
      <c r="B396" t="s">
        <v>1464</v>
      </c>
      <c r="C396" t="s">
        <v>1092</v>
      </c>
      <c r="D396" t="s">
        <v>1052</v>
      </c>
      <c r="E396">
        <v>693.53499999999997</v>
      </c>
      <c r="F396">
        <v>0</v>
      </c>
      <c r="G396" t="s">
        <v>1103</v>
      </c>
      <c r="H396" t="s">
        <v>15</v>
      </c>
    </row>
    <row r="397" spans="1:8" x14ac:dyDescent="0.2">
      <c r="A397" t="s">
        <v>543</v>
      </c>
      <c r="B397" t="s">
        <v>1465</v>
      </c>
      <c r="C397" t="s">
        <v>1092</v>
      </c>
      <c r="D397" t="s">
        <v>1096</v>
      </c>
      <c r="E397">
        <v>5619.9939999999997</v>
      </c>
      <c r="F397">
        <v>418</v>
      </c>
      <c r="G397" t="s">
        <v>1238</v>
      </c>
      <c r="H397" t="s">
        <v>15</v>
      </c>
    </row>
    <row r="398" spans="1:8" x14ac:dyDescent="0.2">
      <c r="A398" t="s">
        <v>543</v>
      </c>
      <c r="B398" t="s">
        <v>1466</v>
      </c>
      <c r="C398" t="s">
        <v>1092</v>
      </c>
      <c r="D398" t="s">
        <v>1126</v>
      </c>
      <c r="E398">
        <v>13319.949000000001</v>
      </c>
      <c r="F398">
        <v>1067</v>
      </c>
      <c r="G398" t="s">
        <v>1238</v>
      </c>
      <c r="H398" t="s">
        <v>15</v>
      </c>
    </row>
    <row r="399" spans="1:8" x14ac:dyDescent="0.2">
      <c r="A399" t="s">
        <v>543</v>
      </c>
      <c r="B399" t="s">
        <v>1467</v>
      </c>
      <c r="C399" t="s">
        <v>1092</v>
      </c>
      <c r="D399" t="s">
        <v>1061</v>
      </c>
      <c r="E399">
        <v>27593.145</v>
      </c>
      <c r="F399">
        <v>2147</v>
      </c>
      <c r="G399" t="s">
        <v>1238</v>
      </c>
      <c r="H399" t="s">
        <v>15</v>
      </c>
    </row>
    <row r="400" spans="1:8" x14ac:dyDescent="0.2">
      <c r="A400" t="s">
        <v>543</v>
      </c>
      <c r="B400" t="s">
        <v>1468</v>
      </c>
      <c r="C400" t="s">
        <v>1092</v>
      </c>
      <c r="D400" t="s">
        <v>1061</v>
      </c>
      <c r="E400">
        <v>17582.046999999999</v>
      </c>
      <c r="F400">
        <v>1302</v>
      </c>
      <c r="G400" t="s">
        <v>1238</v>
      </c>
      <c r="H400" t="s">
        <v>15</v>
      </c>
    </row>
    <row r="401" spans="1:8" x14ac:dyDescent="0.2">
      <c r="A401" t="s">
        <v>543</v>
      </c>
      <c r="B401" t="s">
        <v>1469</v>
      </c>
      <c r="C401" t="s">
        <v>1092</v>
      </c>
      <c r="D401" t="s">
        <v>1096</v>
      </c>
      <c r="E401">
        <v>63424.675000000003</v>
      </c>
      <c r="F401">
        <v>4594</v>
      </c>
      <c r="G401" t="s">
        <v>1238</v>
      </c>
      <c r="H401" t="s">
        <v>15</v>
      </c>
    </row>
    <row r="402" spans="1:8" x14ac:dyDescent="0.2">
      <c r="A402" t="s">
        <v>543</v>
      </c>
      <c r="B402" t="s">
        <v>1470</v>
      </c>
      <c r="C402" t="s">
        <v>1092</v>
      </c>
      <c r="D402" t="s">
        <v>1058</v>
      </c>
      <c r="E402">
        <v>7758.9840000000004</v>
      </c>
      <c r="F402">
        <v>552</v>
      </c>
      <c r="G402" t="s">
        <v>1238</v>
      </c>
      <c r="H402" t="s">
        <v>15</v>
      </c>
    </row>
    <row r="403" spans="1:8" x14ac:dyDescent="0.2">
      <c r="A403" t="s">
        <v>543</v>
      </c>
      <c r="B403" t="s">
        <v>1471</v>
      </c>
      <c r="C403" t="s">
        <v>1092</v>
      </c>
      <c r="D403" t="s">
        <v>1096</v>
      </c>
      <c r="E403">
        <v>41968.470999999998</v>
      </c>
      <c r="F403">
        <v>3081</v>
      </c>
      <c r="G403" t="s">
        <v>1238</v>
      </c>
      <c r="H403" t="s">
        <v>15</v>
      </c>
    </row>
    <row r="404" spans="1:8" x14ac:dyDescent="0.2">
      <c r="A404" t="s">
        <v>543</v>
      </c>
      <c r="B404" t="s">
        <v>1472</v>
      </c>
      <c r="C404" t="s">
        <v>1092</v>
      </c>
      <c r="D404" t="s">
        <v>1058</v>
      </c>
      <c r="E404">
        <v>15406.992</v>
      </c>
      <c r="F404">
        <v>1170</v>
      </c>
      <c r="G404" t="s">
        <v>1238</v>
      </c>
      <c r="H404" t="s">
        <v>15</v>
      </c>
    </row>
    <row r="405" spans="1:8" x14ac:dyDescent="0.2">
      <c r="A405" t="s">
        <v>543</v>
      </c>
      <c r="B405" t="s">
        <v>1099</v>
      </c>
      <c r="C405" t="s">
        <v>1100</v>
      </c>
      <c r="D405" t="s">
        <v>35</v>
      </c>
      <c r="E405">
        <v>547968.93900000001</v>
      </c>
      <c r="F405">
        <v>40461</v>
      </c>
      <c r="G405" t="s">
        <v>35</v>
      </c>
      <c r="H405" t="s">
        <v>15</v>
      </c>
    </row>
    <row r="406" spans="1:8" x14ac:dyDescent="0.2">
      <c r="A406" t="s">
        <v>1473</v>
      </c>
      <c r="B406" t="s">
        <v>1474</v>
      </c>
      <c r="C406" t="s">
        <v>1092</v>
      </c>
      <c r="D406" t="s">
        <v>1058</v>
      </c>
      <c r="E406">
        <v>382844.60800000001</v>
      </c>
      <c r="F406">
        <v>23</v>
      </c>
      <c r="G406" t="s">
        <v>1103</v>
      </c>
      <c r="H406" t="s">
        <v>15</v>
      </c>
    </row>
    <row r="407" spans="1:8" x14ac:dyDescent="0.2">
      <c r="A407" t="s">
        <v>1473</v>
      </c>
      <c r="B407" t="s">
        <v>1099</v>
      </c>
      <c r="C407" t="s">
        <v>1100</v>
      </c>
      <c r="D407" t="s">
        <v>35</v>
      </c>
      <c r="E407">
        <v>382844.60800000001</v>
      </c>
      <c r="F407">
        <v>23</v>
      </c>
      <c r="G407" t="s">
        <v>35</v>
      </c>
      <c r="H407" t="s">
        <v>15</v>
      </c>
    </row>
    <row r="408" spans="1:8" x14ac:dyDescent="0.2">
      <c r="A408" t="s">
        <v>1475</v>
      </c>
      <c r="B408" t="s">
        <v>1476</v>
      </c>
      <c r="C408" t="s">
        <v>1092</v>
      </c>
      <c r="D408" t="s">
        <v>1058</v>
      </c>
      <c r="E408">
        <v>61768.728900000002</v>
      </c>
      <c r="F408">
        <v>0</v>
      </c>
      <c r="G408" t="s">
        <v>1103</v>
      </c>
      <c r="H408" t="s">
        <v>15</v>
      </c>
    </row>
    <row r="409" spans="1:8" x14ac:dyDescent="0.2">
      <c r="A409" t="s">
        <v>1475</v>
      </c>
      <c r="B409" t="s">
        <v>1477</v>
      </c>
      <c r="C409" t="s">
        <v>1092</v>
      </c>
      <c r="D409" t="s">
        <v>1058</v>
      </c>
      <c r="E409">
        <v>57854.368300000002</v>
      </c>
      <c r="F409">
        <v>0</v>
      </c>
      <c r="G409" t="s">
        <v>1103</v>
      </c>
      <c r="H409" t="s">
        <v>15</v>
      </c>
    </row>
    <row r="410" spans="1:8" x14ac:dyDescent="0.2">
      <c r="A410" t="s">
        <v>1475</v>
      </c>
      <c r="B410" t="s">
        <v>1478</v>
      </c>
      <c r="C410" t="s">
        <v>1092</v>
      </c>
      <c r="D410" t="s">
        <v>1058</v>
      </c>
      <c r="E410">
        <v>81928.763399999996</v>
      </c>
      <c r="F410">
        <v>0</v>
      </c>
      <c r="G410" t="s">
        <v>1103</v>
      </c>
      <c r="H410" t="s">
        <v>15</v>
      </c>
    </row>
    <row r="411" spans="1:8" x14ac:dyDescent="0.2">
      <c r="A411" t="s">
        <v>1475</v>
      </c>
      <c r="B411" t="s">
        <v>1099</v>
      </c>
      <c r="C411" t="s">
        <v>1100</v>
      </c>
      <c r="D411" t="s">
        <v>35</v>
      </c>
      <c r="E411">
        <v>201551.86060000001</v>
      </c>
      <c r="F411">
        <v>0</v>
      </c>
      <c r="G411" t="s">
        <v>35</v>
      </c>
      <c r="H411" t="s">
        <v>15</v>
      </c>
    </row>
    <row r="412" spans="1:8" x14ac:dyDescent="0.2">
      <c r="A412" t="s">
        <v>1479</v>
      </c>
      <c r="B412" t="s">
        <v>1480</v>
      </c>
      <c r="C412" t="s">
        <v>1092</v>
      </c>
      <c r="D412" t="s">
        <v>1058</v>
      </c>
      <c r="E412">
        <v>220542.85084</v>
      </c>
      <c r="F412">
        <v>42</v>
      </c>
      <c r="G412" t="s">
        <v>1103</v>
      </c>
      <c r="H412" t="s">
        <v>15</v>
      </c>
    </row>
    <row r="413" spans="1:8" x14ac:dyDescent="0.2">
      <c r="A413" t="s">
        <v>1479</v>
      </c>
      <c r="B413" t="s">
        <v>1099</v>
      </c>
      <c r="C413" t="s">
        <v>1100</v>
      </c>
      <c r="D413" t="s">
        <v>35</v>
      </c>
      <c r="E413">
        <v>220542.85084</v>
      </c>
      <c r="F413">
        <v>42</v>
      </c>
      <c r="G413" t="s">
        <v>35</v>
      </c>
      <c r="H413" t="s">
        <v>15</v>
      </c>
    </row>
    <row r="414" spans="1:8" x14ac:dyDescent="0.2">
      <c r="A414" t="s">
        <v>1481</v>
      </c>
      <c r="B414" t="s">
        <v>1482</v>
      </c>
      <c r="C414" t="s">
        <v>1092</v>
      </c>
      <c r="D414" t="s">
        <v>1096</v>
      </c>
      <c r="E414">
        <v>364379.20003000001</v>
      </c>
      <c r="F414">
        <v>54</v>
      </c>
      <c r="G414" t="s">
        <v>1093</v>
      </c>
      <c r="H414" t="s">
        <v>15</v>
      </c>
    </row>
    <row r="415" spans="1:8" x14ac:dyDescent="0.2">
      <c r="A415" t="s">
        <v>1481</v>
      </c>
      <c r="B415" t="s">
        <v>1099</v>
      </c>
      <c r="C415" t="s">
        <v>1100</v>
      </c>
      <c r="D415" t="s">
        <v>35</v>
      </c>
      <c r="E415">
        <v>364379.20003000001</v>
      </c>
      <c r="F415">
        <v>54</v>
      </c>
      <c r="G415" t="s">
        <v>35</v>
      </c>
      <c r="H415" t="s">
        <v>15</v>
      </c>
    </row>
    <row r="416" spans="1:8" x14ac:dyDescent="0.2">
      <c r="A416" t="s">
        <v>1483</v>
      </c>
      <c r="B416" t="s">
        <v>1484</v>
      </c>
      <c r="C416" t="s">
        <v>1092</v>
      </c>
      <c r="D416" t="s">
        <v>1096</v>
      </c>
      <c r="E416">
        <v>385131.55437000003</v>
      </c>
      <c r="F416">
        <v>59</v>
      </c>
      <c r="G416" t="s">
        <v>1093</v>
      </c>
      <c r="H416" t="s">
        <v>15</v>
      </c>
    </row>
    <row r="417" spans="1:8" x14ac:dyDescent="0.2">
      <c r="A417" t="s">
        <v>1483</v>
      </c>
      <c r="B417" t="s">
        <v>1099</v>
      </c>
      <c r="C417" t="s">
        <v>1100</v>
      </c>
      <c r="D417" t="s">
        <v>35</v>
      </c>
      <c r="E417">
        <v>385131.55437000003</v>
      </c>
      <c r="F417">
        <v>59</v>
      </c>
      <c r="G417" t="s">
        <v>35</v>
      </c>
      <c r="H417" t="s">
        <v>15</v>
      </c>
    </row>
    <row r="418" spans="1:8" x14ac:dyDescent="0.2">
      <c r="A418" t="s">
        <v>1485</v>
      </c>
      <c r="B418" t="s">
        <v>1486</v>
      </c>
      <c r="C418" t="s">
        <v>1092</v>
      </c>
      <c r="D418" t="s">
        <v>1052</v>
      </c>
      <c r="E418">
        <v>137267.64235000001</v>
      </c>
      <c r="F418">
        <v>24</v>
      </c>
      <c r="G418" t="s">
        <v>1103</v>
      </c>
      <c r="H418" t="s">
        <v>15</v>
      </c>
    </row>
    <row r="419" spans="1:8" x14ac:dyDescent="0.2">
      <c r="A419" t="s">
        <v>1485</v>
      </c>
      <c r="B419" t="s">
        <v>1099</v>
      </c>
      <c r="C419" t="s">
        <v>1100</v>
      </c>
      <c r="D419" t="s">
        <v>35</v>
      </c>
      <c r="E419">
        <v>137267.64235000001</v>
      </c>
      <c r="F419">
        <v>24</v>
      </c>
      <c r="G419" t="s">
        <v>35</v>
      </c>
      <c r="H419" t="s">
        <v>15</v>
      </c>
    </row>
    <row r="420" spans="1:8" x14ac:dyDescent="0.2">
      <c r="A420" t="s">
        <v>1487</v>
      </c>
      <c r="B420" t="s">
        <v>1488</v>
      </c>
      <c r="C420" t="s">
        <v>1092</v>
      </c>
      <c r="D420" t="s">
        <v>1061</v>
      </c>
      <c r="E420">
        <v>183456.32638000001</v>
      </c>
      <c r="F420">
        <v>0</v>
      </c>
      <c r="G420" t="s">
        <v>1103</v>
      </c>
      <c r="H420" t="s">
        <v>15</v>
      </c>
    </row>
    <row r="421" spans="1:8" x14ac:dyDescent="0.2">
      <c r="A421" t="s">
        <v>1487</v>
      </c>
      <c r="B421" t="s">
        <v>1099</v>
      </c>
      <c r="C421" t="s">
        <v>1100</v>
      </c>
      <c r="D421" t="s">
        <v>35</v>
      </c>
      <c r="E421">
        <v>183456.32638000001</v>
      </c>
      <c r="F421">
        <v>0</v>
      </c>
      <c r="G421" t="s">
        <v>35</v>
      </c>
      <c r="H421" t="s">
        <v>15</v>
      </c>
    </row>
    <row r="422" spans="1:8" x14ac:dyDescent="0.2">
      <c r="A422" t="s">
        <v>1489</v>
      </c>
      <c r="B422" t="s">
        <v>1490</v>
      </c>
      <c r="C422" t="s">
        <v>1092</v>
      </c>
      <c r="D422" t="s">
        <v>1126</v>
      </c>
      <c r="E422">
        <v>161660.614</v>
      </c>
      <c r="F422">
        <v>29</v>
      </c>
      <c r="G422" t="s">
        <v>1093</v>
      </c>
      <c r="H422" t="s">
        <v>15</v>
      </c>
    </row>
    <row r="423" spans="1:8" x14ac:dyDescent="0.2">
      <c r="A423" t="s">
        <v>1489</v>
      </c>
      <c r="B423" t="s">
        <v>1099</v>
      </c>
      <c r="C423" t="s">
        <v>1100</v>
      </c>
      <c r="D423" t="s">
        <v>35</v>
      </c>
      <c r="E423">
        <v>161660.614</v>
      </c>
      <c r="F423">
        <v>29</v>
      </c>
      <c r="G423" t="s">
        <v>35</v>
      </c>
      <c r="H423" t="s">
        <v>15</v>
      </c>
    </row>
    <row r="424" spans="1:8" x14ac:dyDescent="0.2">
      <c r="A424" t="s">
        <v>1491</v>
      </c>
      <c r="B424" t="s">
        <v>1492</v>
      </c>
      <c r="C424" t="s">
        <v>1092</v>
      </c>
      <c r="D424" t="s">
        <v>1096</v>
      </c>
      <c r="E424">
        <v>540119.11</v>
      </c>
      <c r="F424">
        <v>85</v>
      </c>
      <c r="G424" t="s">
        <v>1093</v>
      </c>
      <c r="H424" t="s">
        <v>15</v>
      </c>
    </row>
    <row r="425" spans="1:8" x14ac:dyDescent="0.2">
      <c r="A425" t="s">
        <v>1491</v>
      </c>
      <c r="B425" t="s">
        <v>1099</v>
      </c>
      <c r="C425" t="s">
        <v>1100</v>
      </c>
      <c r="D425" t="s">
        <v>35</v>
      </c>
      <c r="E425">
        <v>540119.11</v>
      </c>
      <c r="F425">
        <v>85</v>
      </c>
      <c r="G425" t="s">
        <v>35</v>
      </c>
      <c r="H425" t="s">
        <v>15</v>
      </c>
    </row>
    <row r="426" spans="1:8" x14ac:dyDescent="0.2">
      <c r="A426" t="s">
        <v>971</v>
      </c>
      <c r="B426" t="s">
        <v>1493</v>
      </c>
      <c r="C426" t="s">
        <v>1092</v>
      </c>
      <c r="D426" t="s">
        <v>1096</v>
      </c>
      <c r="E426">
        <v>517742.01569999999</v>
      </c>
      <c r="F426">
        <v>217</v>
      </c>
      <c r="G426" t="s">
        <v>1093</v>
      </c>
      <c r="H426" t="s">
        <v>15</v>
      </c>
    </row>
    <row r="427" spans="1:8" x14ac:dyDescent="0.2">
      <c r="A427" t="s">
        <v>971</v>
      </c>
      <c r="B427" t="s">
        <v>1494</v>
      </c>
      <c r="C427" t="s">
        <v>1092</v>
      </c>
      <c r="D427" t="s">
        <v>1058</v>
      </c>
      <c r="E427">
        <v>313352.40500000003</v>
      </c>
      <c r="F427">
        <v>62</v>
      </c>
      <c r="G427" t="s">
        <v>1103</v>
      </c>
      <c r="H427" t="s">
        <v>15</v>
      </c>
    </row>
    <row r="428" spans="1:8" x14ac:dyDescent="0.2">
      <c r="A428" t="s">
        <v>971</v>
      </c>
      <c r="B428" t="s">
        <v>1495</v>
      </c>
      <c r="C428" t="s">
        <v>1092</v>
      </c>
      <c r="D428" t="s">
        <v>1126</v>
      </c>
      <c r="E428">
        <v>16.809000000000001</v>
      </c>
      <c r="F428">
        <v>0</v>
      </c>
      <c r="G428" t="s">
        <v>1103</v>
      </c>
      <c r="H428" t="s">
        <v>15</v>
      </c>
    </row>
    <row r="429" spans="1:8" x14ac:dyDescent="0.2">
      <c r="A429" t="s">
        <v>971</v>
      </c>
      <c r="B429" t="s">
        <v>1496</v>
      </c>
      <c r="C429" t="s">
        <v>1092</v>
      </c>
      <c r="D429" t="s">
        <v>1058</v>
      </c>
      <c r="E429">
        <v>57881.528101999997</v>
      </c>
      <c r="F429">
        <v>8</v>
      </c>
      <c r="G429" t="s">
        <v>1103</v>
      </c>
      <c r="H429" t="s">
        <v>15</v>
      </c>
    </row>
    <row r="430" spans="1:8" x14ac:dyDescent="0.2">
      <c r="A430" t="s">
        <v>971</v>
      </c>
      <c r="B430" t="s">
        <v>1497</v>
      </c>
      <c r="C430" t="s">
        <v>1092</v>
      </c>
      <c r="D430" t="s">
        <v>1058</v>
      </c>
      <c r="E430">
        <v>68084.366037999993</v>
      </c>
      <c r="F430">
        <v>6</v>
      </c>
      <c r="G430" t="s">
        <v>1103</v>
      </c>
      <c r="H430" t="s">
        <v>15</v>
      </c>
    </row>
    <row r="431" spans="1:8" x14ac:dyDescent="0.2">
      <c r="A431" t="s">
        <v>971</v>
      </c>
      <c r="B431" t="s">
        <v>1498</v>
      </c>
      <c r="C431" t="s">
        <v>1092</v>
      </c>
      <c r="D431" t="s">
        <v>1052</v>
      </c>
      <c r="E431">
        <v>0</v>
      </c>
      <c r="F431">
        <v>203</v>
      </c>
      <c r="G431" t="s">
        <v>1191</v>
      </c>
      <c r="H431" t="s">
        <v>15</v>
      </c>
    </row>
    <row r="432" spans="1:8" x14ac:dyDescent="0.2">
      <c r="A432" t="s">
        <v>971</v>
      </c>
      <c r="B432" t="s">
        <v>1499</v>
      </c>
      <c r="C432" t="s">
        <v>1092</v>
      </c>
      <c r="D432" t="s">
        <v>1052</v>
      </c>
      <c r="E432">
        <v>339796.77899999998</v>
      </c>
      <c r="F432">
        <v>47</v>
      </c>
      <c r="G432" t="s">
        <v>1093</v>
      </c>
      <c r="H432" t="s">
        <v>15</v>
      </c>
    </row>
    <row r="433" spans="1:8" x14ac:dyDescent="0.2">
      <c r="A433" t="s">
        <v>971</v>
      </c>
      <c r="B433" t="s">
        <v>1500</v>
      </c>
      <c r="C433" t="s">
        <v>1092</v>
      </c>
      <c r="D433" t="s">
        <v>1052</v>
      </c>
      <c r="E433">
        <v>317093.21299999999</v>
      </c>
      <c r="F433">
        <v>47</v>
      </c>
      <c r="G433" t="s">
        <v>1093</v>
      </c>
      <c r="H433" t="s">
        <v>15</v>
      </c>
    </row>
    <row r="434" spans="1:8" x14ac:dyDescent="0.2">
      <c r="A434" t="s">
        <v>971</v>
      </c>
      <c r="B434" t="s">
        <v>1501</v>
      </c>
      <c r="C434" t="s">
        <v>1092</v>
      </c>
      <c r="D434" t="s">
        <v>1052</v>
      </c>
      <c r="E434">
        <v>331083.788</v>
      </c>
      <c r="F434">
        <v>48</v>
      </c>
      <c r="G434" t="s">
        <v>1093</v>
      </c>
      <c r="H434" t="s">
        <v>15</v>
      </c>
    </row>
    <row r="435" spans="1:8" x14ac:dyDescent="0.2">
      <c r="A435" t="s">
        <v>971</v>
      </c>
      <c r="B435" t="s">
        <v>1502</v>
      </c>
      <c r="C435" t="s">
        <v>1092</v>
      </c>
      <c r="D435" t="s">
        <v>1061</v>
      </c>
      <c r="E435">
        <v>428098.39600000001</v>
      </c>
      <c r="F435">
        <v>59</v>
      </c>
      <c r="G435" t="s">
        <v>1093</v>
      </c>
      <c r="H435" t="s">
        <v>15</v>
      </c>
    </row>
    <row r="436" spans="1:8" x14ac:dyDescent="0.2">
      <c r="A436" t="s">
        <v>971</v>
      </c>
      <c r="B436" t="s">
        <v>1503</v>
      </c>
      <c r="C436" t="s">
        <v>1092</v>
      </c>
      <c r="D436" t="s">
        <v>1096</v>
      </c>
      <c r="E436">
        <v>149369.36499999999</v>
      </c>
      <c r="F436">
        <v>42</v>
      </c>
      <c r="G436" t="s">
        <v>1103</v>
      </c>
      <c r="H436" t="s">
        <v>15</v>
      </c>
    </row>
    <row r="437" spans="1:8" x14ac:dyDescent="0.2">
      <c r="A437" t="s">
        <v>971</v>
      </c>
      <c r="B437" t="s">
        <v>1504</v>
      </c>
      <c r="C437" t="s">
        <v>1092</v>
      </c>
      <c r="D437" t="s">
        <v>1058</v>
      </c>
      <c r="E437">
        <v>110664.41235300001</v>
      </c>
      <c r="F437">
        <v>28</v>
      </c>
      <c r="G437" t="s">
        <v>1103</v>
      </c>
      <c r="H437" t="s">
        <v>15</v>
      </c>
    </row>
    <row r="438" spans="1:8" x14ac:dyDescent="0.2">
      <c r="A438" t="s">
        <v>971</v>
      </c>
      <c r="B438" t="s">
        <v>1505</v>
      </c>
      <c r="C438" t="s">
        <v>1092</v>
      </c>
      <c r="D438" t="s">
        <v>1096</v>
      </c>
      <c r="E438">
        <v>0</v>
      </c>
      <c r="F438">
        <v>573</v>
      </c>
      <c r="G438" t="s">
        <v>1191</v>
      </c>
      <c r="H438" t="s">
        <v>15</v>
      </c>
    </row>
    <row r="439" spans="1:8" x14ac:dyDescent="0.2">
      <c r="A439" t="s">
        <v>971</v>
      </c>
      <c r="B439" t="s">
        <v>1506</v>
      </c>
      <c r="C439" t="s">
        <v>1092</v>
      </c>
      <c r="D439" t="s">
        <v>1061</v>
      </c>
      <c r="E439">
        <v>804097.59499999997</v>
      </c>
      <c r="F439">
        <v>491</v>
      </c>
      <c r="G439" t="s">
        <v>1103</v>
      </c>
      <c r="H439" t="s">
        <v>15</v>
      </c>
    </row>
    <row r="440" spans="1:8" x14ac:dyDescent="0.2">
      <c r="A440" t="s">
        <v>971</v>
      </c>
      <c r="B440" t="s">
        <v>1099</v>
      </c>
      <c r="C440" t="s">
        <v>1100</v>
      </c>
      <c r="D440" t="s">
        <v>35</v>
      </c>
      <c r="E440">
        <v>3437280.6721930001</v>
      </c>
      <c r="F440">
        <v>1831</v>
      </c>
      <c r="G440" t="s">
        <v>35</v>
      </c>
      <c r="H440" t="s">
        <v>15</v>
      </c>
    </row>
    <row r="441" spans="1:8" x14ac:dyDescent="0.2">
      <c r="A441" t="s">
        <v>171</v>
      </c>
      <c r="B441" t="s">
        <v>1507</v>
      </c>
      <c r="C441" t="s">
        <v>1092</v>
      </c>
      <c r="D441" t="s">
        <v>1126</v>
      </c>
      <c r="E441">
        <v>1890054.57861</v>
      </c>
      <c r="F441">
        <v>755148</v>
      </c>
      <c r="G441" t="s">
        <v>1109</v>
      </c>
      <c r="H441" t="s">
        <v>15</v>
      </c>
    </row>
    <row r="442" spans="1:8" x14ac:dyDescent="0.2">
      <c r="A442" t="s">
        <v>171</v>
      </c>
      <c r="B442" t="s">
        <v>1099</v>
      </c>
      <c r="C442" t="s">
        <v>1100</v>
      </c>
      <c r="D442" t="s">
        <v>35</v>
      </c>
      <c r="E442">
        <v>1890054.57861</v>
      </c>
      <c r="F442">
        <v>755148</v>
      </c>
      <c r="G442" t="s">
        <v>35</v>
      </c>
      <c r="H442" t="s">
        <v>15</v>
      </c>
    </row>
    <row r="443" spans="1:8" x14ac:dyDescent="0.2">
      <c r="A443" t="s">
        <v>59</v>
      </c>
      <c r="B443" t="s">
        <v>1508</v>
      </c>
      <c r="C443" t="s">
        <v>1092</v>
      </c>
      <c r="D443" t="s">
        <v>1061</v>
      </c>
      <c r="E443">
        <v>6578198.6730000004</v>
      </c>
      <c r="F443">
        <v>6492467</v>
      </c>
      <c r="G443" t="s">
        <v>1111</v>
      </c>
      <c r="H443" t="s">
        <v>15</v>
      </c>
    </row>
    <row r="444" spans="1:8" x14ac:dyDescent="0.2">
      <c r="A444" t="s">
        <v>59</v>
      </c>
      <c r="B444" t="s">
        <v>1099</v>
      </c>
      <c r="C444" t="s">
        <v>1100</v>
      </c>
      <c r="D444" t="s">
        <v>35</v>
      </c>
      <c r="E444">
        <v>6578198.6730000004</v>
      </c>
      <c r="F444">
        <v>6492467</v>
      </c>
      <c r="G444" t="s">
        <v>35</v>
      </c>
      <c r="H444" t="s">
        <v>15</v>
      </c>
    </row>
    <row r="445" spans="1:8" x14ac:dyDescent="0.2">
      <c r="A445" t="s">
        <v>1509</v>
      </c>
      <c r="B445" t="s">
        <v>1510</v>
      </c>
      <c r="C445" t="s">
        <v>1092</v>
      </c>
      <c r="D445" t="s">
        <v>1061</v>
      </c>
      <c r="E445">
        <v>43377.122199999998</v>
      </c>
      <c r="F445">
        <v>0</v>
      </c>
      <c r="G445" t="s">
        <v>1103</v>
      </c>
      <c r="H445" t="s">
        <v>15</v>
      </c>
    </row>
    <row r="446" spans="1:8" x14ac:dyDescent="0.2">
      <c r="A446" t="s">
        <v>1509</v>
      </c>
      <c r="B446" t="s">
        <v>1099</v>
      </c>
      <c r="C446" t="s">
        <v>1100</v>
      </c>
      <c r="D446" t="s">
        <v>35</v>
      </c>
      <c r="E446">
        <v>43377.122199999998</v>
      </c>
      <c r="F446">
        <v>0</v>
      </c>
      <c r="G446" t="s">
        <v>35</v>
      </c>
      <c r="H446" t="s">
        <v>15</v>
      </c>
    </row>
    <row r="447" spans="1:8" x14ac:dyDescent="0.2">
      <c r="A447" t="s">
        <v>1511</v>
      </c>
      <c r="B447" t="s">
        <v>1512</v>
      </c>
      <c r="C447" t="s">
        <v>1092</v>
      </c>
      <c r="D447" t="s">
        <v>1061</v>
      </c>
      <c r="E447">
        <v>531174.68001000001</v>
      </c>
      <c r="F447">
        <v>203</v>
      </c>
      <c r="G447" t="s">
        <v>1093</v>
      </c>
      <c r="H447" t="s">
        <v>15</v>
      </c>
    </row>
    <row r="448" spans="1:8" x14ac:dyDescent="0.2">
      <c r="A448" t="s">
        <v>1511</v>
      </c>
      <c r="B448" t="s">
        <v>1099</v>
      </c>
      <c r="C448" t="s">
        <v>1100</v>
      </c>
      <c r="D448" t="s">
        <v>35</v>
      </c>
      <c r="E448">
        <v>531174.68001000001</v>
      </c>
      <c r="F448">
        <v>203</v>
      </c>
      <c r="G448" t="s">
        <v>35</v>
      </c>
      <c r="H448" t="s">
        <v>15</v>
      </c>
    </row>
    <row r="449" spans="1:8" x14ac:dyDescent="0.2">
      <c r="A449" t="s">
        <v>40</v>
      </c>
      <c r="B449" t="s">
        <v>1513</v>
      </c>
      <c r="C449" t="s">
        <v>1092</v>
      </c>
      <c r="D449" t="s">
        <v>1096</v>
      </c>
      <c r="E449">
        <v>340.94724600000001</v>
      </c>
      <c r="F449">
        <v>0</v>
      </c>
      <c r="G449" t="s">
        <v>1103</v>
      </c>
      <c r="H449" t="s">
        <v>15</v>
      </c>
    </row>
    <row r="450" spans="1:8" x14ac:dyDescent="0.2">
      <c r="A450" t="s">
        <v>40</v>
      </c>
      <c r="B450" t="s">
        <v>1514</v>
      </c>
      <c r="C450" t="s">
        <v>1092</v>
      </c>
      <c r="D450" t="s">
        <v>1096</v>
      </c>
      <c r="E450">
        <v>410.438492</v>
      </c>
      <c r="F450">
        <v>0</v>
      </c>
      <c r="G450" t="s">
        <v>1103</v>
      </c>
      <c r="H450" t="s">
        <v>15</v>
      </c>
    </row>
    <row r="451" spans="1:8" x14ac:dyDescent="0.2">
      <c r="A451" t="s">
        <v>40</v>
      </c>
      <c r="B451" t="s">
        <v>1515</v>
      </c>
      <c r="C451" t="s">
        <v>1092</v>
      </c>
      <c r="D451" t="s">
        <v>1061</v>
      </c>
      <c r="E451">
        <v>1337471.9753709999</v>
      </c>
      <c r="F451">
        <v>584435</v>
      </c>
      <c r="G451" t="s">
        <v>1109</v>
      </c>
      <c r="H451" t="s">
        <v>15</v>
      </c>
    </row>
    <row r="452" spans="1:8" x14ac:dyDescent="0.2">
      <c r="A452" t="s">
        <v>40</v>
      </c>
      <c r="B452" t="s">
        <v>1516</v>
      </c>
      <c r="C452" t="s">
        <v>1092</v>
      </c>
      <c r="D452" t="s">
        <v>1058</v>
      </c>
      <c r="E452">
        <v>15617645</v>
      </c>
      <c r="F452">
        <v>13535335</v>
      </c>
      <c r="G452" t="s">
        <v>1111</v>
      </c>
      <c r="H452" t="s">
        <v>15</v>
      </c>
    </row>
    <row r="453" spans="1:8" x14ac:dyDescent="0.2">
      <c r="A453" t="s">
        <v>40</v>
      </c>
      <c r="B453" t="s">
        <v>1517</v>
      </c>
      <c r="C453" t="s">
        <v>1092</v>
      </c>
      <c r="D453" t="s">
        <v>1096</v>
      </c>
      <c r="E453">
        <v>0.19189200000000001</v>
      </c>
      <c r="F453">
        <v>0</v>
      </c>
      <c r="G453" t="s">
        <v>1109</v>
      </c>
      <c r="H453" t="s">
        <v>15</v>
      </c>
    </row>
    <row r="454" spans="1:8" x14ac:dyDescent="0.2">
      <c r="A454" t="s">
        <v>40</v>
      </c>
      <c r="B454" t="s">
        <v>1518</v>
      </c>
      <c r="C454" t="s">
        <v>1092</v>
      </c>
      <c r="D454" t="s">
        <v>1052</v>
      </c>
      <c r="E454">
        <v>59152.765185999997</v>
      </c>
      <c r="F454">
        <v>30118</v>
      </c>
      <c r="G454" t="s">
        <v>1109</v>
      </c>
      <c r="H454" t="s">
        <v>15</v>
      </c>
    </row>
    <row r="455" spans="1:8" x14ac:dyDescent="0.2">
      <c r="A455" t="s">
        <v>40</v>
      </c>
      <c r="B455" t="s">
        <v>1519</v>
      </c>
      <c r="C455" t="s">
        <v>1092</v>
      </c>
      <c r="D455" t="s">
        <v>1096</v>
      </c>
      <c r="E455">
        <v>449317.86851900001</v>
      </c>
      <c r="F455">
        <v>251299</v>
      </c>
      <c r="G455" t="s">
        <v>1109</v>
      </c>
      <c r="H455" t="s">
        <v>15</v>
      </c>
    </row>
    <row r="456" spans="1:8" x14ac:dyDescent="0.2">
      <c r="A456" t="s">
        <v>40</v>
      </c>
      <c r="B456" t="s">
        <v>1520</v>
      </c>
      <c r="C456" t="s">
        <v>1092</v>
      </c>
      <c r="D456" t="s">
        <v>1061</v>
      </c>
      <c r="E456">
        <v>35939.610765999998</v>
      </c>
      <c r="F456">
        <v>35233</v>
      </c>
      <c r="G456" t="s">
        <v>1236</v>
      </c>
      <c r="H456" t="s">
        <v>15</v>
      </c>
    </row>
    <row r="457" spans="1:8" x14ac:dyDescent="0.2">
      <c r="A457" t="s">
        <v>40</v>
      </c>
      <c r="B457" t="s">
        <v>1521</v>
      </c>
      <c r="C457" t="s">
        <v>1092</v>
      </c>
      <c r="D457" t="s">
        <v>1058</v>
      </c>
      <c r="E457">
        <v>0</v>
      </c>
      <c r="F457">
        <v>616</v>
      </c>
      <c r="G457" t="s">
        <v>1191</v>
      </c>
      <c r="H457" t="s">
        <v>15</v>
      </c>
    </row>
    <row r="458" spans="1:8" x14ac:dyDescent="0.2">
      <c r="A458" t="s">
        <v>40</v>
      </c>
      <c r="B458" t="s">
        <v>1522</v>
      </c>
      <c r="C458" t="s">
        <v>1092</v>
      </c>
      <c r="D458" t="s">
        <v>1052</v>
      </c>
      <c r="E458">
        <v>121278.64463</v>
      </c>
      <c r="F458">
        <v>72916</v>
      </c>
      <c r="G458" t="s">
        <v>1109</v>
      </c>
      <c r="H458" t="s">
        <v>15</v>
      </c>
    </row>
    <row r="459" spans="1:8" x14ac:dyDescent="0.2">
      <c r="A459" t="s">
        <v>40</v>
      </c>
      <c r="B459" t="s">
        <v>1523</v>
      </c>
      <c r="C459" t="s">
        <v>1092</v>
      </c>
      <c r="D459" t="s">
        <v>1061</v>
      </c>
      <c r="E459">
        <v>22382.913861000001</v>
      </c>
      <c r="F459">
        <v>14958</v>
      </c>
      <c r="G459" t="s">
        <v>1109</v>
      </c>
      <c r="H459" t="s">
        <v>15</v>
      </c>
    </row>
    <row r="460" spans="1:8" x14ac:dyDescent="0.2">
      <c r="A460" t="s">
        <v>40</v>
      </c>
      <c r="B460" t="s">
        <v>1524</v>
      </c>
      <c r="C460" t="s">
        <v>1092</v>
      </c>
      <c r="D460" t="s">
        <v>1058</v>
      </c>
      <c r="E460">
        <v>107611.265287</v>
      </c>
      <c r="F460">
        <v>4</v>
      </c>
      <c r="G460" t="s">
        <v>1107</v>
      </c>
      <c r="H460" t="s">
        <v>15</v>
      </c>
    </row>
    <row r="461" spans="1:8" x14ac:dyDescent="0.2">
      <c r="A461" t="s">
        <v>40</v>
      </c>
      <c r="B461" t="s">
        <v>1525</v>
      </c>
      <c r="C461" t="s">
        <v>1092</v>
      </c>
      <c r="D461" t="s">
        <v>1058</v>
      </c>
      <c r="E461">
        <v>503721.02384699997</v>
      </c>
      <c r="F461">
        <v>303987</v>
      </c>
      <c r="G461" t="s">
        <v>1109</v>
      </c>
      <c r="H461" t="s">
        <v>15</v>
      </c>
    </row>
    <row r="462" spans="1:8" x14ac:dyDescent="0.2">
      <c r="A462" t="s">
        <v>40</v>
      </c>
      <c r="B462" t="s">
        <v>1099</v>
      </c>
      <c r="C462" t="s">
        <v>1100</v>
      </c>
      <c r="D462" t="s">
        <v>35</v>
      </c>
      <c r="E462">
        <v>18255272.645096999</v>
      </c>
      <c r="F462">
        <v>14828901</v>
      </c>
      <c r="G462" t="s">
        <v>35</v>
      </c>
      <c r="H462" t="s">
        <v>15</v>
      </c>
    </row>
    <row r="463" spans="1:8" x14ac:dyDescent="0.2">
      <c r="A463" t="s">
        <v>1526</v>
      </c>
      <c r="B463" t="s">
        <v>1527</v>
      </c>
      <c r="C463" t="s">
        <v>1092</v>
      </c>
      <c r="D463" t="s">
        <v>1064</v>
      </c>
      <c r="E463">
        <v>357235.85275999998</v>
      </c>
      <c r="F463">
        <v>30</v>
      </c>
      <c r="G463" t="s">
        <v>1093</v>
      </c>
      <c r="H463" t="s">
        <v>15</v>
      </c>
    </row>
    <row r="464" spans="1:8" x14ac:dyDescent="0.2">
      <c r="A464" t="s">
        <v>1526</v>
      </c>
      <c r="B464" t="s">
        <v>1099</v>
      </c>
      <c r="C464" t="s">
        <v>1100</v>
      </c>
      <c r="D464" t="s">
        <v>35</v>
      </c>
      <c r="E464">
        <v>357235.85275999998</v>
      </c>
      <c r="F464">
        <v>30</v>
      </c>
      <c r="G464" t="s">
        <v>35</v>
      </c>
      <c r="H464" t="s">
        <v>15</v>
      </c>
    </row>
    <row r="465" spans="1:8" x14ac:dyDescent="0.2">
      <c r="A465" t="s">
        <v>1528</v>
      </c>
      <c r="B465" t="s">
        <v>1529</v>
      </c>
      <c r="C465" t="s">
        <v>1092</v>
      </c>
      <c r="D465" t="s">
        <v>1052</v>
      </c>
      <c r="E465">
        <v>303153.68</v>
      </c>
      <c r="F465">
        <v>130</v>
      </c>
      <c r="G465" t="s">
        <v>1093</v>
      </c>
      <c r="H465" t="s">
        <v>15</v>
      </c>
    </row>
    <row r="466" spans="1:8" x14ac:dyDescent="0.2">
      <c r="A466" t="s">
        <v>1528</v>
      </c>
      <c r="B466" t="s">
        <v>1099</v>
      </c>
      <c r="C466" t="s">
        <v>1100</v>
      </c>
      <c r="D466" t="s">
        <v>35</v>
      </c>
      <c r="E466">
        <v>303153.68</v>
      </c>
      <c r="F466">
        <v>130</v>
      </c>
      <c r="G466" t="s">
        <v>35</v>
      </c>
      <c r="H466" t="s">
        <v>15</v>
      </c>
    </row>
    <row r="467" spans="1:8" x14ac:dyDescent="0.2">
      <c r="A467" t="s">
        <v>1530</v>
      </c>
      <c r="B467" t="s">
        <v>1531</v>
      </c>
      <c r="C467" t="s">
        <v>1092</v>
      </c>
      <c r="D467" t="s">
        <v>1058</v>
      </c>
      <c r="E467">
        <v>449625</v>
      </c>
      <c r="F467">
        <v>102</v>
      </c>
      <c r="G467" t="s">
        <v>1093</v>
      </c>
      <c r="H467" t="s">
        <v>15</v>
      </c>
    </row>
    <row r="468" spans="1:8" x14ac:dyDescent="0.2">
      <c r="A468" t="s">
        <v>1530</v>
      </c>
      <c r="B468" t="s">
        <v>1099</v>
      </c>
      <c r="C468" t="s">
        <v>1100</v>
      </c>
      <c r="D468" t="s">
        <v>35</v>
      </c>
      <c r="E468">
        <v>449625</v>
      </c>
      <c r="F468">
        <v>102</v>
      </c>
      <c r="G468" t="s">
        <v>35</v>
      </c>
      <c r="H468" t="s">
        <v>15</v>
      </c>
    </row>
    <row r="469" spans="1:8" x14ac:dyDescent="0.2">
      <c r="A469" t="s">
        <v>1532</v>
      </c>
      <c r="B469" t="s">
        <v>1533</v>
      </c>
      <c r="C469" t="s">
        <v>1092</v>
      </c>
      <c r="D469" t="s">
        <v>1058</v>
      </c>
      <c r="E469">
        <v>111852.613</v>
      </c>
      <c r="F469">
        <v>10</v>
      </c>
      <c r="G469" t="s">
        <v>1107</v>
      </c>
      <c r="H469" t="s">
        <v>15</v>
      </c>
    </row>
    <row r="470" spans="1:8" x14ac:dyDescent="0.2">
      <c r="A470" t="s">
        <v>1532</v>
      </c>
      <c r="B470" t="s">
        <v>1534</v>
      </c>
      <c r="C470" t="s">
        <v>1092</v>
      </c>
      <c r="D470" t="s">
        <v>1058</v>
      </c>
      <c r="E470">
        <v>186851.978</v>
      </c>
      <c r="F470">
        <v>23</v>
      </c>
      <c r="G470" t="s">
        <v>1107</v>
      </c>
      <c r="H470" t="s">
        <v>15</v>
      </c>
    </row>
    <row r="471" spans="1:8" x14ac:dyDescent="0.2">
      <c r="A471" t="s">
        <v>1532</v>
      </c>
      <c r="B471" t="s">
        <v>1535</v>
      </c>
      <c r="C471" t="s">
        <v>1092</v>
      </c>
      <c r="D471" t="s">
        <v>1058</v>
      </c>
      <c r="E471">
        <v>12647.124599999999</v>
      </c>
      <c r="F471">
        <v>9</v>
      </c>
      <c r="G471" t="s">
        <v>1107</v>
      </c>
      <c r="H471" t="s">
        <v>15</v>
      </c>
    </row>
    <row r="472" spans="1:8" x14ac:dyDescent="0.2">
      <c r="A472" t="s">
        <v>1532</v>
      </c>
      <c r="B472" t="s">
        <v>1536</v>
      </c>
      <c r="C472" t="s">
        <v>1092</v>
      </c>
      <c r="D472" t="s">
        <v>1096</v>
      </c>
      <c r="E472">
        <v>257644.06599999999</v>
      </c>
      <c r="F472">
        <v>51</v>
      </c>
      <c r="G472" t="s">
        <v>1093</v>
      </c>
      <c r="H472" t="s">
        <v>15</v>
      </c>
    </row>
    <row r="473" spans="1:8" x14ac:dyDescent="0.2">
      <c r="A473" t="s">
        <v>1532</v>
      </c>
      <c r="B473" t="s">
        <v>1537</v>
      </c>
      <c r="C473" t="s">
        <v>1092</v>
      </c>
      <c r="D473" t="s">
        <v>1052</v>
      </c>
      <c r="E473">
        <v>143829.73699999999</v>
      </c>
      <c r="F473">
        <v>36</v>
      </c>
      <c r="G473" t="s">
        <v>1093</v>
      </c>
      <c r="H473" t="s">
        <v>15</v>
      </c>
    </row>
    <row r="474" spans="1:8" x14ac:dyDescent="0.2">
      <c r="A474" t="s">
        <v>1532</v>
      </c>
      <c r="B474" t="s">
        <v>1099</v>
      </c>
      <c r="C474" t="s">
        <v>1100</v>
      </c>
      <c r="D474" t="s">
        <v>35</v>
      </c>
      <c r="E474">
        <v>712825.51859999995</v>
      </c>
      <c r="F474">
        <v>129</v>
      </c>
      <c r="G474" t="s">
        <v>35</v>
      </c>
      <c r="H474" t="s">
        <v>15</v>
      </c>
    </row>
    <row r="475" spans="1:8" x14ac:dyDescent="0.2">
      <c r="A475" t="s">
        <v>151</v>
      </c>
      <c r="B475" t="s">
        <v>1538</v>
      </c>
      <c r="C475" t="s">
        <v>1092</v>
      </c>
      <c r="D475" t="s">
        <v>1052</v>
      </c>
      <c r="E475">
        <v>1688399.8</v>
      </c>
      <c r="F475">
        <v>677090</v>
      </c>
      <c r="G475" t="s">
        <v>1109</v>
      </c>
      <c r="H475" t="s">
        <v>15</v>
      </c>
    </row>
    <row r="476" spans="1:8" x14ac:dyDescent="0.2">
      <c r="A476" t="s">
        <v>151</v>
      </c>
      <c r="B476" t="s">
        <v>1099</v>
      </c>
      <c r="C476" t="s">
        <v>1100</v>
      </c>
      <c r="D476" t="s">
        <v>35</v>
      </c>
      <c r="E476">
        <v>1688399.8</v>
      </c>
      <c r="F476">
        <v>677090</v>
      </c>
      <c r="G476" t="s">
        <v>35</v>
      </c>
      <c r="H476" t="s">
        <v>15</v>
      </c>
    </row>
    <row r="477" spans="1:8" x14ac:dyDescent="0.2">
      <c r="A477" t="s">
        <v>51</v>
      </c>
      <c r="B477" t="s">
        <v>1539</v>
      </c>
      <c r="C477" t="s">
        <v>1092</v>
      </c>
      <c r="D477" t="s">
        <v>1126</v>
      </c>
      <c r="E477">
        <v>180410.69</v>
      </c>
      <c r="F477">
        <v>108551</v>
      </c>
      <c r="G477" t="s">
        <v>1109</v>
      </c>
      <c r="H477" t="s">
        <v>15</v>
      </c>
    </row>
    <row r="478" spans="1:8" x14ac:dyDescent="0.2">
      <c r="A478" t="s">
        <v>51</v>
      </c>
      <c r="B478" t="s">
        <v>1540</v>
      </c>
      <c r="C478" t="s">
        <v>1092</v>
      </c>
      <c r="D478" t="s">
        <v>1126</v>
      </c>
      <c r="E478">
        <v>569196.67200000002</v>
      </c>
      <c r="F478">
        <v>289565</v>
      </c>
      <c r="G478" t="s">
        <v>1109</v>
      </c>
      <c r="H478" t="s">
        <v>15</v>
      </c>
    </row>
    <row r="479" spans="1:8" x14ac:dyDescent="0.2">
      <c r="A479" t="s">
        <v>51</v>
      </c>
      <c r="B479" t="s">
        <v>1541</v>
      </c>
      <c r="C479" t="s">
        <v>1092</v>
      </c>
      <c r="D479" t="s">
        <v>1126</v>
      </c>
      <c r="E479">
        <v>371400.2</v>
      </c>
      <c r="F479">
        <v>197559</v>
      </c>
      <c r="G479" t="s">
        <v>1109</v>
      </c>
      <c r="H479" t="s">
        <v>15</v>
      </c>
    </row>
    <row r="480" spans="1:8" x14ac:dyDescent="0.2">
      <c r="A480" t="s">
        <v>51</v>
      </c>
      <c r="B480" t="s">
        <v>1542</v>
      </c>
      <c r="C480" t="s">
        <v>1092</v>
      </c>
      <c r="D480" t="s">
        <v>1126</v>
      </c>
      <c r="E480">
        <v>705557.21400000004</v>
      </c>
      <c r="F480">
        <v>410351</v>
      </c>
      <c r="G480" t="s">
        <v>1109</v>
      </c>
      <c r="H480" t="s">
        <v>15</v>
      </c>
    </row>
    <row r="481" spans="1:8" x14ac:dyDescent="0.2">
      <c r="A481" t="s">
        <v>51</v>
      </c>
      <c r="B481" t="s">
        <v>1099</v>
      </c>
      <c r="C481" t="s">
        <v>1100</v>
      </c>
      <c r="D481" t="s">
        <v>35</v>
      </c>
      <c r="E481">
        <v>1826564.7760000001</v>
      </c>
      <c r="F481">
        <v>1006026</v>
      </c>
      <c r="G481" t="s">
        <v>35</v>
      </c>
      <c r="H481" t="s">
        <v>15</v>
      </c>
    </row>
    <row r="482" spans="1:8" x14ac:dyDescent="0.2">
      <c r="A482" t="s">
        <v>1543</v>
      </c>
      <c r="B482" t="s">
        <v>1544</v>
      </c>
      <c r="C482" t="s">
        <v>1092</v>
      </c>
      <c r="D482" t="s">
        <v>1052</v>
      </c>
      <c r="E482">
        <v>38462.171329999997</v>
      </c>
      <c r="F482">
        <v>26704</v>
      </c>
      <c r="G482" t="s">
        <v>1109</v>
      </c>
      <c r="H482" t="s">
        <v>15</v>
      </c>
    </row>
    <row r="483" spans="1:8" x14ac:dyDescent="0.2">
      <c r="A483" t="s">
        <v>1543</v>
      </c>
      <c r="B483" t="s">
        <v>1099</v>
      </c>
      <c r="C483" t="s">
        <v>1100</v>
      </c>
      <c r="D483" t="s">
        <v>35</v>
      </c>
      <c r="E483">
        <v>38462.171329999997</v>
      </c>
      <c r="F483">
        <v>26704</v>
      </c>
      <c r="G483" t="s">
        <v>35</v>
      </c>
      <c r="H483" t="s">
        <v>15</v>
      </c>
    </row>
    <row r="484" spans="1:8" x14ac:dyDescent="0.2">
      <c r="A484" t="s">
        <v>353</v>
      </c>
      <c r="B484" t="s">
        <v>1545</v>
      </c>
      <c r="C484" t="s">
        <v>1092</v>
      </c>
      <c r="D484" t="s">
        <v>1223</v>
      </c>
      <c r="E484">
        <v>1640.691</v>
      </c>
      <c r="F484">
        <v>1222</v>
      </c>
      <c r="G484" t="s">
        <v>1236</v>
      </c>
      <c r="H484" t="s">
        <v>15</v>
      </c>
    </row>
    <row r="485" spans="1:8" x14ac:dyDescent="0.2">
      <c r="A485" t="s">
        <v>353</v>
      </c>
      <c r="B485" t="s">
        <v>1546</v>
      </c>
      <c r="C485" t="s">
        <v>1092</v>
      </c>
      <c r="D485" t="s">
        <v>1223</v>
      </c>
      <c r="E485">
        <v>423.22</v>
      </c>
      <c r="F485">
        <v>390</v>
      </c>
      <c r="G485" t="s">
        <v>1236</v>
      </c>
      <c r="H485" t="s">
        <v>15</v>
      </c>
    </row>
    <row r="486" spans="1:8" x14ac:dyDescent="0.2">
      <c r="A486" t="s">
        <v>353</v>
      </c>
      <c r="B486" t="s">
        <v>1547</v>
      </c>
      <c r="C486" t="s">
        <v>1092</v>
      </c>
      <c r="D486" t="s">
        <v>1223</v>
      </c>
      <c r="E486">
        <v>4646.6278160000002</v>
      </c>
      <c r="F486">
        <v>2935</v>
      </c>
      <c r="G486" t="s">
        <v>1236</v>
      </c>
      <c r="H486" t="s">
        <v>15</v>
      </c>
    </row>
    <row r="487" spans="1:8" x14ac:dyDescent="0.2">
      <c r="A487" t="s">
        <v>353</v>
      </c>
      <c r="B487" t="s">
        <v>1548</v>
      </c>
      <c r="C487" t="s">
        <v>1092</v>
      </c>
      <c r="D487" t="s">
        <v>1223</v>
      </c>
      <c r="E487">
        <v>890.97092299999997</v>
      </c>
      <c r="F487">
        <v>564</v>
      </c>
      <c r="G487" t="s">
        <v>1236</v>
      </c>
      <c r="H487" t="s">
        <v>15</v>
      </c>
    </row>
    <row r="488" spans="1:8" x14ac:dyDescent="0.2">
      <c r="A488" t="s">
        <v>353</v>
      </c>
      <c r="B488" t="s">
        <v>1549</v>
      </c>
      <c r="C488" t="s">
        <v>1092</v>
      </c>
      <c r="D488" t="s">
        <v>1223</v>
      </c>
      <c r="E488">
        <v>1160.5249160000001</v>
      </c>
      <c r="F488">
        <v>717</v>
      </c>
      <c r="G488" t="s">
        <v>1236</v>
      </c>
      <c r="H488" t="s">
        <v>15</v>
      </c>
    </row>
    <row r="489" spans="1:8" x14ac:dyDescent="0.2">
      <c r="A489" t="s">
        <v>353</v>
      </c>
      <c r="B489" t="s">
        <v>1550</v>
      </c>
      <c r="C489" t="s">
        <v>1092</v>
      </c>
      <c r="D489" t="s">
        <v>1223</v>
      </c>
      <c r="E489">
        <v>980.30411600000002</v>
      </c>
      <c r="F489">
        <v>601</v>
      </c>
      <c r="G489" t="s">
        <v>1236</v>
      </c>
      <c r="H489" t="s">
        <v>15</v>
      </c>
    </row>
    <row r="490" spans="1:8" x14ac:dyDescent="0.2">
      <c r="A490" t="s">
        <v>353</v>
      </c>
      <c r="B490" t="s">
        <v>1551</v>
      </c>
      <c r="C490" t="s">
        <v>1092</v>
      </c>
      <c r="D490" t="s">
        <v>1223</v>
      </c>
      <c r="E490">
        <v>987.548947</v>
      </c>
      <c r="F490">
        <v>590</v>
      </c>
      <c r="G490" t="s">
        <v>1236</v>
      </c>
      <c r="H490" t="s">
        <v>15</v>
      </c>
    </row>
    <row r="491" spans="1:8" x14ac:dyDescent="0.2">
      <c r="A491" t="s">
        <v>353</v>
      </c>
      <c r="B491" t="s">
        <v>1552</v>
      </c>
      <c r="C491" t="s">
        <v>1092</v>
      </c>
      <c r="D491" t="s">
        <v>1223</v>
      </c>
      <c r="E491">
        <v>6592.7148200000001</v>
      </c>
      <c r="F491">
        <v>4229</v>
      </c>
      <c r="G491" t="s">
        <v>1236</v>
      </c>
      <c r="H491" t="s">
        <v>15</v>
      </c>
    </row>
    <row r="492" spans="1:8" x14ac:dyDescent="0.2">
      <c r="A492" t="s">
        <v>353</v>
      </c>
      <c r="B492" t="s">
        <v>1553</v>
      </c>
      <c r="C492" t="s">
        <v>1092</v>
      </c>
      <c r="D492" t="s">
        <v>1223</v>
      </c>
      <c r="E492">
        <v>311.95999999999998</v>
      </c>
      <c r="F492">
        <v>300</v>
      </c>
      <c r="G492" t="s">
        <v>1236</v>
      </c>
      <c r="H492" t="s">
        <v>15</v>
      </c>
    </row>
    <row r="493" spans="1:8" x14ac:dyDescent="0.2">
      <c r="A493" t="s">
        <v>353</v>
      </c>
      <c r="B493" t="s">
        <v>1554</v>
      </c>
      <c r="C493" t="s">
        <v>1092</v>
      </c>
      <c r="D493" t="s">
        <v>1223</v>
      </c>
      <c r="E493">
        <v>1403.591201</v>
      </c>
      <c r="F493">
        <v>964</v>
      </c>
      <c r="G493" t="s">
        <v>1236</v>
      </c>
      <c r="H493" t="s">
        <v>15</v>
      </c>
    </row>
    <row r="494" spans="1:8" x14ac:dyDescent="0.2">
      <c r="A494" t="s">
        <v>353</v>
      </c>
      <c r="B494" t="s">
        <v>1555</v>
      </c>
      <c r="C494" t="s">
        <v>1092</v>
      </c>
      <c r="D494" t="s">
        <v>1223</v>
      </c>
      <c r="E494">
        <v>1735.58</v>
      </c>
      <c r="F494">
        <v>1300</v>
      </c>
      <c r="G494" t="s">
        <v>1236</v>
      </c>
      <c r="H494" t="s">
        <v>15</v>
      </c>
    </row>
    <row r="495" spans="1:8" x14ac:dyDescent="0.2">
      <c r="A495" t="s">
        <v>353</v>
      </c>
      <c r="B495" t="s">
        <v>1556</v>
      </c>
      <c r="C495" t="s">
        <v>1092</v>
      </c>
      <c r="D495" t="s">
        <v>1223</v>
      </c>
      <c r="E495">
        <v>3277.0509999999999</v>
      </c>
      <c r="F495">
        <v>2345</v>
      </c>
      <c r="G495" t="s">
        <v>1109</v>
      </c>
      <c r="H495" t="s">
        <v>15</v>
      </c>
    </row>
    <row r="496" spans="1:8" x14ac:dyDescent="0.2">
      <c r="A496" t="s">
        <v>353</v>
      </c>
      <c r="B496" t="s">
        <v>1557</v>
      </c>
      <c r="C496" t="s">
        <v>1092</v>
      </c>
      <c r="D496" t="s">
        <v>1223</v>
      </c>
      <c r="E496">
        <v>644.38</v>
      </c>
      <c r="F496">
        <v>477</v>
      </c>
      <c r="G496" t="s">
        <v>1236</v>
      </c>
      <c r="H496" t="s">
        <v>15</v>
      </c>
    </row>
    <row r="497" spans="1:8" x14ac:dyDescent="0.2">
      <c r="A497" t="s">
        <v>353</v>
      </c>
      <c r="B497" t="s">
        <v>1558</v>
      </c>
      <c r="C497" t="s">
        <v>1092</v>
      </c>
      <c r="D497" t="s">
        <v>1223</v>
      </c>
      <c r="E497">
        <v>844.91099999999994</v>
      </c>
      <c r="F497">
        <v>705</v>
      </c>
      <c r="G497" t="s">
        <v>1236</v>
      </c>
      <c r="H497" t="s">
        <v>15</v>
      </c>
    </row>
    <row r="498" spans="1:8" x14ac:dyDescent="0.2">
      <c r="A498" t="s">
        <v>353</v>
      </c>
      <c r="B498" t="s">
        <v>1559</v>
      </c>
      <c r="C498" t="s">
        <v>1092</v>
      </c>
      <c r="D498" t="s">
        <v>1223</v>
      </c>
      <c r="E498">
        <v>338.851</v>
      </c>
      <c r="F498">
        <v>287</v>
      </c>
      <c r="G498" t="s">
        <v>1236</v>
      </c>
      <c r="H498" t="s">
        <v>15</v>
      </c>
    </row>
    <row r="499" spans="1:8" x14ac:dyDescent="0.2">
      <c r="A499" t="s">
        <v>353</v>
      </c>
      <c r="B499" t="s">
        <v>1560</v>
      </c>
      <c r="C499" t="s">
        <v>1092</v>
      </c>
      <c r="D499" t="s">
        <v>1223</v>
      </c>
      <c r="E499">
        <v>9088.6049999999996</v>
      </c>
      <c r="F499">
        <v>5873</v>
      </c>
      <c r="G499" t="s">
        <v>1236</v>
      </c>
      <c r="H499" t="s">
        <v>15</v>
      </c>
    </row>
    <row r="500" spans="1:8" x14ac:dyDescent="0.2">
      <c r="A500" t="s">
        <v>353</v>
      </c>
      <c r="B500" t="s">
        <v>1561</v>
      </c>
      <c r="C500" t="s">
        <v>1092</v>
      </c>
      <c r="D500" t="s">
        <v>1223</v>
      </c>
      <c r="E500">
        <v>3875.7767690000001</v>
      </c>
      <c r="F500">
        <v>2413</v>
      </c>
      <c r="G500" t="s">
        <v>1236</v>
      </c>
      <c r="H500" t="s">
        <v>15</v>
      </c>
    </row>
    <row r="501" spans="1:8" x14ac:dyDescent="0.2">
      <c r="A501" t="s">
        <v>353</v>
      </c>
      <c r="B501" t="s">
        <v>1562</v>
      </c>
      <c r="C501" t="s">
        <v>1092</v>
      </c>
      <c r="D501" t="s">
        <v>1223</v>
      </c>
      <c r="E501">
        <v>5831.3879999999999</v>
      </c>
      <c r="F501">
        <v>3691</v>
      </c>
      <c r="G501" t="s">
        <v>1236</v>
      </c>
      <c r="H501" t="s">
        <v>15</v>
      </c>
    </row>
    <row r="502" spans="1:8" x14ac:dyDescent="0.2">
      <c r="A502" t="s">
        <v>353</v>
      </c>
      <c r="B502" t="s">
        <v>1563</v>
      </c>
      <c r="C502" t="s">
        <v>1092</v>
      </c>
      <c r="D502" t="s">
        <v>1223</v>
      </c>
      <c r="E502">
        <v>667.58</v>
      </c>
      <c r="F502">
        <v>560</v>
      </c>
      <c r="G502" t="s">
        <v>1236</v>
      </c>
      <c r="H502" t="s">
        <v>15</v>
      </c>
    </row>
    <row r="503" spans="1:8" x14ac:dyDescent="0.2">
      <c r="A503" t="s">
        <v>353</v>
      </c>
      <c r="B503" t="s">
        <v>1564</v>
      </c>
      <c r="C503" t="s">
        <v>1092</v>
      </c>
      <c r="D503" t="s">
        <v>1223</v>
      </c>
      <c r="E503">
        <v>320.53100000000001</v>
      </c>
      <c r="F503">
        <v>279</v>
      </c>
      <c r="G503" t="s">
        <v>1236</v>
      </c>
      <c r="H503" t="s">
        <v>15</v>
      </c>
    </row>
    <row r="504" spans="1:8" x14ac:dyDescent="0.2">
      <c r="A504" t="s">
        <v>353</v>
      </c>
      <c r="B504" t="s">
        <v>1565</v>
      </c>
      <c r="C504" t="s">
        <v>1092</v>
      </c>
      <c r="D504" t="s">
        <v>1223</v>
      </c>
      <c r="E504">
        <v>635.34</v>
      </c>
      <c r="F504">
        <v>458</v>
      </c>
      <c r="G504" t="s">
        <v>1236</v>
      </c>
      <c r="H504" t="s">
        <v>15</v>
      </c>
    </row>
    <row r="505" spans="1:8" x14ac:dyDescent="0.2">
      <c r="A505" t="s">
        <v>353</v>
      </c>
      <c r="B505" t="s">
        <v>1566</v>
      </c>
      <c r="C505" t="s">
        <v>1092</v>
      </c>
      <c r="D505" t="s">
        <v>1223</v>
      </c>
      <c r="E505">
        <v>2809.2910000000002</v>
      </c>
      <c r="F505">
        <v>1970</v>
      </c>
      <c r="G505" t="s">
        <v>1236</v>
      </c>
      <c r="H505" t="s">
        <v>15</v>
      </c>
    </row>
    <row r="506" spans="1:8" x14ac:dyDescent="0.2">
      <c r="A506" t="s">
        <v>353</v>
      </c>
      <c r="B506" t="s">
        <v>1567</v>
      </c>
      <c r="C506" t="s">
        <v>1092</v>
      </c>
      <c r="D506" t="s">
        <v>1223</v>
      </c>
      <c r="E506">
        <v>1629.2161779999999</v>
      </c>
      <c r="F506">
        <v>955</v>
      </c>
      <c r="G506" t="s">
        <v>1236</v>
      </c>
      <c r="H506" t="s">
        <v>15</v>
      </c>
    </row>
    <row r="507" spans="1:8" x14ac:dyDescent="0.2">
      <c r="A507" t="s">
        <v>353</v>
      </c>
      <c r="B507" t="s">
        <v>1568</v>
      </c>
      <c r="C507" t="s">
        <v>1092</v>
      </c>
      <c r="D507" t="s">
        <v>1223</v>
      </c>
      <c r="E507">
        <v>3417.3724259999999</v>
      </c>
      <c r="F507">
        <v>1982</v>
      </c>
      <c r="G507" t="s">
        <v>1236</v>
      </c>
      <c r="H507" t="s">
        <v>15</v>
      </c>
    </row>
    <row r="508" spans="1:8" x14ac:dyDescent="0.2">
      <c r="A508" t="s">
        <v>353</v>
      </c>
      <c r="B508" t="s">
        <v>1569</v>
      </c>
      <c r="C508" t="s">
        <v>1092</v>
      </c>
      <c r="D508" t="s">
        <v>1223</v>
      </c>
      <c r="E508">
        <v>1084.771</v>
      </c>
      <c r="F508">
        <v>758</v>
      </c>
      <c r="G508" t="s">
        <v>1236</v>
      </c>
      <c r="H508" t="s">
        <v>15</v>
      </c>
    </row>
    <row r="509" spans="1:8" x14ac:dyDescent="0.2">
      <c r="A509" t="s">
        <v>353</v>
      </c>
      <c r="B509" t="s">
        <v>1570</v>
      </c>
      <c r="C509" t="s">
        <v>1092</v>
      </c>
      <c r="D509" t="s">
        <v>1223</v>
      </c>
      <c r="E509">
        <v>10812.209993</v>
      </c>
      <c r="F509">
        <v>6560</v>
      </c>
      <c r="G509" t="s">
        <v>1236</v>
      </c>
      <c r="H509" t="s">
        <v>15</v>
      </c>
    </row>
    <row r="510" spans="1:8" x14ac:dyDescent="0.2">
      <c r="A510" t="s">
        <v>353</v>
      </c>
      <c r="B510" t="s">
        <v>1571</v>
      </c>
      <c r="C510" t="s">
        <v>1092</v>
      </c>
      <c r="D510" t="s">
        <v>1223</v>
      </c>
      <c r="E510">
        <v>2680</v>
      </c>
      <c r="F510">
        <v>2071</v>
      </c>
      <c r="G510" t="s">
        <v>1236</v>
      </c>
      <c r="H510" t="s">
        <v>15</v>
      </c>
    </row>
    <row r="511" spans="1:8" x14ac:dyDescent="0.2">
      <c r="A511" t="s">
        <v>353</v>
      </c>
      <c r="B511" t="s">
        <v>1572</v>
      </c>
      <c r="C511" t="s">
        <v>1092</v>
      </c>
      <c r="D511" t="s">
        <v>1223</v>
      </c>
      <c r="E511">
        <v>4060.8600080000001</v>
      </c>
      <c r="F511">
        <v>2568</v>
      </c>
      <c r="G511" t="s">
        <v>1236</v>
      </c>
      <c r="H511" t="s">
        <v>15</v>
      </c>
    </row>
    <row r="512" spans="1:8" x14ac:dyDescent="0.2">
      <c r="A512" t="s">
        <v>353</v>
      </c>
      <c r="B512" t="s">
        <v>1573</v>
      </c>
      <c r="C512" t="s">
        <v>1092</v>
      </c>
      <c r="D512" t="s">
        <v>1223</v>
      </c>
      <c r="E512">
        <v>900.49721499999998</v>
      </c>
      <c r="F512">
        <v>562</v>
      </c>
      <c r="G512" t="s">
        <v>1236</v>
      </c>
      <c r="H512" t="s">
        <v>15</v>
      </c>
    </row>
    <row r="513" spans="1:8" x14ac:dyDescent="0.2">
      <c r="A513" t="s">
        <v>353</v>
      </c>
      <c r="B513" t="s">
        <v>1574</v>
      </c>
      <c r="C513" t="s">
        <v>1092</v>
      </c>
      <c r="D513" t="s">
        <v>1223</v>
      </c>
      <c r="E513">
        <v>1412.7869909999999</v>
      </c>
      <c r="F513">
        <v>905</v>
      </c>
      <c r="G513" t="s">
        <v>1236</v>
      </c>
      <c r="H513" t="s">
        <v>15</v>
      </c>
    </row>
    <row r="514" spans="1:8" x14ac:dyDescent="0.2">
      <c r="A514" t="s">
        <v>353</v>
      </c>
      <c r="B514" t="s">
        <v>1575</v>
      </c>
      <c r="C514" t="s">
        <v>1092</v>
      </c>
      <c r="D514" t="s">
        <v>1223</v>
      </c>
      <c r="E514">
        <v>2442.8097870000001</v>
      </c>
      <c r="F514">
        <v>1500</v>
      </c>
      <c r="G514" t="s">
        <v>1236</v>
      </c>
      <c r="H514" t="s">
        <v>15</v>
      </c>
    </row>
    <row r="515" spans="1:8" x14ac:dyDescent="0.2">
      <c r="A515" t="s">
        <v>353</v>
      </c>
      <c r="B515" t="s">
        <v>1576</v>
      </c>
      <c r="C515" t="s">
        <v>1092</v>
      </c>
      <c r="D515" t="s">
        <v>1223</v>
      </c>
      <c r="E515">
        <v>3383.9182730000002</v>
      </c>
      <c r="F515">
        <v>1308</v>
      </c>
      <c r="G515" t="s">
        <v>1236</v>
      </c>
      <c r="H515" t="s">
        <v>15</v>
      </c>
    </row>
    <row r="516" spans="1:8" x14ac:dyDescent="0.2">
      <c r="A516" t="s">
        <v>353</v>
      </c>
      <c r="B516" t="s">
        <v>1577</v>
      </c>
      <c r="C516" t="s">
        <v>1092</v>
      </c>
      <c r="D516" t="s">
        <v>1223</v>
      </c>
      <c r="E516">
        <v>7748.6027119999999</v>
      </c>
      <c r="F516">
        <v>4740</v>
      </c>
      <c r="G516" t="s">
        <v>1236</v>
      </c>
      <c r="H516" t="s">
        <v>15</v>
      </c>
    </row>
    <row r="517" spans="1:8" x14ac:dyDescent="0.2">
      <c r="A517" t="s">
        <v>353</v>
      </c>
      <c r="B517" t="s">
        <v>1578</v>
      </c>
      <c r="C517" t="s">
        <v>1092</v>
      </c>
      <c r="D517" t="s">
        <v>1223</v>
      </c>
      <c r="E517">
        <v>5808.75522</v>
      </c>
      <c r="F517">
        <v>3842</v>
      </c>
      <c r="G517" t="s">
        <v>1236</v>
      </c>
      <c r="H517" t="s">
        <v>15</v>
      </c>
    </row>
    <row r="518" spans="1:8" x14ac:dyDescent="0.2">
      <c r="A518" t="s">
        <v>353</v>
      </c>
      <c r="B518" t="s">
        <v>1579</v>
      </c>
      <c r="C518" t="s">
        <v>1092</v>
      </c>
      <c r="D518" t="s">
        <v>1223</v>
      </c>
      <c r="E518">
        <v>3100</v>
      </c>
      <c r="F518">
        <v>2200</v>
      </c>
      <c r="G518" t="s">
        <v>1236</v>
      </c>
      <c r="H518" t="s">
        <v>15</v>
      </c>
    </row>
    <row r="519" spans="1:8" x14ac:dyDescent="0.2">
      <c r="A519" t="s">
        <v>353</v>
      </c>
      <c r="B519" t="s">
        <v>1580</v>
      </c>
      <c r="C519" t="s">
        <v>1092</v>
      </c>
      <c r="D519" t="s">
        <v>1223</v>
      </c>
      <c r="E519">
        <v>1081.1821580000001</v>
      </c>
      <c r="F519">
        <v>616</v>
      </c>
      <c r="G519" t="s">
        <v>1236</v>
      </c>
      <c r="H519" t="s">
        <v>15</v>
      </c>
    </row>
    <row r="520" spans="1:8" x14ac:dyDescent="0.2">
      <c r="A520" t="s">
        <v>353</v>
      </c>
      <c r="B520" t="s">
        <v>1581</v>
      </c>
      <c r="C520" t="s">
        <v>1092</v>
      </c>
      <c r="D520" t="s">
        <v>1223</v>
      </c>
      <c r="E520">
        <v>799.76</v>
      </c>
      <c r="F520">
        <v>587</v>
      </c>
      <c r="G520" t="s">
        <v>1236</v>
      </c>
      <c r="H520" t="s">
        <v>15</v>
      </c>
    </row>
    <row r="521" spans="1:8" x14ac:dyDescent="0.2">
      <c r="A521" t="s">
        <v>353</v>
      </c>
      <c r="B521" t="s">
        <v>1582</v>
      </c>
      <c r="C521" t="s">
        <v>1092</v>
      </c>
      <c r="D521" t="s">
        <v>1223</v>
      </c>
      <c r="E521">
        <v>1764.36</v>
      </c>
      <c r="F521">
        <v>1263</v>
      </c>
      <c r="G521" t="s">
        <v>1236</v>
      </c>
      <c r="H521" t="s">
        <v>15</v>
      </c>
    </row>
    <row r="522" spans="1:8" x14ac:dyDescent="0.2">
      <c r="A522" t="s">
        <v>353</v>
      </c>
      <c r="B522" t="s">
        <v>1583</v>
      </c>
      <c r="C522" t="s">
        <v>1092</v>
      </c>
      <c r="D522" t="s">
        <v>1223</v>
      </c>
      <c r="E522">
        <v>2029.0909999999999</v>
      </c>
      <c r="F522">
        <v>1451</v>
      </c>
      <c r="G522" t="s">
        <v>1236</v>
      </c>
      <c r="H522" t="s">
        <v>15</v>
      </c>
    </row>
    <row r="523" spans="1:8" x14ac:dyDescent="0.2">
      <c r="A523" t="s">
        <v>353</v>
      </c>
      <c r="B523" t="s">
        <v>1584</v>
      </c>
      <c r="C523" t="s">
        <v>1092</v>
      </c>
      <c r="D523" t="s">
        <v>1223</v>
      </c>
      <c r="E523">
        <v>1270.471</v>
      </c>
      <c r="F523">
        <v>929</v>
      </c>
      <c r="G523" t="s">
        <v>1236</v>
      </c>
      <c r="H523" t="s">
        <v>15</v>
      </c>
    </row>
    <row r="524" spans="1:8" x14ac:dyDescent="0.2">
      <c r="A524" t="s">
        <v>353</v>
      </c>
      <c r="B524" t="s">
        <v>1585</v>
      </c>
      <c r="C524" t="s">
        <v>1092</v>
      </c>
      <c r="D524" t="s">
        <v>1223</v>
      </c>
      <c r="E524">
        <v>617.14</v>
      </c>
      <c r="F524">
        <v>489</v>
      </c>
      <c r="G524" t="s">
        <v>1236</v>
      </c>
      <c r="H524" t="s">
        <v>15</v>
      </c>
    </row>
    <row r="525" spans="1:8" x14ac:dyDescent="0.2">
      <c r="A525" t="s">
        <v>353</v>
      </c>
      <c r="B525" t="s">
        <v>1586</v>
      </c>
      <c r="C525" t="s">
        <v>1092</v>
      </c>
      <c r="D525" t="s">
        <v>1223</v>
      </c>
      <c r="E525">
        <v>2362.1709999999998</v>
      </c>
      <c r="F525">
        <v>1836</v>
      </c>
      <c r="G525" t="s">
        <v>1236</v>
      </c>
      <c r="H525" t="s">
        <v>15</v>
      </c>
    </row>
    <row r="526" spans="1:8" x14ac:dyDescent="0.2">
      <c r="A526" t="s">
        <v>353</v>
      </c>
      <c r="B526" t="s">
        <v>1587</v>
      </c>
      <c r="C526" t="s">
        <v>1092</v>
      </c>
      <c r="D526" t="s">
        <v>1223</v>
      </c>
      <c r="E526">
        <v>4800.9615160000003</v>
      </c>
      <c r="F526">
        <v>3007</v>
      </c>
      <c r="G526" t="s">
        <v>1236</v>
      </c>
      <c r="H526" t="s">
        <v>15</v>
      </c>
    </row>
    <row r="527" spans="1:8" x14ac:dyDescent="0.2">
      <c r="A527" t="s">
        <v>353</v>
      </c>
      <c r="B527" t="s">
        <v>1588</v>
      </c>
      <c r="C527" t="s">
        <v>1092</v>
      </c>
      <c r="D527" t="s">
        <v>1223</v>
      </c>
      <c r="E527">
        <v>1132.951</v>
      </c>
      <c r="F527">
        <v>830</v>
      </c>
      <c r="G527" t="s">
        <v>1236</v>
      </c>
      <c r="H527" t="s">
        <v>15</v>
      </c>
    </row>
    <row r="528" spans="1:8" x14ac:dyDescent="0.2">
      <c r="A528" t="s">
        <v>353</v>
      </c>
      <c r="B528" t="s">
        <v>1589</v>
      </c>
      <c r="C528" t="s">
        <v>1092</v>
      </c>
      <c r="D528" t="s">
        <v>1223</v>
      </c>
      <c r="E528">
        <v>318.82</v>
      </c>
      <c r="F528">
        <v>274</v>
      </c>
      <c r="G528" t="s">
        <v>1236</v>
      </c>
      <c r="H528" t="s">
        <v>15</v>
      </c>
    </row>
    <row r="529" spans="1:8" x14ac:dyDescent="0.2">
      <c r="A529" t="s">
        <v>353</v>
      </c>
      <c r="B529" t="s">
        <v>1590</v>
      </c>
      <c r="C529" t="s">
        <v>1092</v>
      </c>
      <c r="D529" t="s">
        <v>1223</v>
      </c>
      <c r="E529">
        <v>2497.511</v>
      </c>
      <c r="F529">
        <v>1816</v>
      </c>
      <c r="G529" t="s">
        <v>1236</v>
      </c>
      <c r="H529" t="s">
        <v>15</v>
      </c>
    </row>
    <row r="530" spans="1:8" x14ac:dyDescent="0.2">
      <c r="A530" t="s">
        <v>353</v>
      </c>
      <c r="B530" t="s">
        <v>1591</v>
      </c>
      <c r="C530" t="s">
        <v>1092</v>
      </c>
      <c r="D530" t="s">
        <v>1223</v>
      </c>
      <c r="E530">
        <v>2680.8880399999998</v>
      </c>
      <c r="F530">
        <v>1801</v>
      </c>
      <c r="G530" t="s">
        <v>1236</v>
      </c>
      <c r="H530" t="s">
        <v>15</v>
      </c>
    </row>
    <row r="531" spans="1:8" x14ac:dyDescent="0.2">
      <c r="A531" t="s">
        <v>353</v>
      </c>
      <c r="B531" t="s">
        <v>1592</v>
      </c>
      <c r="C531" t="s">
        <v>1092</v>
      </c>
      <c r="D531" t="s">
        <v>1223</v>
      </c>
      <c r="E531">
        <v>969.37900000000002</v>
      </c>
      <c r="F531">
        <v>240</v>
      </c>
      <c r="G531" t="s">
        <v>1236</v>
      </c>
      <c r="H531" t="s">
        <v>15</v>
      </c>
    </row>
    <row r="532" spans="1:8" x14ac:dyDescent="0.2">
      <c r="A532" t="s">
        <v>353</v>
      </c>
      <c r="B532" t="s">
        <v>1593</v>
      </c>
      <c r="C532" t="s">
        <v>1092</v>
      </c>
      <c r="D532" t="s">
        <v>1223</v>
      </c>
      <c r="E532">
        <v>3161</v>
      </c>
      <c r="F532">
        <v>2311</v>
      </c>
      <c r="G532" t="s">
        <v>1236</v>
      </c>
      <c r="H532" t="s">
        <v>15</v>
      </c>
    </row>
    <row r="533" spans="1:8" x14ac:dyDescent="0.2">
      <c r="A533" t="s">
        <v>353</v>
      </c>
      <c r="B533" t="s">
        <v>1594</v>
      </c>
      <c r="C533" t="s">
        <v>1092</v>
      </c>
      <c r="D533" t="s">
        <v>1223</v>
      </c>
      <c r="E533">
        <v>10097.843999999999</v>
      </c>
      <c r="F533">
        <v>6721</v>
      </c>
      <c r="G533" t="s">
        <v>1109</v>
      </c>
      <c r="H533" t="s">
        <v>15</v>
      </c>
    </row>
    <row r="534" spans="1:8" x14ac:dyDescent="0.2">
      <c r="A534" t="s">
        <v>353</v>
      </c>
      <c r="B534" t="s">
        <v>1595</v>
      </c>
      <c r="C534" t="s">
        <v>1092</v>
      </c>
      <c r="D534" t="s">
        <v>1223</v>
      </c>
      <c r="E534">
        <v>2033.376767</v>
      </c>
      <c r="F534">
        <v>1212</v>
      </c>
      <c r="G534" t="s">
        <v>1236</v>
      </c>
      <c r="H534" t="s">
        <v>15</v>
      </c>
    </row>
    <row r="535" spans="1:8" x14ac:dyDescent="0.2">
      <c r="A535" t="s">
        <v>353</v>
      </c>
      <c r="B535" t="s">
        <v>1596</v>
      </c>
      <c r="C535" t="s">
        <v>1092</v>
      </c>
      <c r="D535" t="s">
        <v>1223</v>
      </c>
      <c r="E535">
        <v>2169.256214</v>
      </c>
      <c r="F535">
        <v>1372</v>
      </c>
      <c r="G535" t="s">
        <v>1236</v>
      </c>
      <c r="H535" t="s">
        <v>15</v>
      </c>
    </row>
    <row r="536" spans="1:8" x14ac:dyDescent="0.2">
      <c r="A536" t="s">
        <v>353</v>
      </c>
      <c r="B536" t="s">
        <v>1597</v>
      </c>
      <c r="C536" t="s">
        <v>1092</v>
      </c>
      <c r="D536" t="s">
        <v>1223</v>
      </c>
      <c r="E536">
        <v>324.851</v>
      </c>
      <c r="F536">
        <v>260</v>
      </c>
      <c r="G536" t="s">
        <v>1236</v>
      </c>
      <c r="H536" t="s">
        <v>15</v>
      </c>
    </row>
    <row r="537" spans="1:8" x14ac:dyDescent="0.2">
      <c r="A537" t="s">
        <v>353</v>
      </c>
      <c r="B537" t="s">
        <v>1598</v>
      </c>
      <c r="C537" t="s">
        <v>1092</v>
      </c>
      <c r="D537" t="s">
        <v>1223</v>
      </c>
      <c r="E537">
        <v>1075.5</v>
      </c>
      <c r="F537">
        <v>776</v>
      </c>
      <c r="G537" t="s">
        <v>1236</v>
      </c>
      <c r="H537" t="s">
        <v>15</v>
      </c>
    </row>
    <row r="538" spans="1:8" x14ac:dyDescent="0.2">
      <c r="A538" t="s">
        <v>353</v>
      </c>
      <c r="B538" t="s">
        <v>1599</v>
      </c>
      <c r="C538" t="s">
        <v>1092</v>
      </c>
      <c r="D538" t="s">
        <v>1223</v>
      </c>
      <c r="E538">
        <v>1604.8309999999999</v>
      </c>
      <c r="F538">
        <v>1118</v>
      </c>
      <c r="G538" t="s">
        <v>1236</v>
      </c>
      <c r="H538" t="s">
        <v>15</v>
      </c>
    </row>
    <row r="539" spans="1:8" x14ac:dyDescent="0.2">
      <c r="A539" t="s">
        <v>353</v>
      </c>
      <c r="B539" t="s">
        <v>1600</v>
      </c>
      <c r="C539" t="s">
        <v>1092</v>
      </c>
      <c r="D539" t="s">
        <v>1223</v>
      </c>
      <c r="E539">
        <v>5034.989638</v>
      </c>
      <c r="F539">
        <v>3095</v>
      </c>
      <c r="G539" t="s">
        <v>1236</v>
      </c>
      <c r="H539" t="s">
        <v>15</v>
      </c>
    </row>
    <row r="540" spans="1:8" x14ac:dyDescent="0.2">
      <c r="A540" t="s">
        <v>353</v>
      </c>
      <c r="B540" t="s">
        <v>1099</v>
      </c>
      <c r="C540" t="s">
        <v>1100</v>
      </c>
      <c r="D540" t="s">
        <v>35</v>
      </c>
      <c r="E540">
        <v>145415.572644</v>
      </c>
      <c r="F540">
        <v>94825</v>
      </c>
      <c r="G540" t="s">
        <v>35</v>
      </c>
      <c r="H540" t="s">
        <v>15</v>
      </c>
    </row>
    <row r="541" spans="1:8" x14ac:dyDescent="0.2">
      <c r="A541" t="s">
        <v>139</v>
      </c>
      <c r="B541" t="s">
        <v>1601</v>
      </c>
      <c r="C541" t="s">
        <v>1092</v>
      </c>
      <c r="D541" t="s">
        <v>1223</v>
      </c>
      <c r="E541">
        <v>740178.28</v>
      </c>
      <c r="F541">
        <v>462116</v>
      </c>
      <c r="G541" t="s">
        <v>1109</v>
      </c>
      <c r="H541" t="s">
        <v>15</v>
      </c>
    </row>
    <row r="542" spans="1:8" x14ac:dyDescent="0.2">
      <c r="A542" t="s">
        <v>139</v>
      </c>
      <c r="B542" t="s">
        <v>1602</v>
      </c>
      <c r="C542" t="s">
        <v>1092</v>
      </c>
      <c r="D542" t="s">
        <v>1223</v>
      </c>
      <c r="E542">
        <v>42776</v>
      </c>
      <c r="F542">
        <v>29557</v>
      </c>
      <c r="G542" t="s">
        <v>1109</v>
      </c>
      <c r="H542" t="s">
        <v>15</v>
      </c>
    </row>
    <row r="543" spans="1:8" x14ac:dyDescent="0.2">
      <c r="A543" t="s">
        <v>139</v>
      </c>
      <c r="B543" t="s">
        <v>1603</v>
      </c>
      <c r="C543" t="s">
        <v>1092</v>
      </c>
      <c r="D543" t="s">
        <v>1223</v>
      </c>
      <c r="E543">
        <v>1977</v>
      </c>
      <c r="F543">
        <v>1396</v>
      </c>
      <c r="G543" t="s">
        <v>1236</v>
      </c>
      <c r="H543" t="s">
        <v>15</v>
      </c>
    </row>
    <row r="544" spans="1:8" x14ac:dyDescent="0.2">
      <c r="A544" t="s">
        <v>139</v>
      </c>
      <c r="B544" t="s">
        <v>1604</v>
      </c>
      <c r="C544" t="s">
        <v>1092</v>
      </c>
      <c r="D544" t="s">
        <v>1223</v>
      </c>
      <c r="E544">
        <v>148398</v>
      </c>
      <c r="F544">
        <v>79455</v>
      </c>
      <c r="G544" t="s">
        <v>1109</v>
      </c>
      <c r="H544" t="s">
        <v>15</v>
      </c>
    </row>
    <row r="545" spans="1:8" x14ac:dyDescent="0.2">
      <c r="A545" t="s">
        <v>139</v>
      </c>
      <c r="B545" t="s">
        <v>1605</v>
      </c>
      <c r="C545" t="s">
        <v>1092</v>
      </c>
      <c r="D545" t="s">
        <v>1223</v>
      </c>
      <c r="E545">
        <v>42559</v>
      </c>
      <c r="F545">
        <v>31811</v>
      </c>
      <c r="G545" t="s">
        <v>1109</v>
      </c>
      <c r="H545" t="s">
        <v>15</v>
      </c>
    </row>
    <row r="546" spans="1:8" x14ac:dyDescent="0.2">
      <c r="A546" t="s">
        <v>139</v>
      </c>
      <c r="B546" t="s">
        <v>1606</v>
      </c>
      <c r="C546" t="s">
        <v>1092</v>
      </c>
      <c r="D546" t="s">
        <v>1223</v>
      </c>
      <c r="E546">
        <v>29313</v>
      </c>
      <c r="F546">
        <v>22243</v>
      </c>
      <c r="G546" t="s">
        <v>1109</v>
      </c>
      <c r="H546" t="s">
        <v>15</v>
      </c>
    </row>
    <row r="547" spans="1:8" x14ac:dyDescent="0.2">
      <c r="A547" t="s">
        <v>139</v>
      </c>
      <c r="B547" t="s">
        <v>1607</v>
      </c>
      <c r="C547" t="s">
        <v>1092</v>
      </c>
      <c r="D547" t="s">
        <v>1223</v>
      </c>
      <c r="E547">
        <v>482664.95</v>
      </c>
      <c r="F547">
        <v>268884</v>
      </c>
      <c r="G547" t="s">
        <v>1109</v>
      </c>
      <c r="H547" t="s">
        <v>15</v>
      </c>
    </row>
    <row r="548" spans="1:8" x14ac:dyDescent="0.2">
      <c r="A548" t="s">
        <v>139</v>
      </c>
      <c r="B548" t="s">
        <v>1608</v>
      </c>
      <c r="C548" t="s">
        <v>1092</v>
      </c>
      <c r="D548" t="s">
        <v>1223</v>
      </c>
      <c r="E548">
        <v>19457.61</v>
      </c>
      <c r="F548">
        <v>14580</v>
      </c>
      <c r="G548" t="s">
        <v>1109</v>
      </c>
      <c r="H548" t="s">
        <v>15</v>
      </c>
    </row>
    <row r="549" spans="1:8" x14ac:dyDescent="0.2">
      <c r="A549" t="s">
        <v>139</v>
      </c>
      <c r="B549" t="s">
        <v>1099</v>
      </c>
      <c r="C549" t="s">
        <v>1100</v>
      </c>
      <c r="D549" t="s">
        <v>35</v>
      </c>
      <c r="E549">
        <v>1507323.84</v>
      </c>
      <c r="F549">
        <v>910042</v>
      </c>
      <c r="G549" t="s">
        <v>35</v>
      </c>
      <c r="H549" t="s">
        <v>15</v>
      </c>
    </row>
    <row r="550" spans="1:8" x14ac:dyDescent="0.2">
      <c r="A550" t="s">
        <v>161</v>
      </c>
      <c r="B550" t="s">
        <v>1609</v>
      </c>
      <c r="C550" t="s">
        <v>1092</v>
      </c>
      <c r="D550" t="s">
        <v>1096</v>
      </c>
      <c r="E550">
        <v>20361.156361000001</v>
      </c>
      <c r="F550">
        <v>22795</v>
      </c>
      <c r="G550" t="s">
        <v>1610</v>
      </c>
      <c r="H550" t="s">
        <v>15</v>
      </c>
    </row>
    <row r="551" spans="1:8" x14ac:dyDescent="0.2">
      <c r="A551" t="s">
        <v>161</v>
      </c>
      <c r="B551" t="s">
        <v>1099</v>
      </c>
      <c r="C551" t="s">
        <v>1100</v>
      </c>
      <c r="D551" t="s">
        <v>35</v>
      </c>
      <c r="E551">
        <v>20361.156361000001</v>
      </c>
      <c r="F551">
        <v>22795</v>
      </c>
      <c r="G551" t="s">
        <v>35</v>
      </c>
      <c r="H551" t="s">
        <v>15</v>
      </c>
    </row>
    <row r="552" spans="1:8" x14ac:dyDescent="0.2">
      <c r="A552" t="s">
        <v>1611</v>
      </c>
      <c r="B552" t="s">
        <v>1612</v>
      </c>
      <c r="C552" t="s">
        <v>1092</v>
      </c>
      <c r="D552" t="s">
        <v>1215</v>
      </c>
      <c r="E552">
        <v>15295.6209</v>
      </c>
      <c r="F552">
        <v>0</v>
      </c>
      <c r="G552" t="s">
        <v>1093</v>
      </c>
      <c r="H552" t="s">
        <v>15</v>
      </c>
    </row>
    <row r="553" spans="1:8" x14ac:dyDescent="0.2">
      <c r="A553" t="s">
        <v>1611</v>
      </c>
      <c r="B553" t="s">
        <v>1613</v>
      </c>
      <c r="C553" t="s">
        <v>1092</v>
      </c>
      <c r="D553" t="s">
        <v>1215</v>
      </c>
      <c r="E553">
        <v>35277.167999999998</v>
      </c>
      <c r="F553">
        <v>0</v>
      </c>
      <c r="G553" t="s">
        <v>1093</v>
      </c>
      <c r="H553" t="s">
        <v>15</v>
      </c>
    </row>
    <row r="554" spans="1:8" x14ac:dyDescent="0.2">
      <c r="A554" t="s">
        <v>1611</v>
      </c>
      <c r="B554" t="s">
        <v>1614</v>
      </c>
      <c r="C554" t="s">
        <v>1092</v>
      </c>
      <c r="D554" t="s">
        <v>1215</v>
      </c>
      <c r="E554">
        <v>40618.17</v>
      </c>
      <c r="F554">
        <v>0</v>
      </c>
      <c r="G554" t="s">
        <v>1093</v>
      </c>
      <c r="H554" t="s">
        <v>15</v>
      </c>
    </row>
    <row r="555" spans="1:8" x14ac:dyDescent="0.2">
      <c r="A555" t="s">
        <v>1611</v>
      </c>
      <c r="B555" t="s">
        <v>1615</v>
      </c>
      <c r="C555" t="s">
        <v>1092</v>
      </c>
      <c r="D555" t="s">
        <v>1096</v>
      </c>
      <c r="E555">
        <v>22548.566299999999</v>
      </c>
      <c r="F555">
        <v>0</v>
      </c>
      <c r="G555" t="s">
        <v>1093</v>
      </c>
      <c r="H555" t="s">
        <v>15</v>
      </c>
    </row>
    <row r="556" spans="1:8" x14ac:dyDescent="0.2">
      <c r="A556" t="s">
        <v>1611</v>
      </c>
      <c r="B556" t="s">
        <v>1616</v>
      </c>
      <c r="C556" t="s">
        <v>1092</v>
      </c>
      <c r="D556" t="s">
        <v>1215</v>
      </c>
      <c r="E556">
        <v>53271.556900000003</v>
      </c>
      <c r="F556">
        <v>0</v>
      </c>
      <c r="G556" t="s">
        <v>1093</v>
      </c>
      <c r="H556" t="s">
        <v>15</v>
      </c>
    </row>
    <row r="557" spans="1:8" x14ac:dyDescent="0.2">
      <c r="A557" t="s">
        <v>1611</v>
      </c>
      <c r="B557" t="s">
        <v>1099</v>
      </c>
      <c r="C557" t="s">
        <v>1100</v>
      </c>
      <c r="D557" t="s">
        <v>35</v>
      </c>
      <c r="E557">
        <v>167011.0821</v>
      </c>
      <c r="F557">
        <v>0</v>
      </c>
      <c r="G557" t="s">
        <v>35</v>
      </c>
      <c r="H557" t="s">
        <v>15</v>
      </c>
    </row>
    <row r="558" spans="1:8" x14ac:dyDescent="0.2">
      <c r="A558" t="s">
        <v>137</v>
      </c>
      <c r="B558" t="s">
        <v>1617</v>
      </c>
      <c r="C558" t="s">
        <v>1092</v>
      </c>
      <c r="D558" t="s">
        <v>1061</v>
      </c>
      <c r="E558">
        <v>96151.558999999994</v>
      </c>
      <c r="F558">
        <v>52667</v>
      </c>
      <c r="G558" t="s">
        <v>1109</v>
      </c>
      <c r="H558" t="s">
        <v>15</v>
      </c>
    </row>
    <row r="559" spans="1:8" x14ac:dyDescent="0.2">
      <c r="A559" t="s">
        <v>137</v>
      </c>
      <c r="B559" t="s">
        <v>1099</v>
      </c>
      <c r="C559" t="s">
        <v>1100</v>
      </c>
      <c r="D559" t="s">
        <v>35</v>
      </c>
      <c r="E559">
        <v>96151.558999999994</v>
      </c>
      <c r="F559">
        <v>52667</v>
      </c>
      <c r="G559" t="s">
        <v>35</v>
      </c>
      <c r="H559" t="s">
        <v>15</v>
      </c>
    </row>
    <row r="560" spans="1:8" x14ac:dyDescent="0.2">
      <c r="A560" t="s">
        <v>439</v>
      </c>
      <c r="B560" t="s">
        <v>1618</v>
      </c>
      <c r="C560" t="s">
        <v>1092</v>
      </c>
      <c r="D560" t="s">
        <v>1096</v>
      </c>
      <c r="E560">
        <v>10466.83</v>
      </c>
      <c r="F560">
        <v>0</v>
      </c>
      <c r="G560" t="s">
        <v>1107</v>
      </c>
      <c r="H560" t="s">
        <v>15</v>
      </c>
    </row>
    <row r="561" spans="1:8" x14ac:dyDescent="0.2">
      <c r="A561" t="s">
        <v>439</v>
      </c>
      <c r="B561" t="s">
        <v>1619</v>
      </c>
      <c r="C561" t="s">
        <v>1092</v>
      </c>
      <c r="D561" t="s">
        <v>1096</v>
      </c>
      <c r="E561">
        <v>4456.1710000000003</v>
      </c>
      <c r="F561">
        <v>0</v>
      </c>
      <c r="G561" t="s">
        <v>1107</v>
      </c>
      <c r="H561" t="s">
        <v>15</v>
      </c>
    </row>
    <row r="562" spans="1:8" x14ac:dyDescent="0.2">
      <c r="A562" t="s">
        <v>439</v>
      </c>
      <c r="B562" t="s">
        <v>1620</v>
      </c>
      <c r="C562" t="s">
        <v>1092</v>
      </c>
      <c r="D562" t="s">
        <v>1126</v>
      </c>
      <c r="E562">
        <v>0</v>
      </c>
      <c r="F562">
        <v>0</v>
      </c>
      <c r="G562" t="s">
        <v>1191</v>
      </c>
      <c r="H562" t="s">
        <v>15</v>
      </c>
    </row>
    <row r="563" spans="1:8" x14ac:dyDescent="0.2">
      <c r="A563" t="s">
        <v>439</v>
      </c>
      <c r="B563" t="s">
        <v>1621</v>
      </c>
      <c r="C563" t="s">
        <v>1092</v>
      </c>
      <c r="D563" t="s">
        <v>1126</v>
      </c>
      <c r="E563">
        <v>3418.9070000000002</v>
      </c>
      <c r="F563">
        <v>2352</v>
      </c>
      <c r="G563" t="s">
        <v>1236</v>
      </c>
      <c r="H563" t="s">
        <v>15</v>
      </c>
    </row>
    <row r="564" spans="1:8" x14ac:dyDescent="0.2">
      <c r="A564" t="s">
        <v>439</v>
      </c>
      <c r="B564" t="s">
        <v>1622</v>
      </c>
      <c r="C564" t="s">
        <v>1092</v>
      </c>
      <c r="D564" t="s">
        <v>1126</v>
      </c>
      <c r="E564">
        <v>85531.811000000002</v>
      </c>
      <c r="F564">
        <v>28588</v>
      </c>
      <c r="G564" t="s">
        <v>1109</v>
      </c>
      <c r="H564" t="s">
        <v>15</v>
      </c>
    </row>
    <row r="565" spans="1:8" x14ac:dyDescent="0.2">
      <c r="A565" t="s">
        <v>439</v>
      </c>
      <c r="B565" t="s">
        <v>1623</v>
      </c>
      <c r="C565" t="s">
        <v>1092</v>
      </c>
      <c r="D565" t="s">
        <v>1126</v>
      </c>
      <c r="E565">
        <v>532.58199999999999</v>
      </c>
      <c r="F565">
        <v>0</v>
      </c>
      <c r="G565" t="s">
        <v>1103</v>
      </c>
      <c r="H565" t="s">
        <v>15</v>
      </c>
    </row>
    <row r="566" spans="1:8" x14ac:dyDescent="0.2">
      <c r="A566" t="s">
        <v>439</v>
      </c>
      <c r="B566" t="s">
        <v>1624</v>
      </c>
      <c r="C566" t="s">
        <v>1092</v>
      </c>
      <c r="D566" t="s">
        <v>1126</v>
      </c>
      <c r="E566">
        <v>6419.3789999999999</v>
      </c>
      <c r="F566">
        <v>4165</v>
      </c>
      <c r="G566" t="s">
        <v>1236</v>
      </c>
      <c r="H566" t="s">
        <v>15</v>
      </c>
    </row>
    <row r="567" spans="1:8" x14ac:dyDescent="0.2">
      <c r="A567" t="s">
        <v>439</v>
      </c>
      <c r="B567" t="s">
        <v>1625</v>
      </c>
      <c r="C567" t="s">
        <v>1092</v>
      </c>
      <c r="D567" t="s">
        <v>1126</v>
      </c>
      <c r="E567">
        <v>4416.799</v>
      </c>
      <c r="F567">
        <v>2643</v>
      </c>
      <c r="G567" t="s">
        <v>1109</v>
      </c>
      <c r="H567" t="s">
        <v>15</v>
      </c>
    </row>
    <row r="568" spans="1:8" x14ac:dyDescent="0.2">
      <c r="A568" t="s">
        <v>439</v>
      </c>
      <c r="B568" t="s">
        <v>1626</v>
      </c>
      <c r="C568" t="s">
        <v>1092</v>
      </c>
      <c r="D568" t="s">
        <v>1126</v>
      </c>
      <c r="E568">
        <v>4909.7020000000002</v>
      </c>
      <c r="F568">
        <v>3182</v>
      </c>
      <c r="G568" t="s">
        <v>1236</v>
      </c>
      <c r="H568" t="s">
        <v>15</v>
      </c>
    </row>
    <row r="569" spans="1:8" x14ac:dyDescent="0.2">
      <c r="A569" t="s">
        <v>439</v>
      </c>
      <c r="B569" t="s">
        <v>1627</v>
      </c>
      <c r="C569" t="s">
        <v>1092</v>
      </c>
      <c r="D569" t="s">
        <v>1096</v>
      </c>
      <c r="E569">
        <v>1174</v>
      </c>
      <c r="F569">
        <v>3389</v>
      </c>
      <c r="G569" t="s">
        <v>1109</v>
      </c>
      <c r="H569" t="s">
        <v>15</v>
      </c>
    </row>
    <row r="570" spans="1:8" x14ac:dyDescent="0.2">
      <c r="A570" t="s">
        <v>439</v>
      </c>
      <c r="B570" t="s">
        <v>1628</v>
      </c>
      <c r="C570" t="s">
        <v>1092</v>
      </c>
      <c r="D570" t="s">
        <v>1126</v>
      </c>
      <c r="E570">
        <v>797.851</v>
      </c>
      <c r="F570">
        <v>525</v>
      </c>
      <c r="G570" t="s">
        <v>1236</v>
      </c>
      <c r="H570" t="s">
        <v>15</v>
      </c>
    </row>
    <row r="571" spans="1:8" x14ac:dyDescent="0.2">
      <c r="A571" t="s">
        <v>439</v>
      </c>
      <c r="B571" t="s">
        <v>1629</v>
      </c>
      <c r="C571" t="s">
        <v>1092</v>
      </c>
      <c r="D571" t="s">
        <v>1126</v>
      </c>
      <c r="E571">
        <v>2382.8380000000002</v>
      </c>
      <c r="F571">
        <v>1423</v>
      </c>
      <c r="G571" t="s">
        <v>1236</v>
      </c>
      <c r="H571" t="s">
        <v>15</v>
      </c>
    </row>
    <row r="572" spans="1:8" x14ac:dyDescent="0.2">
      <c r="A572" t="s">
        <v>439</v>
      </c>
      <c r="B572" t="s">
        <v>1630</v>
      </c>
      <c r="C572" t="s">
        <v>1092</v>
      </c>
      <c r="D572" t="s">
        <v>1126</v>
      </c>
      <c r="E572">
        <v>1039.136</v>
      </c>
      <c r="F572">
        <v>683</v>
      </c>
      <c r="G572" t="s">
        <v>1236</v>
      </c>
      <c r="H572" t="s">
        <v>15</v>
      </c>
    </row>
    <row r="573" spans="1:8" x14ac:dyDescent="0.2">
      <c r="A573" t="s">
        <v>439</v>
      </c>
      <c r="B573" t="s">
        <v>1099</v>
      </c>
      <c r="C573" t="s">
        <v>1100</v>
      </c>
      <c r="D573" t="s">
        <v>35</v>
      </c>
      <c r="E573">
        <v>125546.00599999999</v>
      </c>
      <c r="F573">
        <v>46950</v>
      </c>
      <c r="G573" t="s">
        <v>35</v>
      </c>
      <c r="H573" t="s">
        <v>15</v>
      </c>
    </row>
    <row r="574" spans="1:8" x14ac:dyDescent="0.2">
      <c r="A574" t="s">
        <v>1631</v>
      </c>
      <c r="B574" t="s">
        <v>1632</v>
      </c>
      <c r="C574" t="s">
        <v>1092</v>
      </c>
      <c r="D574" t="s">
        <v>1052</v>
      </c>
      <c r="E574">
        <v>11139.262000000001</v>
      </c>
      <c r="F574">
        <v>0</v>
      </c>
      <c r="G574" t="s">
        <v>1103</v>
      </c>
      <c r="H574" t="s">
        <v>15</v>
      </c>
    </row>
    <row r="575" spans="1:8" x14ac:dyDescent="0.2">
      <c r="A575" t="s">
        <v>1631</v>
      </c>
      <c r="B575" t="s">
        <v>1633</v>
      </c>
      <c r="C575" t="s">
        <v>1092</v>
      </c>
      <c r="D575" t="s">
        <v>1052</v>
      </c>
      <c r="E575">
        <v>1630.54</v>
      </c>
      <c r="F575">
        <v>0</v>
      </c>
      <c r="G575" t="s">
        <v>1103</v>
      </c>
      <c r="H575" t="s">
        <v>15</v>
      </c>
    </row>
    <row r="576" spans="1:8" x14ac:dyDescent="0.2">
      <c r="A576" t="s">
        <v>1631</v>
      </c>
      <c r="B576" t="s">
        <v>1634</v>
      </c>
      <c r="C576" t="s">
        <v>1092</v>
      </c>
      <c r="D576" t="s">
        <v>1096</v>
      </c>
      <c r="E576">
        <v>24748.21</v>
      </c>
      <c r="F576">
        <v>0</v>
      </c>
      <c r="G576" t="s">
        <v>1093</v>
      </c>
      <c r="H576" t="s">
        <v>15</v>
      </c>
    </row>
    <row r="577" spans="1:8" x14ac:dyDescent="0.2">
      <c r="A577" t="s">
        <v>1631</v>
      </c>
      <c r="B577" t="s">
        <v>1635</v>
      </c>
      <c r="C577" t="s">
        <v>1092</v>
      </c>
      <c r="D577" t="s">
        <v>1096</v>
      </c>
      <c r="E577">
        <v>30331.31</v>
      </c>
      <c r="F577">
        <v>0</v>
      </c>
      <c r="G577" t="s">
        <v>1093</v>
      </c>
      <c r="H577" t="s">
        <v>15</v>
      </c>
    </row>
    <row r="578" spans="1:8" x14ac:dyDescent="0.2">
      <c r="A578" t="s">
        <v>1631</v>
      </c>
      <c r="B578" t="s">
        <v>1099</v>
      </c>
      <c r="C578" t="s">
        <v>1100</v>
      </c>
      <c r="D578" t="s">
        <v>35</v>
      </c>
      <c r="E578">
        <v>67849.322</v>
      </c>
      <c r="F578">
        <v>0</v>
      </c>
      <c r="G578" t="s">
        <v>35</v>
      </c>
      <c r="H578" t="s">
        <v>15</v>
      </c>
    </row>
    <row r="579" spans="1:8" x14ac:dyDescent="0.2">
      <c r="A579" t="s">
        <v>181</v>
      </c>
      <c r="B579" t="s">
        <v>1636</v>
      </c>
      <c r="C579" t="s">
        <v>1092</v>
      </c>
      <c r="D579" t="s">
        <v>1058</v>
      </c>
      <c r="E579">
        <v>471048.34889000002</v>
      </c>
      <c r="F579">
        <v>30</v>
      </c>
      <c r="G579" t="s">
        <v>1093</v>
      </c>
      <c r="H579" t="s">
        <v>15</v>
      </c>
    </row>
    <row r="580" spans="1:8" x14ac:dyDescent="0.2">
      <c r="A580" t="s">
        <v>181</v>
      </c>
      <c r="B580" t="s">
        <v>1637</v>
      </c>
      <c r="C580" t="s">
        <v>1092</v>
      </c>
      <c r="D580" t="s">
        <v>1126</v>
      </c>
      <c r="E580">
        <v>453571.92391999997</v>
      </c>
      <c r="F580">
        <v>221593</v>
      </c>
      <c r="G580" t="s">
        <v>1109</v>
      </c>
      <c r="H580" t="s">
        <v>15</v>
      </c>
    </row>
    <row r="581" spans="1:8" x14ac:dyDescent="0.2">
      <c r="A581" t="s">
        <v>181</v>
      </c>
      <c r="B581" t="s">
        <v>1638</v>
      </c>
      <c r="C581" t="s">
        <v>1092</v>
      </c>
      <c r="D581" t="s">
        <v>1061</v>
      </c>
      <c r="E581">
        <v>533076.20603</v>
      </c>
      <c r="F581">
        <v>33</v>
      </c>
      <c r="G581" t="s">
        <v>1093</v>
      </c>
      <c r="H581" t="s">
        <v>15</v>
      </c>
    </row>
    <row r="582" spans="1:8" x14ac:dyDescent="0.2">
      <c r="A582" t="s">
        <v>181</v>
      </c>
      <c r="B582" t="s">
        <v>1639</v>
      </c>
      <c r="C582" t="s">
        <v>1092</v>
      </c>
      <c r="D582" t="s">
        <v>1061</v>
      </c>
      <c r="E582">
        <v>85483.296799999996</v>
      </c>
      <c r="F582">
        <v>40</v>
      </c>
      <c r="G582" t="s">
        <v>1103</v>
      </c>
      <c r="H582" t="s">
        <v>15</v>
      </c>
    </row>
    <row r="583" spans="1:8" x14ac:dyDescent="0.2">
      <c r="A583" t="s">
        <v>181</v>
      </c>
      <c r="B583" t="s">
        <v>1640</v>
      </c>
      <c r="C583" t="s">
        <v>1092</v>
      </c>
      <c r="D583" t="s">
        <v>1052</v>
      </c>
      <c r="E583">
        <v>73394.513189999998</v>
      </c>
      <c r="F583">
        <v>33</v>
      </c>
      <c r="G583" t="s">
        <v>1093</v>
      </c>
      <c r="H583" t="s">
        <v>15</v>
      </c>
    </row>
    <row r="584" spans="1:8" x14ac:dyDescent="0.2">
      <c r="A584" t="s">
        <v>181</v>
      </c>
      <c r="B584" t="s">
        <v>1641</v>
      </c>
      <c r="C584" t="s">
        <v>1092</v>
      </c>
      <c r="D584" t="s">
        <v>1096</v>
      </c>
      <c r="E584">
        <v>50734.303999999996</v>
      </c>
      <c r="F584">
        <v>28</v>
      </c>
      <c r="G584" t="s">
        <v>1093</v>
      </c>
      <c r="H584" t="s">
        <v>15</v>
      </c>
    </row>
    <row r="585" spans="1:8" x14ac:dyDescent="0.2">
      <c r="A585" t="s">
        <v>181</v>
      </c>
      <c r="B585" t="s">
        <v>1642</v>
      </c>
      <c r="C585" t="s">
        <v>1092</v>
      </c>
      <c r="D585" t="s">
        <v>1061</v>
      </c>
      <c r="E585">
        <v>214077</v>
      </c>
      <c r="F585">
        <v>118036</v>
      </c>
      <c r="G585" t="s">
        <v>1144</v>
      </c>
      <c r="H585" t="s">
        <v>15</v>
      </c>
    </row>
    <row r="586" spans="1:8" x14ac:dyDescent="0.2">
      <c r="A586" t="s">
        <v>181</v>
      </c>
      <c r="B586" t="s">
        <v>1643</v>
      </c>
      <c r="C586" t="s">
        <v>1092</v>
      </c>
      <c r="D586" t="s">
        <v>1061</v>
      </c>
      <c r="E586">
        <v>21814.121999999999</v>
      </c>
      <c r="F586">
        <v>19</v>
      </c>
      <c r="G586" t="s">
        <v>1093</v>
      </c>
      <c r="H586" t="s">
        <v>15</v>
      </c>
    </row>
    <row r="587" spans="1:8" x14ac:dyDescent="0.2">
      <c r="A587" t="s">
        <v>181</v>
      </c>
      <c r="B587" t="s">
        <v>1099</v>
      </c>
      <c r="C587" t="s">
        <v>1100</v>
      </c>
      <c r="D587" t="s">
        <v>35</v>
      </c>
      <c r="E587">
        <v>1903199.71483</v>
      </c>
      <c r="F587">
        <v>339812</v>
      </c>
      <c r="G587" t="s">
        <v>35</v>
      </c>
      <c r="H587" t="s">
        <v>15</v>
      </c>
    </row>
    <row r="588" spans="1:8" x14ac:dyDescent="0.2">
      <c r="A588" t="s">
        <v>557</v>
      </c>
      <c r="B588" t="s">
        <v>1644</v>
      </c>
      <c r="C588" t="s">
        <v>1092</v>
      </c>
      <c r="D588" t="s">
        <v>1126</v>
      </c>
      <c r="E588">
        <v>797.94763599999999</v>
      </c>
      <c r="F588">
        <v>816</v>
      </c>
      <c r="G588" t="s">
        <v>1236</v>
      </c>
      <c r="H588" t="s">
        <v>15</v>
      </c>
    </row>
    <row r="589" spans="1:8" x14ac:dyDescent="0.2">
      <c r="A589" t="s">
        <v>557</v>
      </c>
      <c r="B589" t="s">
        <v>1645</v>
      </c>
      <c r="C589" t="s">
        <v>1092</v>
      </c>
      <c r="D589" t="s">
        <v>1126</v>
      </c>
      <c r="E589">
        <v>754.02</v>
      </c>
      <c r="F589">
        <v>562</v>
      </c>
      <c r="G589" t="s">
        <v>1236</v>
      </c>
      <c r="H589" t="s">
        <v>15</v>
      </c>
    </row>
    <row r="590" spans="1:8" x14ac:dyDescent="0.2">
      <c r="A590" t="s">
        <v>557</v>
      </c>
      <c r="B590" t="s">
        <v>1646</v>
      </c>
      <c r="C590" t="s">
        <v>1092</v>
      </c>
      <c r="D590" t="s">
        <v>1126</v>
      </c>
      <c r="E590">
        <v>41597.447</v>
      </c>
      <c r="F590">
        <v>24746</v>
      </c>
      <c r="G590" t="s">
        <v>1109</v>
      </c>
      <c r="H590" t="s">
        <v>15</v>
      </c>
    </row>
    <row r="591" spans="1:8" x14ac:dyDescent="0.2">
      <c r="A591" t="s">
        <v>557</v>
      </c>
      <c r="B591" t="s">
        <v>1647</v>
      </c>
      <c r="C591" t="s">
        <v>1092</v>
      </c>
      <c r="D591" t="s">
        <v>1126</v>
      </c>
      <c r="E591">
        <v>411.54171400000001</v>
      </c>
      <c r="F591">
        <v>332</v>
      </c>
      <c r="G591" t="s">
        <v>1236</v>
      </c>
      <c r="H591" t="s">
        <v>15</v>
      </c>
    </row>
    <row r="592" spans="1:8" x14ac:dyDescent="0.2">
      <c r="A592" t="s">
        <v>557</v>
      </c>
      <c r="B592" t="s">
        <v>1648</v>
      </c>
      <c r="C592" t="s">
        <v>1092</v>
      </c>
      <c r="D592" t="s">
        <v>1126</v>
      </c>
      <c r="E592">
        <v>6233.6025900000004</v>
      </c>
      <c r="F592">
        <v>2722</v>
      </c>
      <c r="G592" t="s">
        <v>1236</v>
      </c>
      <c r="H592" t="s">
        <v>15</v>
      </c>
    </row>
    <row r="593" spans="1:8" x14ac:dyDescent="0.2">
      <c r="A593" t="s">
        <v>557</v>
      </c>
      <c r="B593" t="s">
        <v>1649</v>
      </c>
      <c r="C593" t="s">
        <v>1092</v>
      </c>
      <c r="D593" t="s">
        <v>1126</v>
      </c>
      <c r="E593">
        <v>761.38199999999995</v>
      </c>
      <c r="F593">
        <v>588</v>
      </c>
      <c r="G593" t="s">
        <v>1236</v>
      </c>
      <c r="H593" t="s">
        <v>15</v>
      </c>
    </row>
    <row r="594" spans="1:8" x14ac:dyDescent="0.2">
      <c r="A594" t="s">
        <v>557</v>
      </c>
      <c r="B594" t="s">
        <v>1650</v>
      </c>
      <c r="C594" t="s">
        <v>1092</v>
      </c>
      <c r="D594" t="s">
        <v>1126</v>
      </c>
      <c r="E594">
        <v>857.02800000000002</v>
      </c>
      <c r="F594">
        <v>707</v>
      </c>
      <c r="G594" t="s">
        <v>1236</v>
      </c>
      <c r="H594" t="s">
        <v>15</v>
      </c>
    </row>
    <row r="595" spans="1:8" x14ac:dyDescent="0.2">
      <c r="A595" t="s">
        <v>557</v>
      </c>
      <c r="B595" t="s">
        <v>1651</v>
      </c>
      <c r="C595" t="s">
        <v>1092</v>
      </c>
      <c r="D595" t="s">
        <v>1126</v>
      </c>
      <c r="E595">
        <v>403.98763600000001</v>
      </c>
      <c r="F595">
        <v>369</v>
      </c>
      <c r="G595" t="s">
        <v>1236</v>
      </c>
      <c r="H595" t="s">
        <v>15</v>
      </c>
    </row>
    <row r="596" spans="1:8" x14ac:dyDescent="0.2">
      <c r="A596" t="s">
        <v>557</v>
      </c>
      <c r="B596" t="s">
        <v>1652</v>
      </c>
      <c r="C596" t="s">
        <v>1092</v>
      </c>
      <c r="D596" t="s">
        <v>1126</v>
      </c>
      <c r="E596">
        <v>2326.8155999999999</v>
      </c>
      <c r="F596">
        <v>1531</v>
      </c>
      <c r="G596" t="s">
        <v>1236</v>
      </c>
      <c r="H596" t="s">
        <v>15</v>
      </c>
    </row>
    <row r="597" spans="1:8" x14ac:dyDescent="0.2">
      <c r="A597" t="s">
        <v>557</v>
      </c>
      <c r="B597" t="s">
        <v>1653</v>
      </c>
      <c r="C597" t="s">
        <v>1092</v>
      </c>
      <c r="D597" t="s">
        <v>1126</v>
      </c>
      <c r="E597">
        <v>2444.9929999999999</v>
      </c>
      <c r="F597">
        <v>1021</v>
      </c>
      <c r="G597" t="s">
        <v>1236</v>
      </c>
      <c r="H597" t="s">
        <v>15</v>
      </c>
    </row>
    <row r="598" spans="1:8" x14ac:dyDescent="0.2">
      <c r="A598" t="s">
        <v>557</v>
      </c>
      <c r="B598" t="s">
        <v>1654</v>
      </c>
      <c r="C598" t="s">
        <v>1092</v>
      </c>
      <c r="D598" t="s">
        <v>1126</v>
      </c>
      <c r="E598">
        <v>99.163917999999995</v>
      </c>
      <c r="F598">
        <v>159</v>
      </c>
      <c r="G598" t="s">
        <v>1236</v>
      </c>
      <c r="H598" t="s">
        <v>15</v>
      </c>
    </row>
    <row r="599" spans="1:8" x14ac:dyDescent="0.2">
      <c r="A599" t="s">
        <v>557</v>
      </c>
      <c r="B599" t="s">
        <v>1655</v>
      </c>
      <c r="C599" t="s">
        <v>1092</v>
      </c>
      <c r="D599" t="s">
        <v>1126</v>
      </c>
      <c r="E599">
        <v>549.81600000000003</v>
      </c>
      <c r="F599">
        <v>755</v>
      </c>
      <c r="G599" t="s">
        <v>1236</v>
      </c>
      <c r="H599" t="s">
        <v>15</v>
      </c>
    </row>
    <row r="600" spans="1:8" x14ac:dyDescent="0.2">
      <c r="A600" t="s">
        <v>557</v>
      </c>
      <c r="B600" t="s">
        <v>1656</v>
      </c>
      <c r="C600" t="s">
        <v>1092</v>
      </c>
      <c r="D600" t="s">
        <v>1126</v>
      </c>
      <c r="E600">
        <v>504.13200000000001</v>
      </c>
      <c r="F600">
        <v>451</v>
      </c>
      <c r="G600" t="s">
        <v>1236</v>
      </c>
      <c r="H600" t="s">
        <v>15</v>
      </c>
    </row>
    <row r="601" spans="1:8" x14ac:dyDescent="0.2">
      <c r="A601" t="s">
        <v>557</v>
      </c>
      <c r="B601" t="s">
        <v>1657</v>
      </c>
      <c r="C601" t="s">
        <v>1092</v>
      </c>
      <c r="D601" t="s">
        <v>1126</v>
      </c>
      <c r="E601">
        <v>99.590999999999994</v>
      </c>
      <c r="F601">
        <v>208</v>
      </c>
      <c r="G601" t="s">
        <v>1236</v>
      </c>
      <c r="H601" t="s">
        <v>15</v>
      </c>
    </row>
    <row r="602" spans="1:8" x14ac:dyDescent="0.2">
      <c r="A602" t="s">
        <v>557</v>
      </c>
      <c r="B602" t="s">
        <v>1658</v>
      </c>
      <c r="C602" t="s">
        <v>1092</v>
      </c>
      <c r="D602" t="s">
        <v>1126</v>
      </c>
      <c r="E602">
        <v>703.62763600000005</v>
      </c>
      <c r="F602">
        <v>553</v>
      </c>
      <c r="G602" t="s">
        <v>1236</v>
      </c>
      <c r="H602" t="s">
        <v>15</v>
      </c>
    </row>
    <row r="603" spans="1:8" x14ac:dyDescent="0.2">
      <c r="A603" t="s">
        <v>557</v>
      </c>
      <c r="B603" t="s">
        <v>1659</v>
      </c>
      <c r="C603" t="s">
        <v>1092</v>
      </c>
      <c r="D603" t="s">
        <v>1126</v>
      </c>
      <c r="E603">
        <v>4382.7190000000001</v>
      </c>
      <c r="F603">
        <v>3115</v>
      </c>
      <c r="G603" t="s">
        <v>1236</v>
      </c>
      <c r="H603" t="s">
        <v>15</v>
      </c>
    </row>
    <row r="604" spans="1:8" x14ac:dyDescent="0.2">
      <c r="A604" t="s">
        <v>557</v>
      </c>
      <c r="B604" t="s">
        <v>1660</v>
      </c>
      <c r="C604" t="s">
        <v>1092</v>
      </c>
      <c r="D604" t="s">
        <v>1126</v>
      </c>
      <c r="E604">
        <v>2214.3180000000002</v>
      </c>
      <c r="F604">
        <v>1176</v>
      </c>
      <c r="G604" t="s">
        <v>1236</v>
      </c>
      <c r="H604" t="s">
        <v>15</v>
      </c>
    </row>
    <row r="605" spans="1:8" x14ac:dyDescent="0.2">
      <c r="A605" t="s">
        <v>557</v>
      </c>
      <c r="B605" t="s">
        <v>1661</v>
      </c>
      <c r="C605" t="s">
        <v>1092</v>
      </c>
      <c r="D605" t="s">
        <v>1126</v>
      </c>
      <c r="E605">
        <v>751.49099999999999</v>
      </c>
      <c r="F605">
        <v>590</v>
      </c>
      <c r="G605" t="s">
        <v>1236</v>
      </c>
      <c r="H605" t="s">
        <v>15</v>
      </c>
    </row>
    <row r="606" spans="1:8" x14ac:dyDescent="0.2">
      <c r="A606" t="s">
        <v>557</v>
      </c>
      <c r="B606" t="s">
        <v>1662</v>
      </c>
      <c r="C606" t="s">
        <v>1092</v>
      </c>
      <c r="D606" t="s">
        <v>1126</v>
      </c>
      <c r="E606">
        <v>979.33418099999994</v>
      </c>
      <c r="F606">
        <v>791</v>
      </c>
      <c r="G606" t="s">
        <v>1236</v>
      </c>
      <c r="H606" t="s">
        <v>15</v>
      </c>
    </row>
    <row r="607" spans="1:8" x14ac:dyDescent="0.2">
      <c r="A607" t="s">
        <v>557</v>
      </c>
      <c r="B607" t="s">
        <v>1663</v>
      </c>
      <c r="C607" t="s">
        <v>1092</v>
      </c>
      <c r="D607" t="s">
        <v>1126</v>
      </c>
      <c r="E607">
        <v>303.02228600000001</v>
      </c>
      <c r="F607">
        <v>255</v>
      </c>
      <c r="G607" t="s">
        <v>1236</v>
      </c>
      <c r="H607" t="s">
        <v>15</v>
      </c>
    </row>
    <row r="608" spans="1:8" x14ac:dyDescent="0.2">
      <c r="A608" t="s">
        <v>557</v>
      </c>
      <c r="B608" t="s">
        <v>1664</v>
      </c>
      <c r="C608" t="s">
        <v>1092</v>
      </c>
      <c r="D608" t="s">
        <v>1126</v>
      </c>
      <c r="E608">
        <v>719.90072699999996</v>
      </c>
      <c r="F608">
        <v>562</v>
      </c>
      <c r="G608" t="s">
        <v>1236</v>
      </c>
      <c r="H608" t="s">
        <v>15</v>
      </c>
    </row>
    <row r="609" spans="1:8" x14ac:dyDescent="0.2">
      <c r="A609" t="s">
        <v>557</v>
      </c>
      <c r="B609" t="s">
        <v>1665</v>
      </c>
      <c r="C609" t="s">
        <v>1092</v>
      </c>
      <c r="D609" t="s">
        <v>1126</v>
      </c>
      <c r="E609">
        <v>756.53828599999997</v>
      </c>
      <c r="F609">
        <v>577</v>
      </c>
      <c r="G609" t="s">
        <v>1236</v>
      </c>
      <c r="H609" t="s">
        <v>15</v>
      </c>
    </row>
    <row r="610" spans="1:8" x14ac:dyDescent="0.2">
      <c r="A610" t="s">
        <v>557</v>
      </c>
      <c r="B610" t="s">
        <v>1666</v>
      </c>
      <c r="C610" t="s">
        <v>1092</v>
      </c>
      <c r="D610" t="s">
        <v>1126</v>
      </c>
      <c r="E610">
        <v>3390.4268480000001</v>
      </c>
      <c r="F610">
        <v>2356</v>
      </c>
      <c r="G610" t="s">
        <v>1236</v>
      </c>
      <c r="H610" t="s">
        <v>15</v>
      </c>
    </row>
    <row r="611" spans="1:8" x14ac:dyDescent="0.2">
      <c r="A611" t="s">
        <v>557</v>
      </c>
      <c r="B611" t="s">
        <v>1667</v>
      </c>
      <c r="C611" t="s">
        <v>1092</v>
      </c>
      <c r="D611" t="s">
        <v>1126</v>
      </c>
      <c r="E611">
        <v>1230.545302</v>
      </c>
      <c r="F611">
        <v>698</v>
      </c>
      <c r="G611" t="s">
        <v>1236</v>
      </c>
      <c r="H611" t="s">
        <v>15</v>
      </c>
    </row>
    <row r="612" spans="1:8" x14ac:dyDescent="0.2">
      <c r="A612" t="s">
        <v>557</v>
      </c>
      <c r="B612" t="s">
        <v>1668</v>
      </c>
      <c r="C612" t="s">
        <v>1092</v>
      </c>
      <c r="D612" t="s">
        <v>1126</v>
      </c>
      <c r="E612">
        <v>21361.892</v>
      </c>
      <c r="F612">
        <v>10687</v>
      </c>
      <c r="G612" t="s">
        <v>1109</v>
      </c>
      <c r="H612" t="s">
        <v>15</v>
      </c>
    </row>
    <row r="613" spans="1:8" x14ac:dyDescent="0.2">
      <c r="A613" t="s">
        <v>557</v>
      </c>
      <c r="B613" t="s">
        <v>1669</v>
      </c>
      <c r="C613" t="s">
        <v>1092</v>
      </c>
      <c r="D613" t="s">
        <v>1126</v>
      </c>
      <c r="E613">
        <v>409.49236400000001</v>
      </c>
      <c r="F613">
        <v>363</v>
      </c>
      <c r="G613" t="s">
        <v>1236</v>
      </c>
      <c r="H613" t="s">
        <v>15</v>
      </c>
    </row>
    <row r="614" spans="1:8" x14ac:dyDescent="0.2">
      <c r="A614" t="s">
        <v>557</v>
      </c>
      <c r="B614" t="s">
        <v>1670</v>
      </c>
      <c r="C614" t="s">
        <v>1092</v>
      </c>
      <c r="D614" t="s">
        <v>1126</v>
      </c>
      <c r="E614">
        <v>846.36599999999999</v>
      </c>
      <c r="F614">
        <v>465</v>
      </c>
      <c r="G614" t="s">
        <v>1236</v>
      </c>
      <c r="H614" t="s">
        <v>15</v>
      </c>
    </row>
    <row r="615" spans="1:8" x14ac:dyDescent="0.2">
      <c r="A615" t="s">
        <v>557</v>
      </c>
      <c r="B615" t="s">
        <v>1671</v>
      </c>
      <c r="C615" t="s">
        <v>1092</v>
      </c>
      <c r="D615" t="s">
        <v>1126</v>
      </c>
      <c r="E615">
        <v>949.75199999999995</v>
      </c>
      <c r="F615">
        <v>801</v>
      </c>
      <c r="G615" t="s">
        <v>1236</v>
      </c>
      <c r="H615" t="s">
        <v>15</v>
      </c>
    </row>
    <row r="616" spans="1:8" x14ac:dyDescent="0.2">
      <c r="A616" t="s">
        <v>557</v>
      </c>
      <c r="B616" t="s">
        <v>1672</v>
      </c>
      <c r="C616" t="s">
        <v>1092</v>
      </c>
      <c r="D616" t="s">
        <v>1126</v>
      </c>
      <c r="E616">
        <v>938.41854499999999</v>
      </c>
      <c r="F616">
        <v>638</v>
      </c>
      <c r="G616" t="s">
        <v>1236</v>
      </c>
      <c r="H616" t="s">
        <v>15</v>
      </c>
    </row>
    <row r="617" spans="1:8" x14ac:dyDescent="0.2">
      <c r="A617" t="s">
        <v>557</v>
      </c>
      <c r="B617" t="s">
        <v>1673</v>
      </c>
      <c r="C617" t="s">
        <v>1092</v>
      </c>
      <c r="D617" t="s">
        <v>1126</v>
      </c>
      <c r="E617">
        <v>841.36690899999996</v>
      </c>
      <c r="F617">
        <v>710</v>
      </c>
      <c r="G617" t="s">
        <v>1236</v>
      </c>
      <c r="H617" t="s">
        <v>15</v>
      </c>
    </row>
    <row r="618" spans="1:8" x14ac:dyDescent="0.2">
      <c r="A618" t="s">
        <v>557</v>
      </c>
      <c r="B618" t="s">
        <v>1674</v>
      </c>
      <c r="C618" t="s">
        <v>1092</v>
      </c>
      <c r="D618" t="s">
        <v>1126</v>
      </c>
      <c r="E618">
        <v>549.58199999999999</v>
      </c>
      <c r="F618">
        <v>403</v>
      </c>
      <c r="G618" t="s">
        <v>1236</v>
      </c>
      <c r="H618" t="s">
        <v>15</v>
      </c>
    </row>
    <row r="619" spans="1:8" x14ac:dyDescent="0.2">
      <c r="A619" t="s">
        <v>557</v>
      </c>
      <c r="B619" t="s">
        <v>1675</v>
      </c>
      <c r="C619" t="s">
        <v>1092</v>
      </c>
      <c r="D619" t="s">
        <v>1126</v>
      </c>
      <c r="E619">
        <v>869.45333300000004</v>
      </c>
      <c r="F619">
        <v>742</v>
      </c>
      <c r="G619" t="s">
        <v>1236</v>
      </c>
      <c r="H619" t="s">
        <v>15</v>
      </c>
    </row>
    <row r="620" spans="1:8" x14ac:dyDescent="0.2">
      <c r="A620" t="s">
        <v>557</v>
      </c>
      <c r="B620" t="s">
        <v>1676</v>
      </c>
      <c r="C620" t="s">
        <v>1092</v>
      </c>
      <c r="D620" t="s">
        <v>1126</v>
      </c>
      <c r="E620">
        <v>1171.288364</v>
      </c>
      <c r="F620">
        <v>871</v>
      </c>
      <c r="G620" t="s">
        <v>1236</v>
      </c>
      <c r="H620" t="s">
        <v>15</v>
      </c>
    </row>
    <row r="621" spans="1:8" x14ac:dyDescent="0.2">
      <c r="A621" t="s">
        <v>557</v>
      </c>
      <c r="B621" t="s">
        <v>1677</v>
      </c>
      <c r="C621" t="s">
        <v>1092</v>
      </c>
      <c r="D621" t="s">
        <v>1126</v>
      </c>
      <c r="E621">
        <v>1807.335429</v>
      </c>
      <c r="F621">
        <v>1425</v>
      </c>
      <c r="G621" t="s">
        <v>1236</v>
      </c>
      <c r="H621" t="s">
        <v>15</v>
      </c>
    </row>
    <row r="622" spans="1:8" x14ac:dyDescent="0.2">
      <c r="A622" t="s">
        <v>557</v>
      </c>
      <c r="B622" t="s">
        <v>1678</v>
      </c>
      <c r="C622" t="s">
        <v>1092</v>
      </c>
      <c r="D622" t="s">
        <v>1126</v>
      </c>
      <c r="E622">
        <v>4072.6946670000002</v>
      </c>
      <c r="F622">
        <v>2754</v>
      </c>
      <c r="G622" t="s">
        <v>1236</v>
      </c>
      <c r="H622" t="s">
        <v>15</v>
      </c>
    </row>
    <row r="623" spans="1:8" x14ac:dyDescent="0.2">
      <c r="A623" t="s">
        <v>557</v>
      </c>
      <c r="B623" t="s">
        <v>1679</v>
      </c>
      <c r="C623" t="s">
        <v>1092</v>
      </c>
      <c r="D623" t="s">
        <v>1126</v>
      </c>
      <c r="E623">
        <v>662.91272700000002</v>
      </c>
      <c r="F623">
        <v>774</v>
      </c>
      <c r="G623" t="s">
        <v>1236</v>
      </c>
      <c r="H623" t="s">
        <v>15</v>
      </c>
    </row>
    <row r="624" spans="1:8" x14ac:dyDescent="0.2">
      <c r="A624" t="s">
        <v>557</v>
      </c>
      <c r="B624" t="s">
        <v>1680</v>
      </c>
      <c r="C624" t="s">
        <v>1092</v>
      </c>
      <c r="D624" t="s">
        <v>1126</v>
      </c>
      <c r="E624">
        <v>887.54072699999995</v>
      </c>
      <c r="F624">
        <v>641</v>
      </c>
      <c r="G624" t="s">
        <v>1236</v>
      </c>
      <c r="H624" t="s">
        <v>15</v>
      </c>
    </row>
    <row r="625" spans="1:8" x14ac:dyDescent="0.2">
      <c r="A625" t="s">
        <v>557</v>
      </c>
      <c r="B625" t="s">
        <v>1681</v>
      </c>
      <c r="C625" t="s">
        <v>1092</v>
      </c>
      <c r="D625" t="s">
        <v>1126</v>
      </c>
      <c r="E625">
        <v>2918.635636</v>
      </c>
      <c r="F625">
        <v>2151</v>
      </c>
      <c r="G625" t="s">
        <v>1236</v>
      </c>
      <c r="H625" t="s">
        <v>15</v>
      </c>
    </row>
    <row r="626" spans="1:8" x14ac:dyDescent="0.2">
      <c r="A626" t="s">
        <v>557</v>
      </c>
      <c r="B626" t="s">
        <v>1682</v>
      </c>
      <c r="C626" t="s">
        <v>1092</v>
      </c>
      <c r="D626" t="s">
        <v>1126</v>
      </c>
      <c r="E626">
        <v>634.21349999999995</v>
      </c>
      <c r="F626">
        <v>453</v>
      </c>
      <c r="G626" t="s">
        <v>1236</v>
      </c>
      <c r="H626" t="s">
        <v>15</v>
      </c>
    </row>
    <row r="627" spans="1:8" x14ac:dyDescent="0.2">
      <c r="A627" t="s">
        <v>557</v>
      </c>
      <c r="B627" t="s">
        <v>1683</v>
      </c>
      <c r="C627" t="s">
        <v>1092</v>
      </c>
      <c r="D627" t="s">
        <v>1126</v>
      </c>
      <c r="E627">
        <v>256.98149999999998</v>
      </c>
      <c r="F627">
        <v>256</v>
      </c>
      <c r="G627" t="s">
        <v>1236</v>
      </c>
      <c r="H627" t="s">
        <v>15</v>
      </c>
    </row>
    <row r="628" spans="1:8" x14ac:dyDescent="0.2">
      <c r="A628" t="s">
        <v>557</v>
      </c>
      <c r="B628" t="s">
        <v>1684</v>
      </c>
      <c r="C628" t="s">
        <v>1092</v>
      </c>
      <c r="D628" t="s">
        <v>1126</v>
      </c>
      <c r="E628">
        <v>68.569999999999993</v>
      </c>
      <c r="F628">
        <v>43</v>
      </c>
      <c r="G628" t="s">
        <v>1236</v>
      </c>
      <c r="H628" t="s">
        <v>15</v>
      </c>
    </row>
    <row r="629" spans="1:8" x14ac:dyDescent="0.2">
      <c r="A629" t="s">
        <v>557</v>
      </c>
      <c r="B629" t="s">
        <v>1685</v>
      </c>
      <c r="C629" t="s">
        <v>1092</v>
      </c>
      <c r="D629" t="s">
        <v>1126</v>
      </c>
      <c r="E629">
        <v>676.77490899999998</v>
      </c>
      <c r="F629">
        <v>550</v>
      </c>
      <c r="G629" t="s">
        <v>1236</v>
      </c>
      <c r="H629" t="s">
        <v>15</v>
      </c>
    </row>
    <row r="630" spans="1:8" x14ac:dyDescent="0.2">
      <c r="A630" t="s">
        <v>557</v>
      </c>
      <c r="B630" t="s">
        <v>1686</v>
      </c>
      <c r="C630" t="s">
        <v>1092</v>
      </c>
      <c r="D630" t="s">
        <v>1126</v>
      </c>
      <c r="E630">
        <v>1443.4839999999999</v>
      </c>
      <c r="F630">
        <v>923</v>
      </c>
      <c r="G630" t="s">
        <v>1236</v>
      </c>
      <c r="H630" t="s">
        <v>15</v>
      </c>
    </row>
    <row r="631" spans="1:8" x14ac:dyDescent="0.2">
      <c r="A631" t="s">
        <v>557</v>
      </c>
      <c r="B631" t="s">
        <v>1687</v>
      </c>
      <c r="C631" t="s">
        <v>1092</v>
      </c>
      <c r="D631" t="s">
        <v>1126</v>
      </c>
      <c r="E631">
        <v>847.73400000000004</v>
      </c>
      <c r="F631">
        <v>642</v>
      </c>
      <c r="G631" t="s">
        <v>1236</v>
      </c>
      <c r="H631" t="s">
        <v>15</v>
      </c>
    </row>
    <row r="632" spans="1:8" x14ac:dyDescent="0.2">
      <c r="A632" t="s">
        <v>557</v>
      </c>
      <c r="B632" t="s">
        <v>1688</v>
      </c>
      <c r="C632" t="s">
        <v>1092</v>
      </c>
      <c r="D632" t="s">
        <v>1126</v>
      </c>
      <c r="E632">
        <v>2124.672</v>
      </c>
      <c r="F632">
        <v>1295</v>
      </c>
      <c r="G632" t="s">
        <v>1236</v>
      </c>
      <c r="H632" t="s">
        <v>15</v>
      </c>
    </row>
    <row r="633" spans="1:8" x14ac:dyDescent="0.2">
      <c r="A633" t="s">
        <v>557</v>
      </c>
      <c r="B633" t="s">
        <v>1099</v>
      </c>
      <c r="C633" t="s">
        <v>1100</v>
      </c>
      <c r="D633" t="s">
        <v>35</v>
      </c>
      <c r="E633">
        <v>117612.55197</v>
      </c>
      <c r="F633">
        <v>73227</v>
      </c>
      <c r="G633" t="s">
        <v>35</v>
      </c>
      <c r="H633" t="s">
        <v>15</v>
      </c>
    </row>
    <row r="634" spans="1:8" x14ac:dyDescent="0.2">
      <c r="A634" t="s">
        <v>105</v>
      </c>
      <c r="B634" t="s">
        <v>1689</v>
      </c>
      <c r="C634" t="s">
        <v>1092</v>
      </c>
      <c r="D634" t="s">
        <v>1096</v>
      </c>
      <c r="E634">
        <v>24559.660967</v>
      </c>
      <c r="F634">
        <v>4</v>
      </c>
      <c r="G634" t="s">
        <v>1093</v>
      </c>
      <c r="H634" t="s">
        <v>15</v>
      </c>
    </row>
    <row r="635" spans="1:8" x14ac:dyDescent="0.2">
      <c r="A635" t="s">
        <v>105</v>
      </c>
      <c r="B635" t="s">
        <v>1099</v>
      </c>
      <c r="C635" t="s">
        <v>1100</v>
      </c>
      <c r="D635" t="s">
        <v>35</v>
      </c>
      <c r="E635">
        <v>24559.660967</v>
      </c>
      <c r="F635">
        <v>4</v>
      </c>
      <c r="G635" t="s">
        <v>35</v>
      </c>
      <c r="H635" t="s">
        <v>15</v>
      </c>
    </row>
    <row r="636" spans="1:8" x14ac:dyDescent="0.2">
      <c r="A636" t="s">
        <v>1690</v>
      </c>
      <c r="B636" t="s">
        <v>1691</v>
      </c>
      <c r="C636" t="s">
        <v>1092</v>
      </c>
      <c r="D636" t="s">
        <v>1061</v>
      </c>
      <c r="E636">
        <v>204101.09450000001</v>
      </c>
      <c r="F636">
        <v>26</v>
      </c>
      <c r="G636" t="s">
        <v>1103</v>
      </c>
      <c r="H636" t="s">
        <v>15</v>
      </c>
    </row>
    <row r="637" spans="1:8" x14ac:dyDescent="0.2">
      <c r="A637" t="s">
        <v>1690</v>
      </c>
      <c r="B637" t="s">
        <v>1099</v>
      </c>
      <c r="C637" t="s">
        <v>1100</v>
      </c>
      <c r="D637" t="s">
        <v>35</v>
      </c>
      <c r="E637">
        <v>204101.09450000001</v>
      </c>
      <c r="F637">
        <v>26</v>
      </c>
      <c r="G637" t="s">
        <v>35</v>
      </c>
      <c r="H637" t="s">
        <v>15</v>
      </c>
    </row>
    <row r="638" spans="1:8" x14ac:dyDescent="0.2">
      <c r="A638" t="s">
        <v>1692</v>
      </c>
      <c r="B638" t="s">
        <v>1693</v>
      </c>
      <c r="C638" t="s">
        <v>1092</v>
      </c>
      <c r="D638" t="s">
        <v>1058</v>
      </c>
      <c r="E638">
        <v>534637.09100000001</v>
      </c>
      <c r="F638">
        <v>119</v>
      </c>
      <c r="G638" t="s">
        <v>1103</v>
      </c>
      <c r="H638" t="s">
        <v>15</v>
      </c>
    </row>
    <row r="639" spans="1:8" x14ac:dyDescent="0.2">
      <c r="A639" t="s">
        <v>1692</v>
      </c>
      <c r="B639" t="s">
        <v>1099</v>
      </c>
      <c r="C639" t="s">
        <v>1100</v>
      </c>
      <c r="D639" t="s">
        <v>35</v>
      </c>
      <c r="E639">
        <v>534637.09100000001</v>
      </c>
      <c r="F639">
        <v>119</v>
      </c>
      <c r="G639" t="s">
        <v>35</v>
      </c>
      <c r="H639" t="s">
        <v>15</v>
      </c>
    </row>
    <row r="640" spans="1:8" x14ac:dyDescent="0.2">
      <c r="A640" t="s">
        <v>1694</v>
      </c>
      <c r="B640" t="s">
        <v>1695</v>
      </c>
      <c r="C640" t="s">
        <v>1092</v>
      </c>
      <c r="D640" t="s">
        <v>1096</v>
      </c>
      <c r="E640">
        <v>117087.976</v>
      </c>
      <c r="F640">
        <v>54</v>
      </c>
      <c r="G640" t="s">
        <v>1093</v>
      </c>
      <c r="H640" t="s">
        <v>15</v>
      </c>
    </row>
    <row r="641" spans="1:8" x14ac:dyDescent="0.2">
      <c r="A641" t="s">
        <v>1694</v>
      </c>
      <c r="B641" t="s">
        <v>1099</v>
      </c>
      <c r="C641" t="s">
        <v>1100</v>
      </c>
      <c r="D641" t="s">
        <v>35</v>
      </c>
      <c r="E641">
        <v>117087.976</v>
      </c>
      <c r="F641">
        <v>54</v>
      </c>
      <c r="G641" t="s">
        <v>35</v>
      </c>
      <c r="H641" t="s">
        <v>15</v>
      </c>
    </row>
    <row r="642" spans="1:8" x14ac:dyDescent="0.2">
      <c r="A642" t="s">
        <v>57</v>
      </c>
      <c r="B642" t="s">
        <v>1696</v>
      </c>
      <c r="C642" t="s">
        <v>1092</v>
      </c>
      <c r="D642" t="s">
        <v>1058</v>
      </c>
      <c r="E642">
        <v>148575.81554800001</v>
      </c>
      <c r="F642">
        <v>83961</v>
      </c>
      <c r="G642" t="s">
        <v>1144</v>
      </c>
      <c r="H642" t="s">
        <v>15</v>
      </c>
    </row>
    <row r="643" spans="1:8" x14ac:dyDescent="0.2">
      <c r="A643" t="s">
        <v>57</v>
      </c>
      <c r="B643" t="s">
        <v>1099</v>
      </c>
      <c r="C643" t="s">
        <v>1100</v>
      </c>
      <c r="D643" t="s">
        <v>35</v>
      </c>
      <c r="E643">
        <v>148575.81554800001</v>
      </c>
      <c r="F643">
        <v>83961</v>
      </c>
      <c r="G643" t="s">
        <v>35</v>
      </c>
      <c r="H643" t="s">
        <v>15</v>
      </c>
    </row>
    <row r="644" spans="1:8" x14ac:dyDescent="0.2">
      <c r="A644" t="s">
        <v>1697</v>
      </c>
      <c r="B644" t="s">
        <v>1698</v>
      </c>
      <c r="C644" t="s">
        <v>1092</v>
      </c>
      <c r="D644" t="s">
        <v>1058</v>
      </c>
      <c r="E644">
        <v>180287.022</v>
      </c>
      <c r="F644">
        <v>17</v>
      </c>
      <c r="G644" t="s">
        <v>1103</v>
      </c>
      <c r="H644" t="s">
        <v>15</v>
      </c>
    </row>
    <row r="645" spans="1:8" x14ac:dyDescent="0.2">
      <c r="A645" t="s">
        <v>1697</v>
      </c>
      <c r="B645" t="s">
        <v>1099</v>
      </c>
      <c r="C645" t="s">
        <v>1100</v>
      </c>
      <c r="D645" t="s">
        <v>35</v>
      </c>
      <c r="E645">
        <v>180287.022</v>
      </c>
      <c r="F645">
        <v>17</v>
      </c>
      <c r="G645" t="s">
        <v>35</v>
      </c>
      <c r="H645" t="s">
        <v>15</v>
      </c>
    </row>
    <row r="646" spans="1:8" x14ac:dyDescent="0.2">
      <c r="A646" t="s">
        <v>1699</v>
      </c>
      <c r="B646" t="s">
        <v>1700</v>
      </c>
      <c r="C646" t="s">
        <v>1092</v>
      </c>
      <c r="D646" t="s">
        <v>1061</v>
      </c>
      <c r="E646">
        <v>36774.314637000003</v>
      </c>
      <c r="F646">
        <v>17</v>
      </c>
      <c r="G646" t="s">
        <v>1103</v>
      </c>
      <c r="H646" t="s">
        <v>15</v>
      </c>
    </row>
    <row r="647" spans="1:8" x14ac:dyDescent="0.2">
      <c r="A647" t="s">
        <v>1699</v>
      </c>
      <c r="B647" t="s">
        <v>1701</v>
      </c>
      <c r="C647" t="s">
        <v>1092</v>
      </c>
      <c r="D647" t="s">
        <v>1126</v>
      </c>
      <c r="E647">
        <v>849.56549099999995</v>
      </c>
      <c r="F647">
        <v>0</v>
      </c>
      <c r="G647" t="s">
        <v>1103</v>
      </c>
      <c r="H647" t="s">
        <v>15</v>
      </c>
    </row>
    <row r="648" spans="1:8" x14ac:dyDescent="0.2">
      <c r="A648" t="s">
        <v>1699</v>
      </c>
      <c r="B648" t="s">
        <v>1702</v>
      </c>
      <c r="C648" t="s">
        <v>1092</v>
      </c>
      <c r="D648" t="s">
        <v>1061</v>
      </c>
      <c r="E648">
        <v>61829.115157</v>
      </c>
      <c r="F648">
        <v>17</v>
      </c>
      <c r="G648" t="s">
        <v>1103</v>
      </c>
      <c r="H648" t="s">
        <v>15</v>
      </c>
    </row>
    <row r="649" spans="1:8" x14ac:dyDescent="0.2">
      <c r="A649" t="s">
        <v>1699</v>
      </c>
      <c r="B649" t="s">
        <v>1703</v>
      </c>
      <c r="C649" t="s">
        <v>1092</v>
      </c>
      <c r="D649" t="s">
        <v>1215</v>
      </c>
      <c r="E649">
        <v>1857.284701</v>
      </c>
      <c r="F649">
        <v>0</v>
      </c>
      <c r="G649" t="s">
        <v>1103</v>
      </c>
      <c r="H649" t="s">
        <v>15</v>
      </c>
    </row>
    <row r="650" spans="1:8" x14ac:dyDescent="0.2">
      <c r="A650" t="s">
        <v>1699</v>
      </c>
      <c r="B650" t="s">
        <v>1704</v>
      </c>
      <c r="C650" t="s">
        <v>1092</v>
      </c>
      <c r="D650" t="s">
        <v>1096</v>
      </c>
      <c r="E650">
        <v>27832.592128</v>
      </c>
      <c r="F650">
        <v>2</v>
      </c>
      <c r="G650" t="s">
        <v>1103</v>
      </c>
      <c r="H650" t="s">
        <v>15</v>
      </c>
    </row>
    <row r="651" spans="1:8" x14ac:dyDescent="0.2">
      <c r="A651" t="s">
        <v>1699</v>
      </c>
      <c r="B651" t="s">
        <v>1705</v>
      </c>
      <c r="C651" t="s">
        <v>1092</v>
      </c>
      <c r="D651" t="s">
        <v>1215</v>
      </c>
      <c r="E651">
        <v>8452.2568759999995</v>
      </c>
      <c r="F651">
        <v>2</v>
      </c>
      <c r="G651" t="s">
        <v>1103</v>
      </c>
      <c r="H651" t="s">
        <v>15</v>
      </c>
    </row>
    <row r="652" spans="1:8" x14ac:dyDescent="0.2">
      <c r="A652" t="s">
        <v>1699</v>
      </c>
      <c r="B652" t="s">
        <v>1099</v>
      </c>
      <c r="C652" t="s">
        <v>1100</v>
      </c>
      <c r="D652" t="s">
        <v>35</v>
      </c>
      <c r="E652">
        <v>137595.12899</v>
      </c>
      <c r="F652">
        <v>38</v>
      </c>
      <c r="G652" t="s">
        <v>35</v>
      </c>
      <c r="H652" t="s">
        <v>15</v>
      </c>
    </row>
    <row r="653" spans="1:8" x14ac:dyDescent="0.2">
      <c r="A653" t="s">
        <v>53</v>
      </c>
      <c r="B653" t="s">
        <v>1706</v>
      </c>
      <c r="C653" t="s">
        <v>1092</v>
      </c>
      <c r="D653" t="s">
        <v>1058</v>
      </c>
      <c r="E653">
        <v>7260315.4809999997</v>
      </c>
      <c r="F653">
        <v>7043816</v>
      </c>
      <c r="G653" t="s">
        <v>1111</v>
      </c>
      <c r="H653" t="s">
        <v>15</v>
      </c>
    </row>
    <row r="654" spans="1:8" x14ac:dyDescent="0.2">
      <c r="A654" t="s">
        <v>53</v>
      </c>
      <c r="B654" t="s">
        <v>1099</v>
      </c>
      <c r="C654" t="s">
        <v>1100</v>
      </c>
      <c r="D654" t="s">
        <v>35</v>
      </c>
      <c r="E654">
        <v>7260315.4809999997</v>
      </c>
      <c r="F654">
        <v>7043816</v>
      </c>
      <c r="G654" t="s">
        <v>35</v>
      </c>
      <c r="H654" t="s">
        <v>15</v>
      </c>
    </row>
    <row r="655" spans="1:8" x14ac:dyDescent="0.2">
      <c r="A655" t="s">
        <v>87</v>
      </c>
      <c r="B655" t="s">
        <v>1707</v>
      </c>
      <c r="C655" t="s">
        <v>1092</v>
      </c>
      <c r="D655" t="s">
        <v>1061</v>
      </c>
      <c r="E655">
        <v>197665.832998</v>
      </c>
      <c r="F655">
        <v>86</v>
      </c>
      <c r="G655" t="s">
        <v>1103</v>
      </c>
      <c r="H655" t="s">
        <v>15</v>
      </c>
    </row>
    <row r="656" spans="1:8" x14ac:dyDescent="0.2">
      <c r="A656" t="s">
        <v>87</v>
      </c>
      <c r="B656" t="s">
        <v>1708</v>
      </c>
      <c r="C656" t="s">
        <v>1092</v>
      </c>
      <c r="D656" t="s">
        <v>1126</v>
      </c>
      <c r="E656">
        <v>185373</v>
      </c>
      <c r="F656">
        <v>115984</v>
      </c>
      <c r="G656" t="s">
        <v>1109</v>
      </c>
      <c r="H656" t="s">
        <v>15</v>
      </c>
    </row>
    <row r="657" spans="1:8" x14ac:dyDescent="0.2">
      <c r="A657" t="s">
        <v>87</v>
      </c>
      <c r="B657" t="s">
        <v>1709</v>
      </c>
      <c r="C657" t="s">
        <v>1092</v>
      </c>
      <c r="D657" t="s">
        <v>1061</v>
      </c>
      <c r="E657">
        <v>78322.600000000006</v>
      </c>
      <c r="F657">
        <v>53337</v>
      </c>
      <c r="G657" t="s">
        <v>1109</v>
      </c>
      <c r="H657" t="s">
        <v>15</v>
      </c>
    </row>
    <row r="658" spans="1:8" x14ac:dyDescent="0.2">
      <c r="A658" t="s">
        <v>87</v>
      </c>
      <c r="B658" t="s">
        <v>1099</v>
      </c>
      <c r="C658" t="s">
        <v>1100</v>
      </c>
      <c r="D658" t="s">
        <v>35</v>
      </c>
      <c r="E658">
        <v>461361.432998</v>
      </c>
      <c r="F658">
        <v>169407</v>
      </c>
      <c r="G658" t="s">
        <v>35</v>
      </c>
      <c r="H658" t="s">
        <v>15</v>
      </c>
    </row>
    <row r="659" spans="1:8" x14ac:dyDescent="0.2">
      <c r="A659" t="s">
        <v>1710</v>
      </c>
      <c r="B659" t="s">
        <v>1711</v>
      </c>
      <c r="C659" t="s">
        <v>1092</v>
      </c>
      <c r="D659" t="s">
        <v>1064</v>
      </c>
      <c r="E659">
        <v>551912.0736</v>
      </c>
      <c r="F659">
        <v>185</v>
      </c>
      <c r="G659" t="s">
        <v>1093</v>
      </c>
      <c r="H659" t="s">
        <v>15</v>
      </c>
    </row>
    <row r="660" spans="1:8" x14ac:dyDescent="0.2">
      <c r="A660" t="s">
        <v>1710</v>
      </c>
      <c r="B660" t="s">
        <v>1712</v>
      </c>
      <c r="C660" t="s">
        <v>1092</v>
      </c>
      <c r="D660" t="s">
        <v>1064</v>
      </c>
      <c r="E660">
        <v>208639.42980400001</v>
      </c>
      <c r="F660">
        <v>87</v>
      </c>
      <c r="G660" t="s">
        <v>1093</v>
      </c>
      <c r="H660" t="s">
        <v>15</v>
      </c>
    </row>
    <row r="661" spans="1:8" x14ac:dyDescent="0.2">
      <c r="A661" t="s">
        <v>1710</v>
      </c>
      <c r="B661" t="s">
        <v>1713</v>
      </c>
      <c r="C661" t="s">
        <v>1092</v>
      </c>
      <c r="D661" t="s">
        <v>1064</v>
      </c>
      <c r="E661">
        <v>231387.703094</v>
      </c>
      <c r="F661">
        <v>77</v>
      </c>
      <c r="G661" t="s">
        <v>1093</v>
      </c>
      <c r="H661" t="s">
        <v>15</v>
      </c>
    </row>
    <row r="662" spans="1:8" x14ac:dyDescent="0.2">
      <c r="A662" t="s">
        <v>1710</v>
      </c>
      <c r="B662" t="s">
        <v>1099</v>
      </c>
      <c r="C662" t="s">
        <v>1100</v>
      </c>
      <c r="D662" t="s">
        <v>35</v>
      </c>
      <c r="E662">
        <v>991939.20649799996</v>
      </c>
      <c r="F662">
        <v>349</v>
      </c>
      <c r="G662" t="s">
        <v>35</v>
      </c>
      <c r="H662" t="s">
        <v>15</v>
      </c>
    </row>
    <row r="663" spans="1:8" x14ac:dyDescent="0.2">
      <c r="A663" t="s">
        <v>1714</v>
      </c>
      <c r="B663" t="s">
        <v>1715</v>
      </c>
      <c r="C663" t="s">
        <v>1092</v>
      </c>
      <c r="D663" t="s">
        <v>1052</v>
      </c>
      <c r="E663">
        <v>305275.16700000002</v>
      </c>
      <c r="F663">
        <v>103</v>
      </c>
      <c r="G663" t="s">
        <v>1093</v>
      </c>
      <c r="H663" t="s">
        <v>15</v>
      </c>
    </row>
    <row r="664" spans="1:8" x14ac:dyDescent="0.2">
      <c r="A664" t="s">
        <v>1714</v>
      </c>
      <c r="B664" t="s">
        <v>1099</v>
      </c>
      <c r="C664" t="s">
        <v>1100</v>
      </c>
      <c r="D664" t="s">
        <v>35</v>
      </c>
      <c r="E664">
        <v>305275.16700000002</v>
      </c>
      <c r="F664">
        <v>103</v>
      </c>
      <c r="G664" t="s">
        <v>35</v>
      </c>
      <c r="H664" t="s">
        <v>15</v>
      </c>
    </row>
    <row r="665" spans="1:8" x14ac:dyDescent="0.2">
      <c r="A665" t="s">
        <v>249</v>
      </c>
      <c r="B665" t="s">
        <v>1716</v>
      </c>
      <c r="C665" t="s">
        <v>1092</v>
      </c>
      <c r="D665" t="s">
        <v>1052</v>
      </c>
      <c r="E665">
        <v>1911</v>
      </c>
      <c r="F665">
        <v>1325</v>
      </c>
      <c r="G665" t="s">
        <v>1236</v>
      </c>
      <c r="H665" t="s">
        <v>15</v>
      </c>
    </row>
    <row r="666" spans="1:8" x14ac:dyDescent="0.2">
      <c r="A666" t="s">
        <v>249</v>
      </c>
      <c r="B666" t="s">
        <v>1717</v>
      </c>
      <c r="C666" t="s">
        <v>1092</v>
      </c>
      <c r="D666" t="s">
        <v>1058</v>
      </c>
      <c r="E666">
        <v>105240.50773</v>
      </c>
      <c r="F666">
        <v>63830</v>
      </c>
      <c r="G666" t="s">
        <v>1109</v>
      </c>
      <c r="H666" t="s">
        <v>15</v>
      </c>
    </row>
    <row r="667" spans="1:8" x14ac:dyDescent="0.2">
      <c r="A667" t="s">
        <v>249</v>
      </c>
      <c r="B667" t="s">
        <v>1718</v>
      </c>
      <c r="C667" t="s">
        <v>1092</v>
      </c>
      <c r="D667" t="s">
        <v>1058</v>
      </c>
      <c r="E667">
        <v>646</v>
      </c>
      <c r="F667">
        <v>455</v>
      </c>
      <c r="G667" t="s">
        <v>1109</v>
      </c>
      <c r="H667" t="s">
        <v>15</v>
      </c>
    </row>
    <row r="668" spans="1:8" x14ac:dyDescent="0.2">
      <c r="A668" t="s">
        <v>249</v>
      </c>
      <c r="B668" t="s">
        <v>1719</v>
      </c>
      <c r="C668" t="s">
        <v>1092</v>
      </c>
      <c r="D668" t="s">
        <v>1096</v>
      </c>
      <c r="E668">
        <v>116734.33554</v>
      </c>
      <c r="F668">
        <v>72327</v>
      </c>
      <c r="G668" t="s">
        <v>1109</v>
      </c>
      <c r="H668" t="s">
        <v>15</v>
      </c>
    </row>
    <row r="669" spans="1:8" x14ac:dyDescent="0.2">
      <c r="A669" t="s">
        <v>249</v>
      </c>
      <c r="B669" t="s">
        <v>1720</v>
      </c>
      <c r="C669" t="s">
        <v>1092</v>
      </c>
      <c r="D669" t="s">
        <v>1052</v>
      </c>
      <c r="E669">
        <v>5291.3927999999996</v>
      </c>
      <c r="F669">
        <v>3558</v>
      </c>
      <c r="G669" t="s">
        <v>1236</v>
      </c>
      <c r="H669" t="s">
        <v>15</v>
      </c>
    </row>
    <row r="670" spans="1:8" x14ac:dyDescent="0.2">
      <c r="A670" t="s">
        <v>249</v>
      </c>
      <c r="B670" t="s">
        <v>1721</v>
      </c>
      <c r="C670" t="s">
        <v>1092</v>
      </c>
      <c r="D670" t="s">
        <v>1058</v>
      </c>
      <c r="E670">
        <v>4293131.0233100001</v>
      </c>
      <c r="F670">
        <v>1626</v>
      </c>
      <c r="G670" t="s">
        <v>1107</v>
      </c>
      <c r="H670" t="s">
        <v>15</v>
      </c>
    </row>
    <row r="671" spans="1:8" x14ac:dyDescent="0.2">
      <c r="A671" t="s">
        <v>249</v>
      </c>
      <c r="B671" t="s">
        <v>1722</v>
      </c>
      <c r="C671" t="s">
        <v>1092</v>
      </c>
      <c r="D671" t="s">
        <v>1096</v>
      </c>
      <c r="E671">
        <v>22823.766456000001</v>
      </c>
      <c r="F671">
        <v>17317</v>
      </c>
      <c r="G671" t="s">
        <v>1109</v>
      </c>
      <c r="H671" t="s">
        <v>15</v>
      </c>
    </row>
    <row r="672" spans="1:8" x14ac:dyDescent="0.2">
      <c r="A672" t="s">
        <v>249</v>
      </c>
      <c r="B672" t="s">
        <v>1099</v>
      </c>
      <c r="C672" t="s">
        <v>1100</v>
      </c>
      <c r="D672" t="s">
        <v>35</v>
      </c>
      <c r="E672">
        <v>4545778.0258360002</v>
      </c>
      <c r="F672">
        <v>160438</v>
      </c>
      <c r="G672" t="s">
        <v>35</v>
      </c>
      <c r="H672" t="s">
        <v>15</v>
      </c>
    </row>
    <row r="673" spans="1:8" x14ac:dyDescent="0.2">
      <c r="A673" t="s">
        <v>1723</v>
      </c>
      <c r="B673" t="s">
        <v>1724</v>
      </c>
      <c r="C673" t="s">
        <v>1092</v>
      </c>
      <c r="D673" t="s">
        <v>1096</v>
      </c>
      <c r="E673">
        <v>126530.625</v>
      </c>
      <c r="F673">
        <v>93</v>
      </c>
      <c r="G673" t="s">
        <v>1093</v>
      </c>
      <c r="H673" t="s">
        <v>15</v>
      </c>
    </row>
    <row r="674" spans="1:8" x14ac:dyDescent="0.2">
      <c r="A674" t="s">
        <v>1723</v>
      </c>
      <c r="B674" t="s">
        <v>1725</v>
      </c>
      <c r="C674" t="s">
        <v>1092</v>
      </c>
      <c r="D674" t="s">
        <v>1052</v>
      </c>
      <c r="E674">
        <v>174424.603</v>
      </c>
      <c r="F674">
        <v>64</v>
      </c>
      <c r="G674" t="s">
        <v>1093</v>
      </c>
      <c r="H674" t="s">
        <v>15</v>
      </c>
    </row>
    <row r="675" spans="1:8" x14ac:dyDescent="0.2">
      <c r="A675" t="s">
        <v>1723</v>
      </c>
      <c r="B675" t="s">
        <v>1726</v>
      </c>
      <c r="C675" t="s">
        <v>1092</v>
      </c>
      <c r="D675" t="s">
        <v>1096</v>
      </c>
      <c r="E675">
        <v>41487.277000000002</v>
      </c>
      <c r="F675">
        <v>50</v>
      </c>
      <c r="G675" t="s">
        <v>1093</v>
      </c>
      <c r="H675" t="s">
        <v>15</v>
      </c>
    </row>
    <row r="676" spans="1:8" x14ac:dyDescent="0.2">
      <c r="A676" t="s">
        <v>1723</v>
      </c>
      <c r="B676" t="s">
        <v>1727</v>
      </c>
      <c r="C676" t="s">
        <v>1092</v>
      </c>
      <c r="D676" t="s">
        <v>1096</v>
      </c>
      <c r="E676">
        <v>240639.21</v>
      </c>
      <c r="F676">
        <v>72</v>
      </c>
      <c r="G676" t="s">
        <v>1093</v>
      </c>
      <c r="H676" t="s">
        <v>15</v>
      </c>
    </row>
    <row r="677" spans="1:8" x14ac:dyDescent="0.2">
      <c r="A677" t="s">
        <v>1723</v>
      </c>
      <c r="B677" t="s">
        <v>1728</v>
      </c>
      <c r="C677" t="s">
        <v>1092</v>
      </c>
      <c r="D677" t="s">
        <v>1096</v>
      </c>
      <c r="E677">
        <v>0</v>
      </c>
      <c r="F677">
        <v>4</v>
      </c>
      <c r="G677" t="s">
        <v>1191</v>
      </c>
      <c r="H677" t="s">
        <v>15</v>
      </c>
    </row>
    <row r="678" spans="1:8" x14ac:dyDescent="0.2">
      <c r="A678" t="s">
        <v>1723</v>
      </c>
      <c r="B678" t="s">
        <v>1729</v>
      </c>
      <c r="C678" t="s">
        <v>1092</v>
      </c>
      <c r="D678" t="s">
        <v>1096</v>
      </c>
      <c r="E678">
        <v>10069.187</v>
      </c>
      <c r="F678">
        <v>6</v>
      </c>
      <c r="G678" t="s">
        <v>1107</v>
      </c>
      <c r="H678" t="s">
        <v>15</v>
      </c>
    </row>
    <row r="679" spans="1:8" x14ac:dyDescent="0.2">
      <c r="A679" t="s">
        <v>1723</v>
      </c>
      <c r="B679" t="s">
        <v>1730</v>
      </c>
      <c r="C679" t="s">
        <v>1092</v>
      </c>
      <c r="D679" t="s">
        <v>1096</v>
      </c>
      <c r="E679">
        <v>7122.4620000000004</v>
      </c>
      <c r="F679">
        <v>8</v>
      </c>
      <c r="G679" t="s">
        <v>1107</v>
      </c>
      <c r="H679" t="s">
        <v>15</v>
      </c>
    </row>
    <row r="680" spans="1:8" x14ac:dyDescent="0.2">
      <c r="A680" t="s">
        <v>1723</v>
      </c>
      <c r="B680" t="s">
        <v>1731</v>
      </c>
      <c r="C680" t="s">
        <v>1092</v>
      </c>
      <c r="D680" t="s">
        <v>1061</v>
      </c>
      <c r="E680">
        <v>212882.84700000001</v>
      </c>
      <c r="F680">
        <v>97</v>
      </c>
      <c r="G680" t="s">
        <v>1103</v>
      </c>
      <c r="H680" t="s">
        <v>15</v>
      </c>
    </row>
    <row r="681" spans="1:8" x14ac:dyDescent="0.2">
      <c r="A681" t="s">
        <v>1723</v>
      </c>
      <c r="B681" t="s">
        <v>1732</v>
      </c>
      <c r="C681" t="s">
        <v>1092</v>
      </c>
      <c r="D681" t="s">
        <v>1126</v>
      </c>
      <c r="E681">
        <v>72327.66</v>
      </c>
      <c r="F681">
        <v>42</v>
      </c>
      <c r="G681" t="s">
        <v>1107</v>
      </c>
      <c r="H681" t="s">
        <v>15</v>
      </c>
    </row>
    <row r="682" spans="1:8" x14ac:dyDescent="0.2">
      <c r="A682" t="s">
        <v>1723</v>
      </c>
      <c r="B682" t="s">
        <v>1733</v>
      </c>
      <c r="C682" t="s">
        <v>1092</v>
      </c>
      <c r="D682" t="s">
        <v>1096</v>
      </c>
      <c r="E682">
        <v>447249.973</v>
      </c>
      <c r="F682">
        <v>194</v>
      </c>
      <c r="G682" t="s">
        <v>1093</v>
      </c>
      <c r="H682" t="s">
        <v>15</v>
      </c>
    </row>
    <row r="683" spans="1:8" x14ac:dyDescent="0.2">
      <c r="A683" t="s">
        <v>1723</v>
      </c>
      <c r="B683" t="s">
        <v>1734</v>
      </c>
      <c r="C683" t="s">
        <v>1092</v>
      </c>
      <c r="D683" t="s">
        <v>1058</v>
      </c>
      <c r="E683">
        <v>259081.54399999999</v>
      </c>
      <c r="F683">
        <v>123</v>
      </c>
      <c r="G683" t="s">
        <v>1093</v>
      </c>
      <c r="H683" t="s">
        <v>15</v>
      </c>
    </row>
    <row r="684" spans="1:8" x14ac:dyDescent="0.2">
      <c r="A684" t="s">
        <v>1723</v>
      </c>
      <c r="B684" t="s">
        <v>1735</v>
      </c>
      <c r="C684" t="s">
        <v>1092</v>
      </c>
      <c r="D684" t="s">
        <v>1058</v>
      </c>
      <c r="E684">
        <v>5224.902</v>
      </c>
      <c r="F684">
        <v>3</v>
      </c>
      <c r="G684" t="s">
        <v>1107</v>
      </c>
      <c r="H684" t="s">
        <v>15</v>
      </c>
    </row>
    <row r="685" spans="1:8" x14ac:dyDescent="0.2">
      <c r="A685" t="s">
        <v>1723</v>
      </c>
      <c r="B685" t="s">
        <v>1736</v>
      </c>
      <c r="C685" t="s">
        <v>1092</v>
      </c>
      <c r="D685" t="s">
        <v>1096</v>
      </c>
      <c r="E685">
        <v>5529.7809999999999</v>
      </c>
      <c r="F685">
        <v>7</v>
      </c>
      <c r="G685" t="s">
        <v>1107</v>
      </c>
      <c r="H685" t="s">
        <v>15</v>
      </c>
    </row>
    <row r="686" spans="1:8" x14ac:dyDescent="0.2">
      <c r="A686" t="s">
        <v>1723</v>
      </c>
      <c r="B686" t="s">
        <v>1737</v>
      </c>
      <c r="C686" t="s">
        <v>1092</v>
      </c>
      <c r="D686" t="s">
        <v>1096</v>
      </c>
      <c r="E686">
        <v>63169.353999999999</v>
      </c>
      <c r="F686">
        <v>43</v>
      </c>
      <c r="G686" t="s">
        <v>1093</v>
      </c>
      <c r="H686" t="s">
        <v>15</v>
      </c>
    </row>
    <row r="687" spans="1:8" x14ac:dyDescent="0.2">
      <c r="A687" t="s">
        <v>1723</v>
      </c>
      <c r="B687" t="s">
        <v>1738</v>
      </c>
      <c r="C687" t="s">
        <v>1092</v>
      </c>
      <c r="D687" t="s">
        <v>1096</v>
      </c>
      <c r="E687">
        <v>85127.048999999999</v>
      </c>
      <c r="F687">
        <v>54</v>
      </c>
      <c r="G687" t="s">
        <v>1093</v>
      </c>
      <c r="H687" t="s">
        <v>15</v>
      </c>
    </row>
    <row r="688" spans="1:8" x14ac:dyDescent="0.2">
      <c r="A688" t="s">
        <v>1723</v>
      </c>
      <c r="B688" t="s">
        <v>1099</v>
      </c>
      <c r="C688" t="s">
        <v>1100</v>
      </c>
      <c r="D688" t="s">
        <v>35</v>
      </c>
      <c r="E688">
        <v>1750866.4739999999</v>
      </c>
      <c r="F688">
        <v>860</v>
      </c>
      <c r="G688" t="s">
        <v>35</v>
      </c>
      <c r="H688" t="s">
        <v>15</v>
      </c>
    </row>
    <row r="689" spans="1:8" x14ac:dyDescent="0.2">
      <c r="A689" t="s">
        <v>1739</v>
      </c>
      <c r="B689" t="s">
        <v>1740</v>
      </c>
      <c r="C689" t="s">
        <v>1092</v>
      </c>
      <c r="D689" t="s">
        <v>1058</v>
      </c>
      <c r="E689">
        <v>541185.60699999996</v>
      </c>
      <c r="F689">
        <v>88</v>
      </c>
      <c r="G689" t="s">
        <v>1093</v>
      </c>
      <c r="H689" t="s">
        <v>15</v>
      </c>
    </row>
    <row r="690" spans="1:8" x14ac:dyDescent="0.2">
      <c r="A690" t="s">
        <v>1739</v>
      </c>
      <c r="B690" t="s">
        <v>1741</v>
      </c>
      <c r="C690" t="s">
        <v>1092</v>
      </c>
      <c r="D690" t="s">
        <v>1058</v>
      </c>
      <c r="E690">
        <v>287674.85600000003</v>
      </c>
      <c r="F690">
        <v>30</v>
      </c>
      <c r="G690" t="s">
        <v>1093</v>
      </c>
      <c r="H690" t="s">
        <v>15</v>
      </c>
    </row>
    <row r="691" spans="1:8" x14ac:dyDescent="0.2">
      <c r="A691" t="s">
        <v>1739</v>
      </c>
      <c r="B691" t="s">
        <v>1742</v>
      </c>
      <c r="C691" t="s">
        <v>1092</v>
      </c>
      <c r="D691" t="s">
        <v>1061</v>
      </c>
      <c r="E691">
        <v>1542.2629999999999</v>
      </c>
      <c r="F691">
        <v>13214</v>
      </c>
      <c r="G691" t="s">
        <v>1093</v>
      </c>
      <c r="H691" t="s">
        <v>15</v>
      </c>
    </row>
    <row r="692" spans="1:8" x14ac:dyDescent="0.2">
      <c r="A692" t="s">
        <v>1739</v>
      </c>
      <c r="B692" t="s">
        <v>1743</v>
      </c>
      <c r="C692" t="s">
        <v>1092</v>
      </c>
      <c r="D692" t="s">
        <v>1058</v>
      </c>
      <c r="E692">
        <v>315065.435</v>
      </c>
      <c r="F692">
        <v>84</v>
      </c>
      <c r="G692" t="s">
        <v>1093</v>
      </c>
      <c r="H692" t="s">
        <v>15</v>
      </c>
    </row>
    <row r="693" spans="1:8" x14ac:dyDescent="0.2">
      <c r="A693" t="s">
        <v>1739</v>
      </c>
      <c r="B693" t="s">
        <v>1744</v>
      </c>
      <c r="C693" t="s">
        <v>1092</v>
      </c>
      <c r="D693" t="s">
        <v>1096</v>
      </c>
      <c r="E693">
        <v>487520</v>
      </c>
      <c r="F693">
        <v>154</v>
      </c>
      <c r="G693" t="s">
        <v>1093</v>
      </c>
      <c r="H693" t="s">
        <v>15</v>
      </c>
    </row>
    <row r="694" spans="1:8" x14ac:dyDescent="0.2">
      <c r="A694" t="s">
        <v>1739</v>
      </c>
      <c r="B694" t="s">
        <v>1745</v>
      </c>
      <c r="C694" t="s">
        <v>1092</v>
      </c>
      <c r="D694" t="s">
        <v>1058</v>
      </c>
      <c r="E694">
        <v>711849.05847000005</v>
      </c>
      <c r="F694">
        <v>174</v>
      </c>
      <c r="G694" t="s">
        <v>1093</v>
      </c>
      <c r="H694" t="s">
        <v>15</v>
      </c>
    </row>
    <row r="695" spans="1:8" x14ac:dyDescent="0.2">
      <c r="A695" t="s">
        <v>1739</v>
      </c>
      <c r="B695" t="s">
        <v>1099</v>
      </c>
      <c r="C695" t="s">
        <v>1100</v>
      </c>
      <c r="D695" t="s">
        <v>35</v>
      </c>
      <c r="E695">
        <v>2344837.2194699999</v>
      </c>
      <c r="F695">
        <v>13744</v>
      </c>
      <c r="G695" t="s">
        <v>35</v>
      </c>
      <c r="H695" t="s">
        <v>15</v>
      </c>
    </row>
    <row r="696" spans="1:8" x14ac:dyDescent="0.2">
      <c r="A696" t="s">
        <v>1746</v>
      </c>
      <c r="B696" t="s">
        <v>1747</v>
      </c>
      <c r="C696" t="s">
        <v>1092</v>
      </c>
      <c r="D696" t="s">
        <v>1126</v>
      </c>
      <c r="E696">
        <v>84581</v>
      </c>
      <c r="F696">
        <v>22</v>
      </c>
      <c r="G696" t="s">
        <v>1093</v>
      </c>
      <c r="H696" t="s">
        <v>15</v>
      </c>
    </row>
    <row r="697" spans="1:8" x14ac:dyDescent="0.2">
      <c r="A697" t="s">
        <v>1746</v>
      </c>
      <c r="B697" t="s">
        <v>1099</v>
      </c>
      <c r="C697" t="s">
        <v>1100</v>
      </c>
      <c r="D697" t="s">
        <v>35</v>
      </c>
      <c r="E697">
        <v>84581</v>
      </c>
      <c r="F697">
        <v>22</v>
      </c>
      <c r="G697" t="s">
        <v>35</v>
      </c>
      <c r="H697" t="s">
        <v>15</v>
      </c>
    </row>
    <row r="698" spans="1:8" x14ac:dyDescent="0.2">
      <c r="A698" t="s">
        <v>1748</v>
      </c>
      <c r="B698" t="s">
        <v>1749</v>
      </c>
      <c r="C698" t="s">
        <v>1092</v>
      </c>
      <c r="D698" t="s">
        <v>1126</v>
      </c>
      <c r="E698">
        <v>87111</v>
      </c>
      <c r="F698">
        <v>7</v>
      </c>
      <c r="G698" t="s">
        <v>1103</v>
      </c>
      <c r="H698" t="s">
        <v>15</v>
      </c>
    </row>
    <row r="699" spans="1:8" x14ac:dyDescent="0.2">
      <c r="A699" t="s">
        <v>1748</v>
      </c>
      <c r="B699" t="s">
        <v>1099</v>
      </c>
      <c r="C699" t="s">
        <v>1100</v>
      </c>
      <c r="D699" t="s">
        <v>35</v>
      </c>
      <c r="E699">
        <v>87111</v>
      </c>
      <c r="F699">
        <v>7</v>
      </c>
      <c r="G699" t="s">
        <v>35</v>
      </c>
      <c r="H699" t="s">
        <v>15</v>
      </c>
    </row>
    <row r="700" spans="1:8" x14ac:dyDescent="0.2">
      <c r="A700" t="s">
        <v>36</v>
      </c>
      <c r="B700" t="s">
        <v>1750</v>
      </c>
      <c r="C700" t="s">
        <v>1092</v>
      </c>
      <c r="D700" t="s">
        <v>1061</v>
      </c>
      <c r="E700">
        <v>8052412.6509999996</v>
      </c>
      <c r="F700">
        <v>6975068</v>
      </c>
      <c r="G700" t="s">
        <v>1111</v>
      </c>
      <c r="H700" t="s">
        <v>15</v>
      </c>
    </row>
    <row r="701" spans="1:8" x14ac:dyDescent="0.2">
      <c r="A701" t="s">
        <v>36</v>
      </c>
      <c r="B701" t="s">
        <v>1751</v>
      </c>
      <c r="C701" t="s">
        <v>1092</v>
      </c>
      <c r="D701" t="s">
        <v>1061</v>
      </c>
      <c r="E701">
        <v>12558912.146</v>
      </c>
      <c r="F701">
        <v>10890624</v>
      </c>
      <c r="G701" t="s">
        <v>1111</v>
      </c>
      <c r="H701" t="s">
        <v>15</v>
      </c>
    </row>
    <row r="702" spans="1:8" x14ac:dyDescent="0.2">
      <c r="A702" t="s">
        <v>36</v>
      </c>
      <c r="B702" t="s">
        <v>1099</v>
      </c>
      <c r="C702" t="s">
        <v>1100</v>
      </c>
      <c r="D702" t="s">
        <v>35</v>
      </c>
      <c r="E702">
        <v>20611324.796999998</v>
      </c>
      <c r="F702">
        <v>17865692</v>
      </c>
      <c r="G702" t="s">
        <v>35</v>
      </c>
      <c r="H702" t="s">
        <v>15</v>
      </c>
    </row>
    <row r="703" spans="1:8" x14ac:dyDescent="0.2">
      <c r="A703" t="s">
        <v>1752</v>
      </c>
      <c r="B703" t="s">
        <v>1753</v>
      </c>
      <c r="C703" t="s">
        <v>1092</v>
      </c>
      <c r="D703" t="s">
        <v>1096</v>
      </c>
      <c r="E703">
        <v>1571883.3768</v>
      </c>
      <c r="F703">
        <v>105</v>
      </c>
      <c r="G703" t="s">
        <v>1093</v>
      </c>
      <c r="H703" t="s">
        <v>15</v>
      </c>
    </row>
    <row r="704" spans="1:8" x14ac:dyDescent="0.2">
      <c r="A704" t="s">
        <v>1752</v>
      </c>
      <c r="B704" t="s">
        <v>1099</v>
      </c>
      <c r="C704" t="s">
        <v>1100</v>
      </c>
      <c r="D704" t="s">
        <v>35</v>
      </c>
      <c r="E704">
        <v>1571883.3768</v>
      </c>
      <c r="F704">
        <v>105</v>
      </c>
      <c r="G704" t="s">
        <v>35</v>
      </c>
      <c r="H704" t="s">
        <v>15</v>
      </c>
    </row>
    <row r="705" spans="1:8" x14ac:dyDescent="0.2">
      <c r="A705" t="s">
        <v>1754</v>
      </c>
      <c r="B705" t="s">
        <v>1755</v>
      </c>
      <c r="C705" t="s">
        <v>1092</v>
      </c>
      <c r="D705" t="s">
        <v>1058</v>
      </c>
      <c r="E705">
        <v>174871.20190799999</v>
      </c>
      <c r="F705">
        <v>18</v>
      </c>
      <c r="G705" t="s">
        <v>1103</v>
      </c>
      <c r="H705" t="s">
        <v>15</v>
      </c>
    </row>
    <row r="706" spans="1:8" x14ac:dyDescent="0.2">
      <c r="A706" t="s">
        <v>1754</v>
      </c>
      <c r="B706" t="s">
        <v>1099</v>
      </c>
      <c r="C706" t="s">
        <v>1100</v>
      </c>
      <c r="D706" t="s">
        <v>35</v>
      </c>
      <c r="E706">
        <v>174871.20190799999</v>
      </c>
      <c r="F706">
        <v>18</v>
      </c>
      <c r="G706" t="s">
        <v>35</v>
      </c>
      <c r="H706" t="s">
        <v>15</v>
      </c>
    </row>
    <row r="707" spans="1:8" x14ac:dyDescent="0.2">
      <c r="A707" t="s">
        <v>1756</v>
      </c>
      <c r="B707" t="s">
        <v>1757</v>
      </c>
      <c r="C707" t="s">
        <v>1092</v>
      </c>
      <c r="D707" t="s">
        <v>1126</v>
      </c>
      <c r="E707">
        <v>245221.36900000001</v>
      </c>
      <c r="F707">
        <v>34</v>
      </c>
      <c r="G707" t="s">
        <v>1103</v>
      </c>
      <c r="H707" t="s">
        <v>15</v>
      </c>
    </row>
    <row r="708" spans="1:8" x14ac:dyDescent="0.2">
      <c r="A708" t="s">
        <v>1756</v>
      </c>
      <c r="B708" t="s">
        <v>1099</v>
      </c>
      <c r="C708" t="s">
        <v>1100</v>
      </c>
      <c r="D708" t="s">
        <v>35</v>
      </c>
      <c r="E708">
        <v>245221.36900000001</v>
      </c>
      <c r="F708">
        <v>34</v>
      </c>
      <c r="G708" t="s">
        <v>35</v>
      </c>
      <c r="H708" t="s">
        <v>15</v>
      </c>
    </row>
    <row r="709" spans="1:8" x14ac:dyDescent="0.2">
      <c r="A709" t="s">
        <v>1758</v>
      </c>
      <c r="B709" t="s">
        <v>1759</v>
      </c>
      <c r="C709" t="s">
        <v>1092</v>
      </c>
      <c r="D709" t="s">
        <v>1058</v>
      </c>
      <c r="E709">
        <v>428212.068998</v>
      </c>
      <c r="F709">
        <v>58</v>
      </c>
      <c r="G709" t="s">
        <v>1103</v>
      </c>
      <c r="H709" t="s">
        <v>15</v>
      </c>
    </row>
    <row r="710" spans="1:8" x14ac:dyDescent="0.2">
      <c r="A710" t="s">
        <v>1758</v>
      </c>
      <c r="B710" t="s">
        <v>1099</v>
      </c>
      <c r="C710" t="s">
        <v>1100</v>
      </c>
      <c r="D710" t="s">
        <v>35</v>
      </c>
      <c r="E710">
        <v>428212.068998</v>
      </c>
      <c r="F710">
        <v>58</v>
      </c>
      <c r="G710" t="s">
        <v>35</v>
      </c>
      <c r="H710" t="s">
        <v>15</v>
      </c>
    </row>
    <row r="711" spans="1:8" x14ac:dyDescent="0.2">
      <c r="A711" t="s">
        <v>151</v>
      </c>
      <c r="B711" t="s">
        <v>1760</v>
      </c>
      <c r="C711" t="s">
        <v>1092</v>
      </c>
      <c r="D711" t="s">
        <v>1052</v>
      </c>
      <c r="E711">
        <v>14205.69</v>
      </c>
      <c r="F711">
        <v>12596</v>
      </c>
      <c r="G711" t="s">
        <v>1109</v>
      </c>
      <c r="H711" t="s">
        <v>15</v>
      </c>
    </row>
    <row r="712" spans="1:8" x14ac:dyDescent="0.2">
      <c r="A712" t="s">
        <v>151</v>
      </c>
      <c r="B712" t="s">
        <v>1761</v>
      </c>
      <c r="C712" t="s">
        <v>1092</v>
      </c>
      <c r="D712" t="s">
        <v>1052</v>
      </c>
      <c r="E712">
        <v>91371.001000000004</v>
      </c>
      <c r="F712">
        <v>90907</v>
      </c>
      <c r="G712" t="s">
        <v>1109</v>
      </c>
      <c r="H712" t="s">
        <v>15</v>
      </c>
    </row>
    <row r="713" spans="1:8" x14ac:dyDescent="0.2">
      <c r="A713" t="s">
        <v>151</v>
      </c>
      <c r="B713" t="s">
        <v>1762</v>
      </c>
      <c r="C713" t="s">
        <v>1092</v>
      </c>
      <c r="D713" t="s">
        <v>1052</v>
      </c>
      <c r="E713">
        <v>419.67867999999999</v>
      </c>
      <c r="F713">
        <v>545</v>
      </c>
      <c r="G713" t="s">
        <v>1236</v>
      </c>
      <c r="H713" t="s">
        <v>15</v>
      </c>
    </row>
    <row r="714" spans="1:8" x14ac:dyDescent="0.2">
      <c r="A714" t="s">
        <v>151</v>
      </c>
      <c r="B714" t="s">
        <v>1763</v>
      </c>
      <c r="C714" t="s">
        <v>1092</v>
      </c>
      <c r="D714" t="s">
        <v>1052</v>
      </c>
      <c r="E714">
        <v>2136.1224520000001</v>
      </c>
      <c r="F714">
        <v>2237</v>
      </c>
      <c r="G714" t="s">
        <v>1236</v>
      </c>
      <c r="H714" t="s">
        <v>15</v>
      </c>
    </row>
    <row r="715" spans="1:8" x14ac:dyDescent="0.2">
      <c r="A715" t="s">
        <v>151</v>
      </c>
      <c r="B715" t="s">
        <v>1099</v>
      </c>
      <c r="C715" t="s">
        <v>1100</v>
      </c>
      <c r="D715" t="s">
        <v>35</v>
      </c>
      <c r="E715">
        <v>108132.492132</v>
      </c>
      <c r="F715">
        <v>106285</v>
      </c>
      <c r="G715" t="s">
        <v>35</v>
      </c>
      <c r="H715" t="s">
        <v>15</v>
      </c>
    </row>
    <row r="716" spans="1:8" x14ac:dyDescent="0.2">
      <c r="A716" t="s">
        <v>1764</v>
      </c>
      <c r="B716" t="s">
        <v>1765</v>
      </c>
      <c r="C716" t="s">
        <v>1092</v>
      </c>
      <c r="D716" t="s">
        <v>1064</v>
      </c>
      <c r="E716">
        <v>34002.804600000003</v>
      </c>
      <c r="F716">
        <v>0</v>
      </c>
      <c r="G716" t="s">
        <v>1107</v>
      </c>
      <c r="H716" t="s">
        <v>15</v>
      </c>
    </row>
    <row r="717" spans="1:8" x14ac:dyDescent="0.2">
      <c r="A717" t="s">
        <v>1764</v>
      </c>
      <c r="B717" t="s">
        <v>1099</v>
      </c>
      <c r="C717" t="s">
        <v>1100</v>
      </c>
      <c r="D717" t="s">
        <v>35</v>
      </c>
      <c r="E717">
        <v>34002.804600000003</v>
      </c>
      <c r="F717">
        <v>0</v>
      </c>
      <c r="G717" t="s">
        <v>35</v>
      </c>
      <c r="H717" t="s">
        <v>15</v>
      </c>
    </row>
    <row r="718" spans="1:8" x14ac:dyDescent="0.2">
      <c r="A718" t="s">
        <v>1766</v>
      </c>
      <c r="B718" t="s">
        <v>1767</v>
      </c>
      <c r="C718" t="s">
        <v>1092</v>
      </c>
      <c r="D718" t="s">
        <v>1058</v>
      </c>
      <c r="E718">
        <v>240153</v>
      </c>
      <c r="F718">
        <v>0</v>
      </c>
      <c r="G718" t="s">
        <v>1103</v>
      </c>
      <c r="H718" t="s">
        <v>15</v>
      </c>
    </row>
    <row r="719" spans="1:8" x14ac:dyDescent="0.2">
      <c r="A719" t="s">
        <v>1766</v>
      </c>
      <c r="B719" t="s">
        <v>1099</v>
      </c>
      <c r="C719" t="s">
        <v>1100</v>
      </c>
      <c r="D719" t="s">
        <v>35</v>
      </c>
      <c r="E719">
        <v>240153</v>
      </c>
      <c r="F719">
        <v>0</v>
      </c>
      <c r="G719" t="s">
        <v>35</v>
      </c>
      <c r="H719" t="s">
        <v>15</v>
      </c>
    </row>
    <row r="720" spans="1:8" x14ac:dyDescent="0.2">
      <c r="A720" t="s">
        <v>1768</v>
      </c>
      <c r="B720" t="s">
        <v>1769</v>
      </c>
      <c r="C720" t="s">
        <v>1092</v>
      </c>
      <c r="D720" t="s">
        <v>1096</v>
      </c>
      <c r="E720">
        <v>7818.0757670000003</v>
      </c>
      <c r="F720">
        <v>5</v>
      </c>
      <c r="G720" t="s">
        <v>1103</v>
      </c>
      <c r="H720" t="s">
        <v>15</v>
      </c>
    </row>
    <row r="721" spans="1:8" x14ac:dyDescent="0.2">
      <c r="A721" t="s">
        <v>1768</v>
      </c>
      <c r="B721" t="s">
        <v>1770</v>
      </c>
      <c r="C721" t="s">
        <v>1092</v>
      </c>
      <c r="D721" t="s">
        <v>1096</v>
      </c>
      <c r="E721">
        <v>8138.8593360000004</v>
      </c>
      <c r="F721">
        <v>5</v>
      </c>
      <c r="G721" t="s">
        <v>1103</v>
      </c>
      <c r="H721" t="s">
        <v>15</v>
      </c>
    </row>
    <row r="722" spans="1:8" x14ac:dyDescent="0.2">
      <c r="A722" t="s">
        <v>1768</v>
      </c>
      <c r="B722" t="s">
        <v>1771</v>
      </c>
      <c r="C722" t="s">
        <v>1092</v>
      </c>
      <c r="D722" t="s">
        <v>1096</v>
      </c>
      <c r="E722">
        <v>7704.2606949999999</v>
      </c>
      <c r="F722">
        <v>5</v>
      </c>
      <c r="G722" t="s">
        <v>1103</v>
      </c>
      <c r="H722" t="s">
        <v>15</v>
      </c>
    </row>
    <row r="723" spans="1:8" x14ac:dyDescent="0.2">
      <c r="A723" t="s">
        <v>1768</v>
      </c>
      <c r="B723" t="s">
        <v>1772</v>
      </c>
      <c r="C723" t="s">
        <v>1092</v>
      </c>
      <c r="D723" t="s">
        <v>1096</v>
      </c>
      <c r="E723">
        <v>8303.3719450000008</v>
      </c>
      <c r="F723">
        <v>5</v>
      </c>
      <c r="G723" t="s">
        <v>1103</v>
      </c>
      <c r="H723" t="s">
        <v>15</v>
      </c>
    </row>
    <row r="724" spans="1:8" x14ac:dyDescent="0.2">
      <c r="A724" t="s">
        <v>1768</v>
      </c>
      <c r="B724" t="s">
        <v>1773</v>
      </c>
      <c r="C724" t="s">
        <v>1092</v>
      </c>
      <c r="D724" t="s">
        <v>1096</v>
      </c>
      <c r="E724">
        <v>7921.7596629999998</v>
      </c>
      <c r="F724">
        <v>5</v>
      </c>
      <c r="G724" t="s">
        <v>1103</v>
      </c>
      <c r="H724" t="s">
        <v>15</v>
      </c>
    </row>
    <row r="725" spans="1:8" x14ac:dyDescent="0.2">
      <c r="A725" t="s">
        <v>1768</v>
      </c>
      <c r="B725" t="s">
        <v>1774</v>
      </c>
      <c r="C725" t="s">
        <v>1092</v>
      </c>
      <c r="D725" t="s">
        <v>1096</v>
      </c>
      <c r="E725">
        <v>7356.1303470000003</v>
      </c>
      <c r="F725">
        <v>5</v>
      </c>
      <c r="G725" t="s">
        <v>1103</v>
      </c>
      <c r="H725" t="s">
        <v>15</v>
      </c>
    </row>
    <row r="726" spans="1:8" x14ac:dyDescent="0.2">
      <c r="A726" t="s">
        <v>1768</v>
      </c>
      <c r="B726" t="s">
        <v>1775</v>
      </c>
      <c r="C726" t="s">
        <v>1092</v>
      </c>
      <c r="D726" t="s">
        <v>1096</v>
      </c>
      <c r="E726">
        <v>8075.6547760000003</v>
      </c>
      <c r="F726">
        <v>5</v>
      </c>
      <c r="G726" t="s">
        <v>1103</v>
      </c>
      <c r="H726" t="s">
        <v>15</v>
      </c>
    </row>
    <row r="727" spans="1:8" x14ac:dyDescent="0.2">
      <c r="A727" t="s">
        <v>1768</v>
      </c>
      <c r="B727" t="s">
        <v>1776</v>
      </c>
      <c r="C727" t="s">
        <v>1092</v>
      </c>
      <c r="D727" t="s">
        <v>1096</v>
      </c>
      <c r="E727">
        <v>7759.8123830000004</v>
      </c>
      <c r="F727">
        <v>5</v>
      </c>
      <c r="G727" t="s">
        <v>1103</v>
      </c>
      <c r="H727" t="s">
        <v>15</v>
      </c>
    </row>
    <row r="728" spans="1:8" x14ac:dyDescent="0.2">
      <c r="A728" t="s">
        <v>1768</v>
      </c>
      <c r="B728" t="s">
        <v>1777</v>
      </c>
      <c r="C728" t="s">
        <v>1092</v>
      </c>
      <c r="D728" t="s">
        <v>1096</v>
      </c>
      <c r="E728">
        <v>8042.2328779999998</v>
      </c>
      <c r="F728">
        <v>5</v>
      </c>
      <c r="G728" t="s">
        <v>1103</v>
      </c>
      <c r="H728" t="s">
        <v>15</v>
      </c>
    </row>
    <row r="729" spans="1:8" x14ac:dyDescent="0.2">
      <c r="A729" t="s">
        <v>1768</v>
      </c>
      <c r="B729" t="s">
        <v>1778</v>
      </c>
      <c r="C729" t="s">
        <v>1092</v>
      </c>
      <c r="D729" t="s">
        <v>1096</v>
      </c>
      <c r="E729">
        <v>7856.4328519999999</v>
      </c>
      <c r="F729">
        <v>5</v>
      </c>
      <c r="G729" t="s">
        <v>1103</v>
      </c>
      <c r="H729" t="s">
        <v>15</v>
      </c>
    </row>
    <row r="730" spans="1:8" x14ac:dyDescent="0.2">
      <c r="A730" t="s">
        <v>1768</v>
      </c>
      <c r="B730" t="s">
        <v>1779</v>
      </c>
      <c r="C730" t="s">
        <v>1092</v>
      </c>
      <c r="D730" t="s">
        <v>1096</v>
      </c>
      <c r="E730">
        <v>8029.4754860000003</v>
      </c>
      <c r="F730">
        <v>5</v>
      </c>
      <c r="G730" t="s">
        <v>1103</v>
      </c>
      <c r="H730" t="s">
        <v>15</v>
      </c>
    </row>
    <row r="731" spans="1:8" x14ac:dyDescent="0.2">
      <c r="A731" t="s">
        <v>1768</v>
      </c>
      <c r="B731" t="s">
        <v>1780</v>
      </c>
      <c r="C731" t="s">
        <v>1092</v>
      </c>
      <c r="D731" t="s">
        <v>1096</v>
      </c>
      <c r="E731">
        <v>7846.2864989999998</v>
      </c>
      <c r="F731">
        <v>5</v>
      </c>
      <c r="G731" t="s">
        <v>1103</v>
      </c>
      <c r="H731" t="s">
        <v>15</v>
      </c>
    </row>
    <row r="732" spans="1:8" x14ac:dyDescent="0.2">
      <c r="A732" t="s">
        <v>1768</v>
      </c>
      <c r="B732" t="s">
        <v>1781</v>
      </c>
      <c r="C732" t="s">
        <v>1092</v>
      </c>
      <c r="D732" t="s">
        <v>1096</v>
      </c>
      <c r="E732">
        <v>7796.6957920000004</v>
      </c>
      <c r="F732">
        <v>5</v>
      </c>
      <c r="G732" t="s">
        <v>1103</v>
      </c>
      <c r="H732" t="s">
        <v>15</v>
      </c>
    </row>
    <row r="733" spans="1:8" x14ac:dyDescent="0.2">
      <c r="A733" t="s">
        <v>1768</v>
      </c>
      <c r="B733" t="s">
        <v>1782</v>
      </c>
      <c r="C733" t="s">
        <v>1092</v>
      </c>
      <c r="D733" t="s">
        <v>1096</v>
      </c>
      <c r="E733">
        <v>7539.8135499999999</v>
      </c>
      <c r="F733">
        <v>5</v>
      </c>
      <c r="G733" t="s">
        <v>1103</v>
      </c>
      <c r="H733" t="s">
        <v>15</v>
      </c>
    </row>
    <row r="734" spans="1:8" x14ac:dyDescent="0.2">
      <c r="A734" t="s">
        <v>1768</v>
      </c>
      <c r="B734" t="s">
        <v>1783</v>
      </c>
      <c r="C734" t="s">
        <v>1092</v>
      </c>
      <c r="D734" t="s">
        <v>1096</v>
      </c>
      <c r="E734">
        <v>7862.8304070000004</v>
      </c>
      <c r="F734">
        <v>5</v>
      </c>
      <c r="G734" t="s">
        <v>1103</v>
      </c>
      <c r="H734" t="s">
        <v>15</v>
      </c>
    </row>
    <row r="735" spans="1:8" x14ac:dyDescent="0.2">
      <c r="A735" t="s">
        <v>1768</v>
      </c>
      <c r="B735" t="s">
        <v>1784</v>
      </c>
      <c r="C735" t="s">
        <v>1092</v>
      </c>
      <c r="D735" t="s">
        <v>1096</v>
      </c>
      <c r="E735">
        <v>7969.9074380000002</v>
      </c>
      <c r="F735">
        <v>5</v>
      </c>
      <c r="G735" t="s">
        <v>1103</v>
      </c>
      <c r="H735" t="s">
        <v>15</v>
      </c>
    </row>
    <row r="736" spans="1:8" x14ac:dyDescent="0.2">
      <c r="A736" t="s">
        <v>1768</v>
      </c>
      <c r="B736" t="s">
        <v>1099</v>
      </c>
      <c r="C736" t="s">
        <v>1100</v>
      </c>
      <c r="D736" t="s">
        <v>35</v>
      </c>
      <c r="E736">
        <v>126021.599814</v>
      </c>
      <c r="F736">
        <v>80</v>
      </c>
      <c r="G736" t="s">
        <v>35</v>
      </c>
      <c r="H736" t="s">
        <v>15</v>
      </c>
    </row>
    <row r="737" spans="1:8" x14ac:dyDescent="0.2">
      <c r="A737" t="s">
        <v>1785</v>
      </c>
      <c r="B737" t="s">
        <v>1786</v>
      </c>
      <c r="C737" t="s">
        <v>1092</v>
      </c>
      <c r="D737" t="s">
        <v>1058</v>
      </c>
      <c r="E737">
        <v>273861</v>
      </c>
      <c r="F737">
        <v>0</v>
      </c>
      <c r="G737" t="s">
        <v>1103</v>
      </c>
      <c r="H737" t="s">
        <v>15</v>
      </c>
    </row>
    <row r="738" spans="1:8" x14ac:dyDescent="0.2">
      <c r="A738" t="s">
        <v>1785</v>
      </c>
      <c r="B738" t="s">
        <v>1099</v>
      </c>
      <c r="C738" t="s">
        <v>1100</v>
      </c>
      <c r="D738" t="s">
        <v>35</v>
      </c>
      <c r="E738">
        <v>273861</v>
      </c>
      <c r="F738">
        <v>0</v>
      </c>
      <c r="G738" t="s">
        <v>35</v>
      </c>
      <c r="H738" t="s">
        <v>15</v>
      </c>
    </row>
    <row r="739" spans="1:8" x14ac:dyDescent="0.2">
      <c r="A739" t="s">
        <v>1787</v>
      </c>
      <c r="B739" t="s">
        <v>1788</v>
      </c>
      <c r="C739" t="s">
        <v>1092</v>
      </c>
      <c r="D739" t="s">
        <v>1052</v>
      </c>
      <c r="E739">
        <v>397218.51899999997</v>
      </c>
      <c r="F739">
        <v>32</v>
      </c>
      <c r="G739" t="s">
        <v>1093</v>
      </c>
      <c r="H739" t="s">
        <v>15</v>
      </c>
    </row>
    <row r="740" spans="1:8" x14ac:dyDescent="0.2">
      <c r="A740" t="s">
        <v>1787</v>
      </c>
      <c r="B740" t="s">
        <v>1789</v>
      </c>
      <c r="C740" t="s">
        <v>1092</v>
      </c>
      <c r="D740" t="s">
        <v>1052</v>
      </c>
      <c r="E740">
        <v>408017.96799999999</v>
      </c>
      <c r="F740">
        <v>36</v>
      </c>
      <c r="G740" t="s">
        <v>1093</v>
      </c>
      <c r="H740" t="s">
        <v>15</v>
      </c>
    </row>
    <row r="741" spans="1:8" x14ac:dyDescent="0.2">
      <c r="A741" t="s">
        <v>1787</v>
      </c>
      <c r="B741" t="s">
        <v>1099</v>
      </c>
      <c r="C741" t="s">
        <v>1100</v>
      </c>
      <c r="D741" t="s">
        <v>35</v>
      </c>
      <c r="E741">
        <v>805236.48699999996</v>
      </c>
      <c r="F741">
        <v>68</v>
      </c>
      <c r="G741" t="s">
        <v>35</v>
      </c>
      <c r="H741" t="s">
        <v>15</v>
      </c>
    </row>
    <row r="742" spans="1:8" x14ac:dyDescent="0.2">
      <c r="A742" t="s">
        <v>1790</v>
      </c>
      <c r="B742" t="s">
        <v>1791</v>
      </c>
      <c r="C742" t="s">
        <v>1092</v>
      </c>
      <c r="D742" t="s">
        <v>1096</v>
      </c>
      <c r="E742">
        <v>398646.87390000001</v>
      </c>
      <c r="F742">
        <v>119</v>
      </c>
      <c r="G742" t="s">
        <v>1103</v>
      </c>
      <c r="H742" t="s">
        <v>15</v>
      </c>
    </row>
    <row r="743" spans="1:8" x14ac:dyDescent="0.2">
      <c r="A743" t="s">
        <v>1790</v>
      </c>
      <c r="B743" t="s">
        <v>1099</v>
      </c>
      <c r="C743" t="s">
        <v>1100</v>
      </c>
      <c r="D743" t="s">
        <v>35</v>
      </c>
      <c r="E743">
        <v>398646.87390000001</v>
      </c>
      <c r="F743">
        <v>119</v>
      </c>
      <c r="G743" t="s">
        <v>35</v>
      </c>
      <c r="H743" t="s">
        <v>15</v>
      </c>
    </row>
    <row r="744" spans="1:8" x14ac:dyDescent="0.2">
      <c r="A744" t="s">
        <v>141</v>
      </c>
      <c r="B744" t="s">
        <v>1792</v>
      </c>
      <c r="C744" t="s">
        <v>1092</v>
      </c>
      <c r="D744" t="s">
        <v>1126</v>
      </c>
      <c r="E744">
        <v>269563.94923899998</v>
      </c>
      <c r="F744">
        <v>149332</v>
      </c>
      <c r="G744" t="s">
        <v>1109</v>
      </c>
      <c r="H744" t="s">
        <v>15</v>
      </c>
    </row>
    <row r="745" spans="1:8" x14ac:dyDescent="0.2">
      <c r="A745" t="s">
        <v>141</v>
      </c>
      <c r="B745" t="s">
        <v>1793</v>
      </c>
      <c r="C745" t="s">
        <v>1092</v>
      </c>
      <c r="D745" t="s">
        <v>1126</v>
      </c>
      <c r="E745">
        <v>278178.56</v>
      </c>
      <c r="F745">
        <v>153359</v>
      </c>
      <c r="G745" t="s">
        <v>1109</v>
      </c>
      <c r="H745" t="s">
        <v>15</v>
      </c>
    </row>
    <row r="746" spans="1:8" x14ac:dyDescent="0.2">
      <c r="A746" t="s">
        <v>141</v>
      </c>
      <c r="B746" t="s">
        <v>1794</v>
      </c>
      <c r="C746" t="s">
        <v>1092</v>
      </c>
      <c r="D746" t="s">
        <v>1126</v>
      </c>
      <c r="E746">
        <v>246785.54</v>
      </c>
      <c r="F746">
        <v>132927</v>
      </c>
      <c r="G746" t="s">
        <v>1109</v>
      </c>
      <c r="H746" t="s">
        <v>15</v>
      </c>
    </row>
    <row r="747" spans="1:8" x14ac:dyDescent="0.2">
      <c r="A747" t="s">
        <v>141</v>
      </c>
      <c r="B747" t="s">
        <v>1795</v>
      </c>
      <c r="C747" t="s">
        <v>1092</v>
      </c>
      <c r="D747" t="s">
        <v>1126</v>
      </c>
      <c r="E747">
        <v>288476.34999999998</v>
      </c>
      <c r="F747">
        <v>160073</v>
      </c>
      <c r="G747" t="s">
        <v>1109</v>
      </c>
      <c r="H747" t="s">
        <v>15</v>
      </c>
    </row>
    <row r="748" spans="1:8" x14ac:dyDescent="0.2">
      <c r="A748" t="s">
        <v>141</v>
      </c>
      <c r="B748" t="s">
        <v>1796</v>
      </c>
      <c r="C748" t="s">
        <v>1092</v>
      </c>
      <c r="D748" t="s">
        <v>1126</v>
      </c>
      <c r="E748">
        <v>674055.86768999998</v>
      </c>
      <c r="F748">
        <v>306419</v>
      </c>
      <c r="G748" t="s">
        <v>1109</v>
      </c>
      <c r="H748" t="s">
        <v>15</v>
      </c>
    </row>
    <row r="749" spans="1:8" x14ac:dyDescent="0.2">
      <c r="A749" t="s">
        <v>141</v>
      </c>
      <c r="B749" t="s">
        <v>1099</v>
      </c>
      <c r="C749" t="s">
        <v>1100</v>
      </c>
      <c r="D749" t="s">
        <v>35</v>
      </c>
      <c r="E749">
        <v>1757060.2669289999</v>
      </c>
      <c r="F749">
        <v>902110</v>
      </c>
      <c r="G749" t="s">
        <v>35</v>
      </c>
      <c r="H749" t="s">
        <v>15</v>
      </c>
    </row>
    <row r="750" spans="1:8" x14ac:dyDescent="0.2">
      <c r="A750" t="s">
        <v>1797</v>
      </c>
      <c r="B750" t="s">
        <v>1798</v>
      </c>
      <c r="C750" t="s">
        <v>1092</v>
      </c>
      <c r="D750" t="s">
        <v>1052</v>
      </c>
      <c r="E750">
        <v>86165.928369000001</v>
      </c>
      <c r="F750">
        <v>117</v>
      </c>
      <c r="G750" t="s">
        <v>1103</v>
      </c>
      <c r="H750" t="s">
        <v>15</v>
      </c>
    </row>
    <row r="751" spans="1:8" x14ac:dyDescent="0.2">
      <c r="A751" t="s">
        <v>1797</v>
      </c>
      <c r="B751" t="s">
        <v>1799</v>
      </c>
      <c r="C751" t="s">
        <v>1092</v>
      </c>
      <c r="D751" t="s">
        <v>1052</v>
      </c>
      <c r="E751">
        <v>162226.77843000001</v>
      </c>
      <c r="F751">
        <v>73</v>
      </c>
      <c r="G751" t="s">
        <v>1103</v>
      </c>
      <c r="H751" t="s">
        <v>15</v>
      </c>
    </row>
    <row r="752" spans="1:8" x14ac:dyDescent="0.2">
      <c r="A752" t="s">
        <v>1797</v>
      </c>
      <c r="B752" t="s">
        <v>1800</v>
      </c>
      <c r="C752" t="s">
        <v>1092</v>
      </c>
      <c r="D752" t="s">
        <v>1061</v>
      </c>
      <c r="E752">
        <v>243185.71340000001</v>
      </c>
      <c r="F752">
        <v>143</v>
      </c>
      <c r="G752" t="s">
        <v>1103</v>
      </c>
      <c r="H752" t="s">
        <v>15</v>
      </c>
    </row>
    <row r="753" spans="1:8" x14ac:dyDescent="0.2">
      <c r="A753" t="s">
        <v>1797</v>
      </c>
      <c r="B753" t="s">
        <v>1099</v>
      </c>
      <c r="C753" t="s">
        <v>1100</v>
      </c>
      <c r="D753" t="s">
        <v>35</v>
      </c>
      <c r="E753">
        <v>491578.42019899999</v>
      </c>
      <c r="F753">
        <v>333</v>
      </c>
      <c r="G753" t="s">
        <v>35</v>
      </c>
      <c r="H753" t="s">
        <v>15</v>
      </c>
    </row>
    <row r="754" spans="1:8" x14ac:dyDescent="0.2">
      <c r="A754" t="s">
        <v>1801</v>
      </c>
      <c r="B754" t="s">
        <v>1802</v>
      </c>
      <c r="C754" t="s">
        <v>1092</v>
      </c>
      <c r="D754" t="s">
        <v>1061</v>
      </c>
      <c r="E754">
        <v>48340.764999999999</v>
      </c>
      <c r="F754">
        <v>1681</v>
      </c>
      <c r="G754" t="s">
        <v>1803</v>
      </c>
      <c r="H754" t="s">
        <v>15</v>
      </c>
    </row>
    <row r="755" spans="1:8" x14ac:dyDescent="0.2">
      <c r="A755" t="s">
        <v>1801</v>
      </c>
      <c r="B755" t="s">
        <v>1099</v>
      </c>
      <c r="C755" t="s">
        <v>1100</v>
      </c>
      <c r="D755" t="s">
        <v>35</v>
      </c>
      <c r="E755">
        <v>48340.764999999999</v>
      </c>
      <c r="F755">
        <v>1681</v>
      </c>
      <c r="G755" t="s">
        <v>35</v>
      </c>
      <c r="H755" t="s">
        <v>15</v>
      </c>
    </row>
    <row r="756" spans="1:8" x14ac:dyDescent="0.2">
      <c r="A756" t="s">
        <v>511</v>
      </c>
      <c r="B756" t="s">
        <v>1804</v>
      </c>
      <c r="C756" t="s">
        <v>1092</v>
      </c>
      <c r="D756" t="s">
        <v>1126</v>
      </c>
      <c r="E756">
        <v>2630.5169999999998</v>
      </c>
      <c r="F756">
        <v>1841</v>
      </c>
      <c r="G756" t="s">
        <v>1236</v>
      </c>
      <c r="H756" t="s">
        <v>15</v>
      </c>
    </row>
    <row r="757" spans="1:8" x14ac:dyDescent="0.2">
      <c r="A757" t="s">
        <v>511</v>
      </c>
      <c r="B757" t="s">
        <v>1805</v>
      </c>
      <c r="C757" t="s">
        <v>1092</v>
      </c>
      <c r="D757" t="s">
        <v>1126</v>
      </c>
      <c r="E757">
        <v>2877.04</v>
      </c>
      <c r="F757">
        <v>2209</v>
      </c>
      <c r="G757" t="s">
        <v>1236</v>
      </c>
      <c r="H757" t="s">
        <v>15</v>
      </c>
    </row>
    <row r="758" spans="1:8" x14ac:dyDescent="0.2">
      <c r="A758" t="s">
        <v>511</v>
      </c>
      <c r="B758" t="s">
        <v>1099</v>
      </c>
      <c r="C758" t="s">
        <v>1100</v>
      </c>
      <c r="D758" t="s">
        <v>35</v>
      </c>
      <c r="E758">
        <v>5507.5569999999998</v>
      </c>
      <c r="F758">
        <v>4050</v>
      </c>
      <c r="G758" t="s">
        <v>35</v>
      </c>
      <c r="H758" t="s">
        <v>15</v>
      </c>
    </row>
    <row r="759" spans="1:8" x14ac:dyDescent="0.2">
      <c r="A759" t="s">
        <v>105</v>
      </c>
      <c r="B759" t="s">
        <v>1806</v>
      </c>
      <c r="C759" t="s">
        <v>1092</v>
      </c>
      <c r="D759" t="s">
        <v>1061</v>
      </c>
      <c r="E759">
        <v>9242.5507400000006</v>
      </c>
      <c r="F759">
        <v>0</v>
      </c>
      <c r="G759" t="s">
        <v>1103</v>
      </c>
      <c r="H759" t="s">
        <v>15</v>
      </c>
    </row>
    <row r="760" spans="1:8" x14ac:dyDescent="0.2">
      <c r="A760" t="s">
        <v>105</v>
      </c>
      <c r="B760" t="s">
        <v>1099</v>
      </c>
      <c r="C760" t="s">
        <v>1100</v>
      </c>
      <c r="D760" t="s">
        <v>35</v>
      </c>
      <c r="E760">
        <v>9242.5507400000006</v>
      </c>
      <c r="F760">
        <v>0</v>
      </c>
      <c r="G760" t="s">
        <v>35</v>
      </c>
      <c r="H760" t="s">
        <v>15</v>
      </c>
    </row>
    <row r="761" spans="1:8" x14ac:dyDescent="0.2">
      <c r="A761" t="s">
        <v>1807</v>
      </c>
      <c r="B761" t="s">
        <v>1808</v>
      </c>
      <c r="C761" t="s">
        <v>1092</v>
      </c>
      <c r="D761" t="s">
        <v>1058</v>
      </c>
      <c r="E761">
        <v>189583.04199999999</v>
      </c>
      <c r="F761">
        <v>9</v>
      </c>
      <c r="G761" t="s">
        <v>1103</v>
      </c>
      <c r="H761" t="s">
        <v>15</v>
      </c>
    </row>
    <row r="762" spans="1:8" x14ac:dyDescent="0.2">
      <c r="A762" t="s">
        <v>1807</v>
      </c>
      <c r="B762" t="s">
        <v>1099</v>
      </c>
      <c r="C762" t="s">
        <v>1100</v>
      </c>
      <c r="D762" t="s">
        <v>35</v>
      </c>
      <c r="E762">
        <v>189583.04199999999</v>
      </c>
      <c r="F762">
        <v>9</v>
      </c>
      <c r="G762" t="s">
        <v>35</v>
      </c>
      <c r="H762" t="s">
        <v>15</v>
      </c>
    </row>
    <row r="763" spans="1:8" x14ac:dyDescent="0.2">
      <c r="A763" t="s">
        <v>1809</v>
      </c>
      <c r="B763" t="s">
        <v>1810</v>
      </c>
      <c r="C763" t="s">
        <v>1092</v>
      </c>
      <c r="D763" t="s">
        <v>1058</v>
      </c>
      <c r="E763">
        <v>37403.25935</v>
      </c>
      <c r="F763">
        <v>0</v>
      </c>
      <c r="G763" t="s">
        <v>1103</v>
      </c>
      <c r="H763" t="s">
        <v>15</v>
      </c>
    </row>
    <row r="764" spans="1:8" x14ac:dyDescent="0.2">
      <c r="A764" t="s">
        <v>1809</v>
      </c>
      <c r="B764" t="s">
        <v>1099</v>
      </c>
      <c r="C764" t="s">
        <v>1100</v>
      </c>
      <c r="D764" t="s">
        <v>35</v>
      </c>
      <c r="E764">
        <v>37403.25935</v>
      </c>
      <c r="F764">
        <v>0</v>
      </c>
      <c r="G764" t="s">
        <v>35</v>
      </c>
      <c r="H764" t="s">
        <v>15</v>
      </c>
    </row>
    <row r="765" spans="1:8" x14ac:dyDescent="0.2">
      <c r="A765" t="s">
        <v>1811</v>
      </c>
      <c r="B765" t="s">
        <v>1812</v>
      </c>
      <c r="C765" t="s">
        <v>1092</v>
      </c>
      <c r="D765" t="s">
        <v>1064</v>
      </c>
      <c r="E765">
        <v>456456.07829999999</v>
      </c>
      <c r="F765">
        <v>99</v>
      </c>
      <c r="G765" t="s">
        <v>1093</v>
      </c>
      <c r="H765" t="s">
        <v>15</v>
      </c>
    </row>
    <row r="766" spans="1:8" x14ac:dyDescent="0.2">
      <c r="A766" t="s">
        <v>1811</v>
      </c>
      <c r="B766" t="s">
        <v>1099</v>
      </c>
      <c r="C766" t="s">
        <v>1100</v>
      </c>
      <c r="D766" t="s">
        <v>35</v>
      </c>
      <c r="E766">
        <v>456456.07829999999</v>
      </c>
      <c r="F766">
        <v>99</v>
      </c>
      <c r="G766" t="s">
        <v>35</v>
      </c>
      <c r="H766" t="s">
        <v>15</v>
      </c>
    </row>
    <row r="767" spans="1:8" x14ac:dyDescent="0.2">
      <c r="A767" t="s">
        <v>1813</v>
      </c>
      <c r="B767" t="s">
        <v>1814</v>
      </c>
      <c r="C767" t="s">
        <v>1092</v>
      </c>
      <c r="D767" t="s">
        <v>1052</v>
      </c>
      <c r="E767">
        <v>302937.69725999999</v>
      </c>
      <c r="F767">
        <v>70</v>
      </c>
      <c r="G767" t="s">
        <v>1093</v>
      </c>
      <c r="H767" t="s">
        <v>15</v>
      </c>
    </row>
    <row r="768" spans="1:8" x14ac:dyDescent="0.2">
      <c r="A768" t="s">
        <v>1813</v>
      </c>
      <c r="B768" t="s">
        <v>1099</v>
      </c>
      <c r="C768" t="s">
        <v>1100</v>
      </c>
      <c r="D768" t="s">
        <v>35</v>
      </c>
      <c r="E768">
        <v>302937.69725999999</v>
      </c>
      <c r="F768">
        <v>70</v>
      </c>
      <c r="G768" t="s">
        <v>35</v>
      </c>
      <c r="H768" t="s">
        <v>15</v>
      </c>
    </row>
    <row r="769" spans="1:8" x14ac:dyDescent="0.2">
      <c r="A769" t="s">
        <v>1815</v>
      </c>
      <c r="B769" t="s">
        <v>1816</v>
      </c>
      <c r="C769" t="s">
        <v>1092</v>
      </c>
      <c r="D769" t="s">
        <v>1096</v>
      </c>
      <c r="E769">
        <v>147965.959</v>
      </c>
      <c r="F769">
        <v>33</v>
      </c>
      <c r="G769" t="s">
        <v>1103</v>
      </c>
      <c r="H769" t="s">
        <v>15</v>
      </c>
    </row>
    <row r="770" spans="1:8" x14ac:dyDescent="0.2">
      <c r="A770" t="s">
        <v>1815</v>
      </c>
      <c r="B770" t="s">
        <v>1099</v>
      </c>
      <c r="C770" t="s">
        <v>1100</v>
      </c>
      <c r="D770" t="s">
        <v>35</v>
      </c>
      <c r="E770">
        <v>147965.959</v>
      </c>
      <c r="F770">
        <v>33</v>
      </c>
      <c r="G770" t="s">
        <v>35</v>
      </c>
      <c r="H770" t="s">
        <v>15</v>
      </c>
    </row>
    <row r="771" spans="1:8" x14ac:dyDescent="0.2">
      <c r="A771" t="s">
        <v>1817</v>
      </c>
      <c r="B771" t="s">
        <v>1818</v>
      </c>
      <c r="C771" t="s">
        <v>1092</v>
      </c>
      <c r="D771" t="s">
        <v>1096</v>
      </c>
      <c r="E771">
        <v>212912.356</v>
      </c>
      <c r="F771">
        <v>60</v>
      </c>
      <c r="G771" t="s">
        <v>1103</v>
      </c>
      <c r="H771" t="s">
        <v>15</v>
      </c>
    </row>
    <row r="772" spans="1:8" x14ac:dyDescent="0.2">
      <c r="A772" t="s">
        <v>1817</v>
      </c>
      <c r="B772" t="s">
        <v>1099</v>
      </c>
      <c r="C772" t="s">
        <v>1100</v>
      </c>
      <c r="D772" t="s">
        <v>35</v>
      </c>
      <c r="E772">
        <v>212912.356</v>
      </c>
      <c r="F772">
        <v>60</v>
      </c>
      <c r="G772" t="s">
        <v>35</v>
      </c>
      <c r="H772" t="s">
        <v>15</v>
      </c>
    </row>
    <row r="773" spans="1:8" x14ac:dyDescent="0.2">
      <c r="A773" t="s">
        <v>1819</v>
      </c>
      <c r="B773" t="s">
        <v>1820</v>
      </c>
      <c r="C773" t="s">
        <v>1092</v>
      </c>
      <c r="D773" t="s">
        <v>1061</v>
      </c>
      <c r="E773">
        <v>329372.50199999998</v>
      </c>
      <c r="F773">
        <v>59</v>
      </c>
      <c r="G773" t="s">
        <v>1103</v>
      </c>
      <c r="H773" t="s">
        <v>15</v>
      </c>
    </row>
    <row r="774" spans="1:8" x14ac:dyDescent="0.2">
      <c r="A774" t="s">
        <v>1819</v>
      </c>
      <c r="B774" t="s">
        <v>1099</v>
      </c>
      <c r="C774" t="s">
        <v>1100</v>
      </c>
      <c r="D774" t="s">
        <v>35</v>
      </c>
      <c r="E774">
        <v>329372.50199999998</v>
      </c>
      <c r="F774">
        <v>59</v>
      </c>
      <c r="G774" t="s">
        <v>35</v>
      </c>
      <c r="H774" t="s">
        <v>15</v>
      </c>
    </row>
    <row r="775" spans="1:8" x14ac:dyDescent="0.2">
      <c r="A775" t="s">
        <v>1821</v>
      </c>
      <c r="B775" t="s">
        <v>1822</v>
      </c>
      <c r="C775" t="s">
        <v>1092</v>
      </c>
      <c r="D775" t="s">
        <v>1096</v>
      </c>
      <c r="E775">
        <v>128062.406</v>
      </c>
      <c r="F775">
        <v>0</v>
      </c>
      <c r="G775" t="s">
        <v>1103</v>
      </c>
      <c r="H775" t="s">
        <v>15</v>
      </c>
    </row>
    <row r="776" spans="1:8" x14ac:dyDescent="0.2">
      <c r="A776" t="s">
        <v>1821</v>
      </c>
      <c r="B776" t="s">
        <v>1099</v>
      </c>
      <c r="C776" t="s">
        <v>1100</v>
      </c>
      <c r="D776" t="s">
        <v>35</v>
      </c>
      <c r="E776">
        <v>128062.406</v>
      </c>
      <c r="F776">
        <v>0</v>
      </c>
      <c r="G776" t="s">
        <v>35</v>
      </c>
      <c r="H776" t="s">
        <v>15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7B06-26CB-5446-970B-DA6C59D6DAD1}">
  <dimension ref="A1:H18"/>
  <sheetViews>
    <sheetView workbookViewId="0">
      <selection activeCell="Q10" sqref="Q10"/>
    </sheetView>
  </sheetViews>
  <sheetFormatPr baseColWidth="10" defaultRowHeight="16" x14ac:dyDescent="0.2"/>
  <cols>
    <col min="1" max="1" width="15.83203125" customWidth="1"/>
    <col min="2" max="2" width="13.33203125" customWidth="1"/>
    <col min="3" max="3" width="17.5" customWidth="1"/>
    <col min="4" max="4" width="10.83203125" style="17"/>
    <col min="5" max="5" width="13.6640625" customWidth="1"/>
    <col min="7" max="7" width="10.83203125" style="17"/>
    <col min="8" max="8" width="10.83203125" style="20"/>
  </cols>
  <sheetData>
    <row r="1" spans="1:8" ht="34" x14ac:dyDescent="0.2">
      <c r="A1" s="8" t="s">
        <v>1045</v>
      </c>
      <c r="B1" s="8" t="s">
        <v>1933</v>
      </c>
      <c r="C1" s="8" t="s">
        <v>1934</v>
      </c>
      <c r="D1" s="15" t="s">
        <v>1935</v>
      </c>
      <c r="E1" s="8" t="s">
        <v>1936</v>
      </c>
      <c r="F1" s="8" t="s">
        <v>1937</v>
      </c>
      <c r="G1" s="15" t="s">
        <v>1938</v>
      </c>
      <c r="H1" s="18" t="s">
        <v>1939</v>
      </c>
    </row>
    <row r="2" spans="1:8" ht="17" x14ac:dyDescent="0.2">
      <c r="A2" s="9" t="s">
        <v>1052</v>
      </c>
      <c r="B2" s="10">
        <f>SUMIFS(Facilities[Electricity production (MWh)],Facilities[State],$A2,Facilities[Type],"F",Facilities[Year],"2023-24")</f>
        <v>10542098.802795999</v>
      </c>
      <c r="C2" s="10">
        <f>SUMIFS(Facilities[Total scope 1 emissions (t CO2-e)],Facilities[State],$A2,Facilities[Type],"F",Facilities[Year],"2023-24")</f>
        <v>1686237</v>
      </c>
      <c r="D2" s="16">
        <f>IFERROR(C2/B2,0)</f>
        <v>0.15995268414224809</v>
      </c>
      <c r="E2" s="10">
        <f>SUMIFS(Facilities[Electricity production (MWh)],Facilities[State],$A2,Facilities[Type],"F",Facilities[Year],"2024-25")</f>
        <v>10672440.243781002</v>
      </c>
      <c r="F2" s="10">
        <f>SUMIFS(Facilities[Total scope 1 emissions (t CO2-e)],Facilities[State],$A2,Facilities[Type],"F",Facilities[Year],"2024-25")</f>
        <v>1683634</v>
      </c>
      <c r="G2" s="16">
        <f>IFERROR(F2/E2,0)</f>
        <v>0.15775529883908976</v>
      </c>
      <c r="H2" s="19">
        <f>G2/D2-1</f>
        <v>-1.3737720719985913E-2</v>
      </c>
    </row>
    <row r="3" spans="1:8" ht="17" x14ac:dyDescent="0.2">
      <c r="A3" s="9" t="s">
        <v>1058</v>
      </c>
      <c r="B3" s="10">
        <f>SUMIFS(Facilities[Electricity production (MWh)],Facilities[State],$A3,Facilities[Type],"F",Facilities[Year],"2023-24")</f>
        <v>65088614.255190015</v>
      </c>
      <c r="C3" s="10">
        <f>SUMIFS(Facilities[Total scope 1 emissions (t CO2-e)],Facilities[State],$A3,Facilities[Type],"F",Facilities[Year],"2023-24")</f>
        <v>40972999</v>
      </c>
      <c r="D3" s="16">
        <f t="shared" ref="D3:D9" si="0">IFERROR(C3/B3,0)</f>
        <v>0.629495641731732</v>
      </c>
      <c r="E3" s="10">
        <f>SUMIFS(Facilities[Electricity production (MWh)],Facilities[State],$A3,Facilities[Type],"F",Facilities[Year],"2024-25")</f>
        <v>67052448.810157999</v>
      </c>
      <c r="F3" s="10">
        <f>SUMIFS(Facilities[Total scope 1 emissions (t CO2-e)],Facilities[State],$A3,Facilities[Type],"F",Facilities[Year],"2024-25")</f>
        <v>39991626</v>
      </c>
      <c r="G3" s="16">
        <f t="shared" ref="G3:G9" si="1">IFERROR(F3/E3,0)</f>
        <v>0.59642304956268111</v>
      </c>
      <c r="H3" s="19">
        <f t="shared" ref="H3:H9" si="2">G3/D3-1</f>
        <v>-5.253823851435846E-2</v>
      </c>
    </row>
    <row r="4" spans="1:8" ht="17" x14ac:dyDescent="0.2">
      <c r="A4" s="9" t="s">
        <v>1061</v>
      </c>
      <c r="B4" s="10">
        <f>SUMIFS(Facilities[Electricity production (MWh)],Facilities[State],$A4,Facilities[Type],"F",Facilities[Year],"2023-24")</f>
        <v>59601415.572998993</v>
      </c>
      <c r="C4" s="10">
        <f>SUMIFS(Facilities[Total scope 1 emissions (t CO2-e)],Facilities[State],$A4,Facilities[Type],"F",Facilities[Year],"2023-24")</f>
        <v>41951141</v>
      </c>
      <c r="D4" s="16">
        <f t="shared" si="0"/>
        <v>0.70386148712556706</v>
      </c>
      <c r="E4" s="10">
        <f>SUMIFS(Facilities[Electricity production (MWh)],Facilities[State],$A4,Facilities[Type],"F",Facilities[Year],"2024-25")</f>
        <v>62367281.940664992</v>
      </c>
      <c r="F4" s="10">
        <f>SUMIFS(Facilities[Total scope 1 emissions (t CO2-e)],Facilities[State],$A4,Facilities[Type],"F",Facilities[Year],"2024-25")</f>
        <v>44055783</v>
      </c>
      <c r="G4" s="16">
        <f t="shared" si="1"/>
        <v>0.70639254476271396</v>
      </c>
      <c r="H4" s="19">
        <f t="shared" si="2"/>
        <v>3.5959598350567834E-3</v>
      </c>
    </row>
    <row r="5" spans="1:8" ht="17" x14ac:dyDescent="0.2">
      <c r="A5" s="9" t="s">
        <v>1096</v>
      </c>
      <c r="B5" s="10">
        <f>SUMIFS(Facilities[Electricity production (MWh)],Facilities[State],$A5,Facilities[Type],"F",Facilities[Year],"2023-24")</f>
        <v>46713479.91984202</v>
      </c>
      <c r="C5" s="10">
        <f>SUMIFS(Facilities[Total scope 1 emissions (t CO2-e)],Facilities[State],$A5,Facilities[Type],"F",Facilities[Year],"2023-24")</f>
        <v>39145523</v>
      </c>
      <c r="D5" s="16">
        <f t="shared" si="0"/>
        <v>0.83799201145304836</v>
      </c>
      <c r="E5" s="10">
        <f>SUMIFS(Facilities[Electricity production (MWh)],Facilities[State],$A5,Facilities[Type],"F",Facilities[Year],"2024-25")</f>
        <v>47277417.473460011</v>
      </c>
      <c r="F5" s="10">
        <f>SUMIFS(Facilities[Total scope 1 emissions (t CO2-e)],Facilities[State],$A5,Facilities[Type],"F",Facilities[Year],"2024-25")</f>
        <v>38010517</v>
      </c>
      <c r="G5" s="16">
        <f t="shared" si="1"/>
        <v>0.80398886046044826</v>
      </c>
      <c r="H5" s="19">
        <f t="shared" si="2"/>
        <v>-4.0576939311915194E-2</v>
      </c>
    </row>
    <row r="6" spans="1:8" ht="17" x14ac:dyDescent="0.2">
      <c r="A6" s="9" t="s">
        <v>1126</v>
      </c>
      <c r="B6" s="10">
        <f>SUMIFS(Facilities[Electricity production (MWh)],Facilities[State],$A6,Facilities[Type],"F",Facilities[Year],"2023-24")</f>
        <v>25129551.32612301</v>
      </c>
      <c r="C6" s="10">
        <f>SUMIFS(Facilities[Total scope 1 emissions (t CO2-e)],Facilities[State],$A6,Facilities[Type],"F",Facilities[Year],"2023-24")</f>
        <v>14431690</v>
      </c>
      <c r="D6" s="16">
        <f t="shared" si="0"/>
        <v>0.57429159051470113</v>
      </c>
      <c r="E6" s="10">
        <f>SUMIFS(Facilities[Electricity production (MWh)],Facilities[State],$A6,Facilities[Type],"F",Facilities[Year],"2024-25")</f>
        <v>25331005.545244012</v>
      </c>
      <c r="F6" s="10">
        <f>SUMIFS(Facilities[Total scope 1 emissions (t CO2-e)],Facilities[State],$A6,Facilities[Type],"F",Facilities[Year],"2024-25")</f>
        <v>14341240</v>
      </c>
      <c r="G6" s="16">
        <f t="shared" si="1"/>
        <v>0.56615360074770582</v>
      </c>
      <c r="H6" s="19">
        <f t="shared" si="2"/>
        <v>-1.4170483951718271E-2</v>
      </c>
    </row>
    <row r="7" spans="1:8" ht="17" x14ac:dyDescent="0.2">
      <c r="A7" s="9" t="s">
        <v>1064</v>
      </c>
      <c r="B7" s="10">
        <f>SUMIFS(Facilities[Electricity production (MWh)],Facilities[State],$A7,Facilities[Type],"F",Facilities[Year],"2023-24")</f>
        <v>9719750.1381579991</v>
      </c>
      <c r="C7" s="10">
        <f>SUMIFS(Facilities[Total scope 1 emissions (t CO2-e)],Facilities[State],$A7,Facilities[Type],"F",Facilities[Year],"2023-24")</f>
        <v>125440</v>
      </c>
      <c r="D7" s="16">
        <f t="shared" si="0"/>
        <v>1.2905681547053871E-2</v>
      </c>
      <c r="E7" s="10">
        <f>SUMIFS(Facilities[Electricity production (MWh)],Facilities[State],$A7,Facilities[Type],"F",Facilities[Year],"2024-25")</f>
        <v>8716777.8091800008</v>
      </c>
      <c r="F7" s="10">
        <f>SUMIFS(Facilities[Total scope 1 emissions (t CO2-e)],Facilities[State],$A7,Facilities[Type],"F",Facilities[Year],"2024-25")</f>
        <v>148074</v>
      </c>
      <c r="G7" s="16">
        <f t="shared" si="1"/>
        <v>1.6987240381882526E-2</v>
      </c>
      <c r="H7" s="19">
        <f t="shared" si="2"/>
        <v>0.31626061901088831</v>
      </c>
    </row>
    <row r="8" spans="1:8" ht="17" x14ac:dyDescent="0.2">
      <c r="A8" s="9" t="s">
        <v>1223</v>
      </c>
      <c r="B8" s="10">
        <f>SUMIFS(Facilities[Electricity production (MWh)],Facilities[State],$A8,Facilities[Type],"F",Facilities[Year],"2023-24")</f>
        <v>2300927.7694869996</v>
      </c>
      <c r="C8" s="10">
        <f>SUMIFS(Facilities[Total scope 1 emissions (t CO2-e)],Facilities[State],$A8,Facilities[Type],"F",Facilities[Year],"2023-24")</f>
        <v>1264413</v>
      </c>
      <c r="D8" s="16">
        <f t="shared" si="0"/>
        <v>0.54952311705199919</v>
      </c>
      <c r="E8" s="10">
        <f>SUMIFS(Facilities[Electricity production (MWh)],Facilities[State],$A8,Facilities[Type],"F",Facilities[Year],"2024-25")</f>
        <v>2229595.6196529996</v>
      </c>
      <c r="F8" s="10">
        <f>SUMIFS(Facilities[Total scope 1 emissions (t CO2-e)],Facilities[State],$A8,Facilities[Type],"F",Facilities[Year],"2024-25")</f>
        <v>1285326</v>
      </c>
      <c r="G8" s="16">
        <f t="shared" si="1"/>
        <v>0.576483909759403</v>
      </c>
      <c r="H8" s="19">
        <f t="shared" si="2"/>
        <v>4.9062162938729781E-2</v>
      </c>
    </row>
    <row r="9" spans="1:8" ht="17" x14ac:dyDescent="0.2">
      <c r="A9" s="9" t="s">
        <v>1215</v>
      </c>
      <c r="B9" s="10">
        <f>SUMIFS(Facilities[Electricity production (MWh)],Facilities[State],$A9,Facilities[Type],"F",Facilities[Year],"2023-24")</f>
        <v>224555.76637699999</v>
      </c>
      <c r="C9" s="10">
        <f>SUMIFS(Facilities[Total scope 1 emissions (t CO2-e)],Facilities[State],$A9,Facilities[Type],"F",Facilities[Year],"2023-24")</f>
        <v>4352</v>
      </c>
      <c r="D9" s="16">
        <f t="shared" si="0"/>
        <v>1.9380486505492612E-2</v>
      </c>
      <c r="E9" s="10">
        <f>SUMIFS(Facilities[Electricity production (MWh)],Facilities[State],$A9,Facilities[Type],"F",Facilities[Year],"2024-25")</f>
        <v>457330.48349999991</v>
      </c>
      <c r="F9" s="10">
        <f>SUMIFS(Facilities[Total scope 1 emissions (t CO2-e)],Facilities[State],$A9,Facilities[Type],"F",Facilities[Year],"2024-25")</f>
        <v>4817</v>
      </c>
      <c r="G9" s="16">
        <f t="shared" si="1"/>
        <v>1.0532864468458291E-2</v>
      </c>
      <c r="H9" s="19">
        <f t="shared" si="2"/>
        <v>-0.45652218454510018</v>
      </c>
    </row>
    <row r="12" spans="1:8" ht="34" x14ac:dyDescent="0.2">
      <c r="A12" s="8" t="s">
        <v>1940</v>
      </c>
      <c r="B12" s="8" t="s">
        <v>1941</v>
      </c>
      <c r="C12" s="8" t="s">
        <v>1942</v>
      </c>
      <c r="D12" s="8" t="s">
        <v>1943</v>
      </c>
      <c r="E12" s="8" t="s">
        <v>1944</v>
      </c>
    </row>
    <row r="13" spans="1:8" ht="17" x14ac:dyDescent="0.2">
      <c r="A13" s="9" t="s">
        <v>1093</v>
      </c>
      <c r="B13" s="10">
        <f>SUMIFS(Facilities[Electricity production (MWh)],Facilities[State],"SA",Facilities[Type],"F",Facilities[Year],"2024-25",Facilities[Primary fuel],$A13)</f>
        <v>6553411.6948059993</v>
      </c>
      <c r="C13" s="11">
        <f>B13/SUM($B$13:$B$18)</f>
        <v>0.61404997780379011</v>
      </c>
      <c r="D13" s="10">
        <f>SUMIFS(Facilities[Total scope 1 emissions (t CO2-e)],Facilities[State],"SA",Facilities[Type],"F",Facilities[Year],"2024-25",Facilities[Primary fuel],$A13)</f>
        <v>4469</v>
      </c>
      <c r="E13" s="16">
        <f>IFERROR(D13/B13,"n/a")</f>
        <v>6.8193487730092866E-4</v>
      </c>
    </row>
    <row r="14" spans="1:8" ht="17" x14ac:dyDescent="0.2">
      <c r="A14" s="9" t="s">
        <v>1109</v>
      </c>
      <c r="B14" s="10">
        <f>SUMIFS(Facilities[Electricity production (MWh)],Facilities[State],"SA",Facilities[Type],"F",Facilities[Year],"2024-25",Facilities[Primary fuel],$A14)</f>
        <v>3171581.2854170008</v>
      </c>
      <c r="C14" s="11">
        <f t="shared" ref="C14:C18" si="3">B14/SUM($B$13:$B$18)</f>
        <v>0.2971748928053386</v>
      </c>
      <c r="D14" s="10">
        <f>SUMIFS(Facilities[Total scope 1 emissions (t CO2-e)],Facilities[State],"SA",Facilities[Type],"F",Facilities[Year],"2024-25",Facilities[Primary fuel],$A14)</f>
        <v>1646445</v>
      </c>
      <c r="E14" s="16">
        <f t="shared" ref="E14:E18" si="4">IFERROR(D14/B14,"n/a")</f>
        <v>0.51912432689976751</v>
      </c>
    </row>
    <row r="15" spans="1:8" ht="17" x14ac:dyDescent="0.2">
      <c r="A15" s="9" t="s">
        <v>1103</v>
      </c>
      <c r="B15" s="10">
        <f>SUMIFS(Facilities[Electricity production (MWh)],Facilities[State],"SA",Facilities[Type],"F",Facilities[Year],"2024-25",Facilities[Primary fuel],$A15)</f>
        <v>857352.94048999995</v>
      </c>
      <c r="C15" s="11">
        <f t="shared" si="3"/>
        <v>8.0333355906077153E-2</v>
      </c>
      <c r="D15" s="10">
        <f>SUMIFS(Facilities[Total scope 1 emissions (t CO2-e)],Facilities[State],"SA",Facilities[Type],"F",Facilities[Year],"2024-25",Facilities[Primary fuel],$A15)</f>
        <v>171</v>
      </c>
      <c r="E15" s="16">
        <f t="shared" si="4"/>
        <v>1.9945111508251078E-4</v>
      </c>
    </row>
    <row r="16" spans="1:8" ht="17" x14ac:dyDescent="0.2">
      <c r="A16" s="9" t="s">
        <v>1236</v>
      </c>
      <c r="B16" s="10">
        <f>SUMIFS(Facilities[Electricity production (MWh)],Facilities[State],"SA",Facilities[Type],"F",Facilities[Year],"2024-25",Facilities[Primary fuel],$A16)</f>
        <v>50137.519200000002</v>
      </c>
      <c r="C16" s="11">
        <f t="shared" si="3"/>
        <v>4.6978496065336068E-3</v>
      </c>
      <c r="D16" s="10">
        <f>SUMIFS(Facilities[Total scope 1 emissions (t CO2-e)],Facilities[State],"SA",Facilities[Type],"F",Facilities[Year],"2024-25",Facilities[Primary fuel],$A16)</f>
        <v>27540</v>
      </c>
      <c r="E16" s="16">
        <f t="shared" si="4"/>
        <v>0.54928924365288501</v>
      </c>
    </row>
    <row r="17" spans="1:5" ht="17" x14ac:dyDescent="0.2">
      <c r="A17" s="9" t="s">
        <v>1238</v>
      </c>
      <c r="B17" s="10">
        <f>SUMIFS(Facilities[Electricity production (MWh)],Facilities[State],"SA",Facilities[Type],"F",Facilities[Year],"2024-25",Facilities[Primary fuel],$A17)</f>
        <v>39956.803867999995</v>
      </c>
      <c r="C17" s="11">
        <f t="shared" si="3"/>
        <v>3.7439238782604996E-3</v>
      </c>
      <c r="D17" s="10">
        <f>SUMIFS(Facilities[Total scope 1 emissions (t CO2-e)],Facilities[State],"SA",Facilities[Type],"F",Facilities[Year],"2024-25",Facilities[Primary fuel],$A17)</f>
        <v>3367</v>
      </c>
      <c r="E17" s="16">
        <f t="shared" si="4"/>
        <v>8.4265999130538879E-2</v>
      </c>
    </row>
    <row r="18" spans="1:5" ht="17" x14ac:dyDescent="0.2">
      <c r="A18" s="9" t="s">
        <v>1191</v>
      </c>
      <c r="B18" s="10">
        <f>SUMIFS(Facilities[Electricity production (MWh)],Facilities[State],"SA",Facilities[Type],"F",Facilities[Year],"2024-25",Facilities[Primary fuel],$A18)</f>
        <v>0</v>
      </c>
      <c r="C18" s="11">
        <f t="shared" si="3"/>
        <v>0</v>
      </c>
      <c r="D18" s="10">
        <f>SUMIFS(Facilities[Total scope 1 emissions (t CO2-e)],Facilities[State],"SA",Facilities[Type],"F",Facilities[Year],"2024-25",Facilities[Primary fuel],$A18)</f>
        <v>1642</v>
      </c>
      <c r="E18" s="16" t="str">
        <f t="shared" si="4"/>
        <v>n/a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646E-5849-C94D-8608-56D9D982C6CE}">
  <dimension ref="A1:C9"/>
  <sheetViews>
    <sheetView zoomScale="95" workbookViewId="0">
      <selection activeCell="C28" sqref="C28"/>
    </sheetView>
  </sheetViews>
  <sheetFormatPr baseColWidth="10" defaultRowHeight="16" x14ac:dyDescent="0.2"/>
  <cols>
    <col min="2" max="2" width="77" customWidth="1"/>
    <col min="3" max="3" width="78.33203125" customWidth="1"/>
  </cols>
  <sheetData>
    <row r="1" spans="1:3" x14ac:dyDescent="0.2">
      <c r="A1" s="5"/>
      <c r="B1" s="5" t="s">
        <v>1945</v>
      </c>
      <c r="C1" s="5" t="s">
        <v>1946</v>
      </c>
    </row>
    <row r="2" spans="1:3" x14ac:dyDescent="0.2">
      <c r="A2" s="6" t="s">
        <v>1947</v>
      </c>
      <c r="B2" s="6" t="s">
        <v>1948</v>
      </c>
      <c r="C2" s="6" t="s">
        <v>1949</v>
      </c>
    </row>
    <row r="3" spans="1:3" x14ac:dyDescent="0.2">
      <c r="A3" s="6" t="s">
        <v>1950</v>
      </c>
      <c r="B3" s="6" t="s">
        <v>1951</v>
      </c>
      <c r="C3" s="6" t="s">
        <v>1952</v>
      </c>
    </row>
    <row r="4" spans="1:3" x14ac:dyDescent="0.2">
      <c r="A4" s="6" t="s">
        <v>1953</v>
      </c>
      <c r="B4" s="6" t="s">
        <v>1954</v>
      </c>
      <c r="C4" s="6" t="s">
        <v>1955</v>
      </c>
    </row>
    <row r="5" spans="1:3" x14ac:dyDescent="0.2">
      <c r="A5" s="6" t="s">
        <v>1956</v>
      </c>
      <c r="B5" s="6" t="s">
        <v>1957</v>
      </c>
      <c r="C5" s="6" t="s">
        <v>1958</v>
      </c>
    </row>
    <row r="6" spans="1:3" x14ac:dyDescent="0.2">
      <c r="A6" s="6" t="s">
        <v>1959</v>
      </c>
      <c r="B6" s="6" t="s">
        <v>1960</v>
      </c>
      <c r="C6" s="6" t="s">
        <v>1961</v>
      </c>
    </row>
    <row r="7" spans="1:3" x14ac:dyDescent="0.2">
      <c r="A7" s="6" t="s">
        <v>1962</v>
      </c>
      <c r="B7" s="6" t="s">
        <v>1963</v>
      </c>
      <c r="C7" s="6" t="s">
        <v>1964</v>
      </c>
    </row>
    <row r="8" spans="1:3" x14ac:dyDescent="0.2">
      <c r="A8" s="6" t="s">
        <v>1965</v>
      </c>
      <c r="B8" s="6" t="s">
        <v>1966</v>
      </c>
      <c r="C8" s="6" t="s">
        <v>1967</v>
      </c>
    </row>
    <row r="9" spans="1:3" x14ac:dyDescent="0.2">
      <c r="A9" s="6" t="s">
        <v>1968</v>
      </c>
      <c r="B9" s="6" t="s">
        <v>1969</v>
      </c>
      <c r="C9" s="6" t="s">
        <v>1970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0DC7-029C-6645-9E65-EEF21447E378}">
  <dimension ref="A1:E38"/>
  <sheetViews>
    <sheetView showGridLines="0" workbookViewId="0">
      <selection activeCell="I27" sqref="I27"/>
    </sheetView>
  </sheetViews>
  <sheetFormatPr baseColWidth="10" defaultRowHeight="16" x14ac:dyDescent="0.2"/>
  <cols>
    <col min="1" max="1" width="42" customWidth="1"/>
    <col min="2" max="2" width="24.33203125" customWidth="1"/>
    <col min="3" max="3" width="26.83203125" customWidth="1"/>
    <col min="4" max="4" width="38.5" customWidth="1"/>
    <col min="5" max="5" width="28.6640625" customWidth="1"/>
  </cols>
  <sheetData>
    <row r="1" spans="1:5" ht="32" x14ac:dyDescent="0.4">
      <c r="A1" s="28" t="s">
        <v>1971</v>
      </c>
    </row>
    <row r="4" spans="1:5" ht="19" x14ac:dyDescent="0.25">
      <c r="A4" s="21" t="s">
        <v>1972</v>
      </c>
    </row>
    <row r="7" spans="1:5" x14ac:dyDescent="0.2">
      <c r="A7" s="4" t="s">
        <v>1973</v>
      </c>
      <c r="B7" s="4" t="s">
        <v>1974</v>
      </c>
      <c r="C7" s="4" t="s">
        <v>1975</v>
      </c>
      <c r="D7" s="4" t="s">
        <v>1976</v>
      </c>
      <c r="E7" s="4" t="s">
        <v>1977</v>
      </c>
    </row>
    <row r="8" spans="1:5" ht="32" x14ac:dyDescent="0.4">
      <c r="A8" s="22">
        <f>Company_Trends!G4</f>
        <v>107923</v>
      </c>
      <c r="B8" s="23">
        <f>Company_Trends!J4</f>
        <v>-9.0791912384161733E-2</v>
      </c>
      <c r="C8" s="27">
        <f>Company_Trends!J2</f>
        <v>0.69923161361141606</v>
      </c>
      <c r="D8" s="24">
        <f>SA_Generation_Intensity!G2</f>
        <v>0.15775529883908976</v>
      </c>
      <c r="E8" s="25" t="str">
        <f>COUNTIF(Data_QA!D2:D12,"PASS")&amp;" / 11"</f>
        <v>11 / 11</v>
      </c>
    </row>
    <row r="11" spans="1:5" x14ac:dyDescent="0.2">
      <c r="A11" s="12"/>
    </row>
    <row r="16" spans="1:5" x14ac:dyDescent="0.2">
      <c r="A16" s="12"/>
    </row>
    <row r="20" spans="1:1" x14ac:dyDescent="0.2">
      <c r="A20" s="12"/>
    </row>
    <row r="26" spans="1:1" ht="19" x14ac:dyDescent="0.25">
      <c r="A26" s="26" t="s">
        <v>1978</v>
      </c>
    </row>
    <row r="27" spans="1:1" x14ac:dyDescent="0.2">
      <c r="A27" t="s">
        <v>1979</v>
      </c>
    </row>
    <row r="28" spans="1:1" x14ac:dyDescent="0.2">
      <c r="A28" t="s">
        <v>1980</v>
      </c>
    </row>
    <row r="29" spans="1:1" x14ac:dyDescent="0.2">
      <c r="A29" t="s">
        <v>1981</v>
      </c>
    </row>
    <row r="31" spans="1:1" ht="19" x14ac:dyDescent="0.25">
      <c r="A31" s="26" t="s">
        <v>1982</v>
      </c>
    </row>
    <row r="32" spans="1:1" x14ac:dyDescent="0.2">
      <c r="A32" t="s">
        <v>1983</v>
      </c>
    </row>
    <row r="33" spans="1:1" x14ac:dyDescent="0.2">
      <c r="A33" t="s">
        <v>1984</v>
      </c>
    </row>
    <row r="35" spans="1:1" ht="19" x14ac:dyDescent="0.25">
      <c r="A35" s="26" t="s">
        <v>1985</v>
      </c>
    </row>
    <row r="36" spans="1:1" x14ac:dyDescent="0.2">
      <c r="A36" t="s">
        <v>1986</v>
      </c>
    </row>
    <row r="37" spans="1:1" x14ac:dyDescent="0.2">
      <c r="A37" t="s">
        <v>1987</v>
      </c>
    </row>
    <row r="38" spans="1:1" x14ac:dyDescent="0.2">
      <c r="A38" t="s">
        <v>1988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B5E523-FD51-1A48-97C1-401CF7AE29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Source_Register</vt:lpstr>
      <vt:lpstr>Combined_Corporate</vt:lpstr>
      <vt:lpstr>Registered corporation 2024-25</vt:lpstr>
      <vt:lpstr>Registered corporation 2023-24</vt:lpstr>
      <vt:lpstr>Registered corporation 2022-23</vt:lpstr>
      <vt:lpstr>Data_QA</vt:lpstr>
      <vt:lpstr>Reconciliation_Log</vt:lpstr>
      <vt:lpstr>Company_Trends</vt:lpstr>
      <vt:lpstr>Facilities</vt:lpstr>
      <vt:lpstr>Table1</vt:lpstr>
      <vt:lpstr>Data_Greenhouse_and_energy_info</vt:lpstr>
      <vt:lpstr>SA_Generation_Intensity</vt:lpstr>
      <vt:lpstr>Limitations</vt:lpstr>
      <vt:lpstr>Board_Report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 Ajantha Kuchipudi (Student)</dc:creator>
  <cp:lastModifiedBy>Keerthi Ajantha Kuchipudi (Student)</cp:lastModifiedBy>
  <dcterms:created xsi:type="dcterms:W3CDTF">2026-10-21T05:14:42Z</dcterms:created>
  <dcterms:modified xsi:type="dcterms:W3CDTF">2026-10-21T11:45:50Z</dcterms:modified>
</cp:coreProperties>
</file>